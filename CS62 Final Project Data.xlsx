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rbub\Roomer62Final\roomer\"/>
    </mc:Choice>
  </mc:AlternateContent>
  <xr:revisionPtr revIDLastSave="0" documentId="8_{F3B49DFA-7B4D-4E2F-B766-B7527CF51566}" xr6:coauthVersionLast="47" xr6:coauthVersionMax="47" xr10:uidLastSave="{00000000-0000-0000-0000-000000000000}"/>
  <bookViews>
    <workbookView xWindow="7185" yWindow="2445" windowWidth="20925" windowHeight="11295" activeTab="5" xr2:uid="{9C78DBFA-91C9-4428-8D9D-69C034CE5746}"/>
  </bookViews>
  <sheets>
    <sheet name="2023" sheetId="3" r:id="rId1"/>
    <sheet name="2024" sheetId="1" r:id="rId2"/>
    <sheet name="2025" sheetId="2" r:id="rId3"/>
    <sheet name="Sq. Ft &amp; Room Type" sheetId="6" r:id="rId4"/>
    <sheet name="Room Capacity" sheetId="7" r:id="rId5"/>
    <sheet name="Master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/>
  <c r="M457" i="4" a="1"/>
  <c r="M457" i="4" s="1"/>
  <c r="M458" i="4" a="1"/>
  <c r="M458" i="4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/>
  <c r="M465" i="4" a="1"/>
  <c r="M465" i="4" s="1"/>
  <c r="M466" i="4" a="1"/>
  <c r="M466" i="4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/>
  <c r="M473" i="4" a="1"/>
  <c r="M473" i="4" s="1"/>
  <c r="M474" i="4" a="1"/>
  <c r="M474" i="4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/>
  <c r="M481" i="4" a="1"/>
  <c r="M481" i="4" s="1"/>
  <c r="M482" i="4" a="1"/>
  <c r="M482" i="4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/>
  <c r="M489" i="4" a="1"/>
  <c r="M489" i="4" s="1"/>
  <c r="M490" i="4" a="1"/>
  <c r="M490" i="4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/>
  <c r="M497" i="4" a="1"/>
  <c r="M497" i="4" s="1"/>
  <c r="M498" i="4" a="1"/>
  <c r="M498" i="4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/>
  <c r="M505" i="4" a="1"/>
  <c r="M505" i="4" s="1"/>
  <c r="M506" i="4" a="1"/>
  <c r="M506" i="4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/>
  <c r="M513" i="4" a="1"/>
  <c r="M513" i="4" s="1"/>
  <c r="M514" i="4" a="1"/>
  <c r="M514" i="4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/>
  <c r="M521" i="4" a="1"/>
  <c r="M521" i="4" s="1"/>
  <c r="M522" i="4" a="1"/>
  <c r="M522" i="4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/>
  <c r="M529" i="4" a="1"/>
  <c r="M529" i="4" s="1"/>
  <c r="M530" i="4" a="1"/>
  <c r="M530" i="4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/>
  <c r="M537" i="4" a="1"/>
  <c r="M537" i="4" s="1"/>
  <c r="M538" i="4" a="1"/>
  <c r="M538" i="4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/>
  <c r="M545" i="4" a="1"/>
  <c r="M545" i="4" s="1"/>
  <c r="M546" i="4" a="1"/>
  <c r="M546" i="4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/>
  <c r="M553" i="4" a="1"/>
  <c r="M553" i="4" s="1"/>
  <c r="M554" i="4" a="1"/>
  <c r="M554" i="4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/>
  <c r="M561" i="4" a="1"/>
  <c r="M561" i="4" s="1"/>
  <c r="M562" i="4" a="1"/>
  <c r="M562" i="4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/>
  <c r="M569" i="4" a="1"/>
  <c r="M569" i="4" s="1"/>
  <c r="M570" i="4" a="1"/>
  <c r="M570" i="4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/>
  <c r="M577" i="4" a="1"/>
  <c r="M577" i="4" s="1"/>
  <c r="M578" i="4" a="1"/>
  <c r="M578" i="4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/>
  <c r="M585" i="4" a="1"/>
  <c r="M585" i="4" s="1"/>
  <c r="M586" i="4" a="1"/>
  <c r="M586" i="4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/>
  <c r="M593" i="4" a="1"/>
  <c r="M593" i="4" s="1"/>
  <c r="M594" i="4" a="1"/>
  <c r="M594" i="4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/>
  <c r="M601" i="4" a="1"/>
  <c r="M601" i="4" s="1"/>
  <c r="M602" i="4" a="1"/>
  <c r="M602" i="4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/>
  <c r="M609" i="4" a="1"/>
  <c r="M609" i="4" s="1"/>
  <c r="M610" i="4" a="1"/>
  <c r="M610" i="4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/>
  <c r="M617" i="4" a="1"/>
  <c r="M617" i="4" s="1"/>
  <c r="M618" i="4" a="1"/>
  <c r="M618" i="4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/>
  <c r="M625" i="4" a="1"/>
  <c r="M625" i="4" s="1"/>
  <c r="M626" i="4" a="1"/>
  <c r="M626" i="4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/>
  <c r="M633" i="4" a="1"/>
  <c r="M633" i="4" s="1"/>
  <c r="M634" i="4" a="1"/>
  <c r="M634" i="4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/>
  <c r="M641" i="4" a="1"/>
  <c r="M641" i="4" s="1"/>
  <c r="M642" i="4" a="1"/>
  <c r="M642" i="4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/>
  <c r="M649" i="4" a="1"/>
  <c r="M649" i="4" s="1"/>
  <c r="M650" i="4" a="1"/>
  <c r="M650" i="4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/>
  <c r="M657" i="4" a="1"/>
  <c r="M657" i="4" s="1"/>
  <c r="M658" i="4" a="1"/>
  <c r="M658" i="4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/>
  <c r="M665" i="4" a="1"/>
  <c r="M665" i="4" s="1"/>
  <c r="M666" i="4" a="1"/>
  <c r="M666" i="4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/>
  <c r="M673" i="4" a="1"/>
  <c r="M673" i="4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/>
  <c r="M681" i="4" a="1"/>
  <c r="M681" i="4"/>
  <c r="M682" i="4" a="1"/>
  <c r="M682" i="4"/>
  <c r="M683" i="4" a="1"/>
  <c r="M683" i="4"/>
  <c r="M684" i="4" a="1"/>
  <c r="M684" i="4"/>
  <c r="M685" i="4" a="1"/>
  <c r="M685" i="4"/>
  <c r="M686" i="4" a="1"/>
  <c r="M686" i="4"/>
  <c r="M687" i="4" a="1"/>
  <c r="M687" i="4"/>
  <c r="M688" i="4" a="1"/>
  <c r="M688" i="4"/>
  <c r="M689" i="4" a="1"/>
  <c r="M689" i="4"/>
  <c r="M690" i="4" a="1"/>
  <c r="M690" i="4"/>
  <c r="M691" i="4" a="1"/>
  <c r="M691" i="4"/>
  <c r="M692" i="4" a="1"/>
  <c r="M692" i="4"/>
  <c r="M693" i="4" a="1"/>
  <c r="M693" i="4"/>
  <c r="M694" i="4" a="1"/>
  <c r="M694" i="4"/>
  <c r="M695" i="4" a="1"/>
  <c r="M695" i="4"/>
  <c r="M696" i="4" a="1"/>
  <c r="M696" i="4"/>
  <c r="M697" i="4" a="1"/>
  <c r="M697" i="4"/>
  <c r="M698" i="4" a="1"/>
  <c r="M698" i="4"/>
  <c r="M699" i="4" a="1"/>
  <c r="M699" i="4"/>
  <c r="M700" i="4" a="1"/>
  <c r="M700" i="4"/>
  <c r="M701" i="4" a="1"/>
  <c r="M701" i="4"/>
  <c r="M702" i="4" a="1"/>
  <c r="M702" i="4"/>
  <c r="M703" i="4" a="1"/>
  <c r="M703" i="4"/>
  <c r="M704" i="4" a="1"/>
  <c r="M704" i="4"/>
  <c r="M705" i="4" a="1"/>
  <c r="M705" i="4"/>
  <c r="M706" i="4" a="1"/>
  <c r="M706" i="4"/>
  <c r="M707" i="4" a="1"/>
  <c r="M707" i="4"/>
  <c r="M708" i="4" a="1"/>
  <c r="M708" i="4"/>
  <c r="M709" i="4" a="1"/>
  <c r="M709" i="4"/>
  <c r="M710" i="4" a="1"/>
  <c r="M710" i="4"/>
  <c r="M711" i="4" a="1"/>
  <c r="M711" i="4"/>
  <c r="M712" i="4" a="1"/>
  <c r="M712" i="4"/>
  <c r="M713" i="4" a="1"/>
  <c r="M713" i="4"/>
  <c r="M714" i="4" a="1"/>
  <c r="M714" i="4"/>
  <c r="M715" i="4" a="1"/>
  <c r="M715" i="4"/>
  <c r="M716" i="4" a="1"/>
  <c r="M716" i="4"/>
  <c r="M717" i="4" a="1"/>
  <c r="M717" i="4"/>
  <c r="M718" i="4" a="1"/>
  <c r="M718" i="4"/>
  <c r="M719" i="4" a="1"/>
  <c r="M719" i="4"/>
  <c r="M720" i="4" a="1"/>
  <c r="M720" i="4"/>
  <c r="M721" i="4" a="1"/>
  <c r="M721" i="4"/>
  <c r="M722" i="4" a="1"/>
  <c r="M722" i="4"/>
  <c r="M723" i="4" a="1"/>
  <c r="M723" i="4"/>
  <c r="M724" i="4" a="1"/>
  <c r="M724" i="4"/>
  <c r="M725" i="4" a="1"/>
  <c r="M725" i="4"/>
  <c r="M726" i="4" a="1"/>
  <c r="M726" i="4"/>
  <c r="M727" i="4" a="1"/>
  <c r="M727" i="4"/>
  <c r="M728" i="4" a="1"/>
  <c r="M728" i="4"/>
  <c r="M729" i="4" a="1"/>
  <c r="M729" i="4"/>
  <c r="M730" i="4" a="1"/>
  <c r="M730" i="4"/>
  <c r="M731" i="4" a="1"/>
  <c r="M731" i="4"/>
  <c r="M732" i="4" a="1"/>
  <c r="M732" i="4"/>
  <c r="M733" i="4" a="1"/>
  <c r="M733" i="4"/>
  <c r="M734" i="4" a="1"/>
  <c r="M734" i="4"/>
  <c r="M735" i="4" a="1"/>
  <c r="M735" i="4"/>
  <c r="M736" i="4" a="1"/>
  <c r="M736" i="4"/>
  <c r="M737" i="4" a="1"/>
  <c r="M737" i="4"/>
  <c r="M738" i="4" a="1"/>
  <c r="M738" i="4"/>
  <c r="M739" i="4" a="1"/>
  <c r="M739" i="4"/>
  <c r="M740" i="4" a="1"/>
  <c r="M740" i="4"/>
  <c r="M741" i="4" a="1"/>
  <c r="M741" i="4"/>
  <c r="M742" i="4" a="1"/>
  <c r="M742" i="4"/>
  <c r="M743" i="4" a="1"/>
  <c r="M743" i="4"/>
  <c r="M744" i="4" a="1"/>
  <c r="M744" i="4"/>
  <c r="M745" i="4" a="1"/>
  <c r="M745" i="4"/>
  <c r="M746" i="4" a="1"/>
  <c r="M746" i="4"/>
  <c r="M747" i="4" a="1"/>
  <c r="M747" i="4"/>
  <c r="M748" i="4" a="1"/>
  <c r="M748" i="4"/>
  <c r="M749" i="4" a="1"/>
  <c r="M749" i="4"/>
  <c r="M750" i="4" a="1"/>
  <c r="M750" i="4"/>
  <c r="M751" i="4" a="1"/>
  <c r="M751" i="4"/>
  <c r="M752" i="4" a="1"/>
  <c r="M752" i="4"/>
  <c r="M753" i="4" a="1"/>
  <c r="M753" i="4"/>
  <c r="M754" i="4" a="1"/>
  <c r="M754" i="4"/>
  <c r="M755" i="4" a="1"/>
  <c r="M755" i="4"/>
  <c r="M756" i="4" a="1"/>
  <c r="M756" i="4"/>
  <c r="M757" i="4" a="1"/>
  <c r="M757" i="4"/>
  <c r="M758" i="4" a="1"/>
  <c r="M758" i="4"/>
  <c r="M759" i="4" a="1"/>
  <c r="M759" i="4"/>
  <c r="M760" i="4" a="1"/>
  <c r="M760" i="4" s="1"/>
  <c r="M761" i="4" a="1"/>
  <c r="M761" i="4"/>
  <c r="M762" i="4" a="1"/>
  <c r="M762" i="4"/>
  <c r="M763" i="4" a="1"/>
  <c r="M763" i="4"/>
  <c r="M764" i="4" a="1"/>
  <c r="M764" i="4"/>
  <c r="M765" i="4" a="1"/>
  <c r="M765" i="4"/>
  <c r="M766" i="4" a="1"/>
  <c r="M766" i="4"/>
  <c r="M767" i="4" a="1"/>
  <c r="M767" i="4"/>
  <c r="M768" i="4" a="1"/>
  <c r="M768" i="4" s="1"/>
  <c r="M769" i="4" a="1"/>
  <c r="M769" i="4"/>
  <c r="M770" i="4" a="1"/>
  <c r="M770" i="4"/>
  <c r="M771" i="4" a="1"/>
  <c r="M771" i="4"/>
  <c r="M772" i="4" a="1"/>
  <c r="M772" i="4"/>
  <c r="M773" i="4" a="1"/>
  <c r="M773" i="4"/>
  <c r="M774" i="4" a="1"/>
  <c r="M774" i="4"/>
  <c r="M775" i="4" a="1"/>
  <c r="M775" i="4"/>
  <c r="M776" i="4" a="1"/>
  <c r="M776" i="4" s="1"/>
  <c r="M777" i="4" a="1"/>
  <c r="M777" i="4" s="1"/>
  <c r="M778" i="4" a="1"/>
  <c r="M778" i="4"/>
  <c r="M779" i="4" a="1"/>
  <c r="M779" i="4"/>
  <c r="M780" i="4" a="1"/>
  <c r="M780" i="4"/>
  <c r="M781" i="4" a="1"/>
  <c r="M781" i="4"/>
  <c r="M782" i="4" a="1"/>
  <c r="M782" i="4"/>
  <c r="M783" i="4" a="1"/>
  <c r="M783" i="4"/>
  <c r="M784" i="4" a="1"/>
  <c r="M784" i="4" s="1"/>
  <c r="M785" i="4" a="1"/>
  <c r="M785" i="4" s="1"/>
  <c r="M786" i="4" a="1"/>
  <c r="M786" i="4"/>
  <c r="M787" i="4" a="1"/>
  <c r="M787" i="4"/>
  <c r="M788" i="4" a="1"/>
  <c r="M788" i="4"/>
  <c r="M789" i="4" a="1"/>
  <c r="M789" i="4"/>
  <c r="M790" i="4" a="1"/>
  <c r="M790" i="4"/>
  <c r="M791" i="4" a="1"/>
  <c r="M791" i="4"/>
  <c r="M792" i="4" a="1"/>
  <c r="M792" i="4" s="1"/>
  <c r="M793" i="4" a="1"/>
  <c r="M793" i="4" s="1"/>
  <c r="M794" i="4" a="1"/>
  <c r="M794" i="4"/>
  <c r="M795" i="4" a="1"/>
  <c r="M795" i="4"/>
  <c r="M796" i="4" a="1"/>
  <c r="M796" i="4"/>
  <c r="M797" i="4" a="1"/>
  <c r="M797" i="4" s="1"/>
  <c r="M798" i="4" a="1"/>
  <c r="M798" i="4"/>
  <c r="M799" i="4" a="1"/>
  <c r="M799" i="4"/>
  <c r="M800" i="4" a="1"/>
  <c r="M800" i="4" s="1"/>
  <c r="M801" i="4" a="1"/>
  <c r="M801" i="4" s="1"/>
  <c r="M802" i="4" a="1"/>
  <c r="M802" i="4"/>
  <c r="M803" i="4" a="1"/>
  <c r="M803" i="4"/>
  <c r="M804" i="4" a="1"/>
  <c r="M804" i="4"/>
  <c r="M805" i="4" a="1"/>
  <c r="M805" i="4" s="1"/>
  <c r="M806" i="4" a="1"/>
  <c r="M806" i="4"/>
  <c r="M807" i="4" a="1"/>
  <c r="M807" i="4"/>
  <c r="M808" i="4" a="1"/>
  <c r="M808" i="4" s="1"/>
  <c r="M809" i="4" a="1"/>
  <c r="M809" i="4" s="1"/>
  <c r="M810" i="4" a="1"/>
  <c r="M810" i="4"/>
  <c r="M811" i="4" a="1"/>
  <c r="M811" i="4"/>
  <c r="M812" i="4" a="1"/>
  <c r="M812" i="4"/>
  <c r="M813" i="4" a="1"/>
  <c r="M813" i="4" s="1"/>
  <c r="M814" i="4" a="1"/>
  <c r="M814" i="4"/>
  <c r="M815" i="4" a="1"/>
  <c r="M815" i="4"/>
  <c r="M816" i="4" a="1"/>
  <c r="M816" i="4" s="1"/>
  <c r="M817" i="4" a="1"/>
  <c r="M817" i="4" s="1"/>
  <c r="M818" i="4" a="1"/>
  <c r="M818" i="4"/>
  <c r="M819" i="4" a="1"/>
  <c r="M819" i="4"/>
  <c r="M820" i="4" a="1"/>
  <c r="M820" i="4"/>
  <c r="M821" i="4" a="1"/>
  <c r="M821" i="4" s="1"/>
  <c r="M822" i="4" a="1"/>
  <c r="M822" i="4"/>
  <c r="M823" i="4" a="1"/>
  <c r="M823" i="4"/>
  <c r="M824" i="4" a="1"/>
  <c r="M824" i="4" s="1"/>
  <c r="M825" i="4" a="1"/>
  <c r="M825" i="4" s="1"/>
  <c r="M826" i="4" a="1"/>
  <c r="M826" i="4" s="1"/>
  <c r="M827" i="4" a="1"/>
  <c r="M827" i="4"/>
  <c r="M828" i="4" a="1"/>
  <c r="M828" i="4"/>
  <c r="M829" i="4" a="1"/>
  <c r="M829" i="4" s="1"/>
  <c r="M830" i="4" a="1"/>
  <c r="M830" i="4"/>
  <c r="M831" i="4" a="1"/>
  <c r="M831" i="4"/>
  <c r="M832" i="4" a="1"/>
  <c r="M832" i="4" s="1"/>
  <c r="M833" i="4" a="1"/>
  <c r="M833" i="4" s="1"/>
  <c r="M834" i="4" a="1"/>
  <c r="M834" i="4" s="1"/>
  <c r="M835" i="4" a="1"/>
  <c r="M835" i="4"/>
  <c r="M836" i="4" a="1"/>
  <c r="M836" i="4" s="1"/>
  <c r="M837" i="4" a="1"/>
  <c r="M837" i="4" s="1"/>
  <c r="M838" i="4" a="1"/>
  <c r="M838" i="4"/>
  <c r="M839" i="4" a="1"/>
  <c r="M839" i="4"/>
  <c r="M840" i="4" a="1"/>
  <c r="M840" i="4" s="1"/>
  <c r="M841" i="4" a="1"/>
  <c r="M841" i="4" s="1"/>
  <c r="M842" i="4" a="1"/>
  <c r="M842" i="4" s="1"/>
  <c r="M843" i="4" a="1"/>
  <c r="M843" i="4"/>
  <c r="M844" i="4" a="1"/>
  <c r="M844" i="4" s="1"/>
  <c r="M845" i="4" a="1"/>
  <c r="M845" i="4" s="1"/>
  <c r="M846" i="4" a="1"/>
  <c r="M846" i="4"/>
  <c r="M847" i="4" a="1"/>
  <c r="M847" i="4"/>
  <c r="M848" i="4" a="1"/>
  <c r="M848" i="4" s="1"/>
  <c r="M849" i="4" a="1"/>
  <c r="M849" i="4" s="1"/>
  <c r="M850" i="4" a="1"/>
  <c r="M850" i="4" s="1"/>
  <c r="M851" i="4" a="1"/>
  <c r="M851" i="4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2" i="4" a="1"/>
  <c r="M2" i="4" s="1"/>
  <c r="H858" i="4"/>
  <c r="C2" i="4" a="1"/>
  <c r="H180" i="4" l="1"/>
  <c r="N3" i="4"/>
  <c r="N4" i="4"/>
  <c r="N5" i="4"/>
  <c r="N13" i="4"/>
  <c r="N21" i="4"/>
  <c r="N29" i="4"/>
  <c r="N37" i="4"/>
  <c r="N45" i="4"/>
  <c r="N53" i="4"/>
  <c r="N61" i="4"/>
  <c r="N69" i="4"/>
  <c r="N77" i="4"/>
  <c r="N85" i="4"/>
  <c r="N93" i="4"/>
  <c r="N101" i="4"/>
  <c r="N109" i="4"/>
  <c r="N117" i="4"/>
  <c r="N125" i="4"/>
  <c r="N133" i="4"/>
  <c r="N141" i="4"/>
  <c r="N149" i="4"/>
  <c r="N157" i="4"/>
  <c r="N165" i="4"/>
  <c r="N173" i="4"/>
  <c r="N181" i="4"/>
  <c r="N189" i="4"/>
  <c r="N197" i="4"/>
  <c r="N205" i="4"/>
  <c r="N213" i="4"/>
  <c r="N221" i="4"/>
  <c r="N229" i="4"/>
  <c r="N237" i="4"/>
  <c r="N245" i="4"/>
  <c r="N253" i="4"/>
  <c r="N261" i="4"/>
  <c r="N269" i="4"/>
  <c r="N277" i="4"/>
  <c r="N285" i="4"/>
  <c r="N293" i="4"/>
  <c r="N301" i="4"/>
  <c r="N309" i="4"/>
  <c r="N317" i="4"/>
  <c r="N325" i="4"/>
  <c r="N333" i="4"/>
  <c r="N341" i="4"/>
  <c r="N349" i="4"/>
  <c r="N357" i="4"/>
  <c r="N365" i="4"/>
  <c r="N373" i="4"/>
  <c r="N381" i="4"/>
  <c r="N389" i="4"/>
  <c r="N397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501" i="4"/>
  <c r="N509" i="4"/>
  <c r="N517" i="4"/>
  <c r="N525" i="4"/>
  <c r="N533" i="4"/>
  <c r="N541" i="4"/>
  <c r="N549" i="4"/>
  <c r="N557" i="4"/>
  <c r="N565" i="4"/>
  <c r="N573" i="4"/>
  <c r="N581" i="4"/>
  <c r="N589" i="4"/>
  <c r="N597" i="4"/>
  <c r="N605" i="4"/>
  <c r="N613" i="4"/>
  <c r="N621" i="4"/>
  <c r="N629" i="4"/>
  <c r="N637" i="4"/>
  <c r="N645" i="4"/>
  <c r="N653" i="4"/>
  <c r="N661" i="4"/>
  <c r="N669" i="4"/>
  <c r="N677" i="4"/>
  <c r="N6" i="4"/>
  <c r="N7" i="4"/>
  <c r="N15" i="4"/>
  <c r="N23" i="4"/>
  <c r="N31" i="4"/>
  <c r="N39" i="4"/>
  <c r="N47" i="4"/>
  <c r="N55" i="4"/>
  <c r="N63" i="4"/>
  <c r="N71" i="4"/>
  <c r="N8" i="4"/>
  <c r="N9" i="4"/>
  <c r="N10" i="4"/>
  <c r="N11" i="4"/>
  <c r="N22" i="4"/>
  <c r="N33" i="4"/>
  <c r="N43" i="4"/>
  <c r="N54" i="4"/>
  <c r="N65" i="4"/>
  <c r="N75" i="4"/>
  <c r="N84" i="4"/>
  <c r="N94" i="4"/>
  <c r="N103" i="4"/>
  <c r="N112" i="4"/>
  <c r="N121" i="4"/>
  <c r="N130" i="4"/>
  <c r="N139" i="4"/>
  <c r="N148" i="4"/>
  <c r="N158" i="4"/>
  <c r="N167" i="4"/>
  <c r="N176" i="4"/>
  <c r="N185" i="4"/>
  <c r="N194" i="4"/>
  <c r="N203" i="4"/>
  <c r="N212" i="4"/>
  <c r="N222" i="4"/>
  <c r="N231" i="4"/>
  <c r="N240" i="4"/>
  <c r="N249" i="4"/>
  <c r="N258" i="4"/>
  <c r="N267" i="4"/>
  <c r="N276" i="4"/>
  <c r="N286" i="4"/>
  <c r="N295" i="4"/>
  <c r="N304" i="4"/>
  <c r="N313" i="4"/>
  <c r="N322" i="4"/>
  <c r="N331" i="4"/>
  <c r="N340" i="4"/>
  <c r="N350" i="4"/>
  <c r="N359" i="4"/>
  <c r="N368" i="4"/>
  <c r="N377" i="4"/>
  <c r="N386" i="4"/>
  <c r="N395" i="4"/>
  <c r="N404" i="4"/>
  <c r="N414" i="4"/>
  <c r="N423" i="4"/>
  <c r="N432" i="4"/>
  <c r="N441" i="4"/>
  <c r="N450" i="4"/>
  <c r="N459" i="4"/>
  <c r="N468" i="4"/>
  <c r="N478" i="4"/>
  <c r="N487" i="4"/>
  <c r="N496" i="4"/>
  <c r="N505" i="4"/>
  <c r="N514" i="4"/>
  <c r="N523" i="4"/>
  <c r="N532" i="4"/>
  <c r="N542" i="4"/>
  <c r="N551" i="4"/>
  <c r="N560" i="4"/>
  <c r="N569" i="4"/>
  <c r="N578" i="4"/>
  <c r="N587" i="4"/>
  <c r="N596" i="4"/>
  <c r="N606" i="4"/>
  <c r="N615" i="4"/>
  <c r="N624" i="4"/>
  <c r="N633" i="4"/>
  <c r="N642" i="4"/>
  <c r="N651" i="4"/>
  <c r="N660" i="4"/>
  <c r="N670" i="4"/>
  <c r="N679" i="4"/>
  <c r="N687" i="4"/>
  <c r="N695" i="4"/>
  <c r="N703" i="4"/>
  <c r="N711" i="4"/>
  <c r="N719" i="4"/>
  <c r="N727" i="4"/>
  <c r="N735" i="4"/>
  <c r="N743" i="4"/>
  <c r="N751" i="4"/>
  <c r="N759" i="4"/>
  <c r="N767" i="4"/>
  <c r="N775" i="4"/>
  <c r="N12" i="4"/>
  <c r="N24" i="4"/>
  <c r="N34" i="4"/>
  <c r="N44" i="4"/>
  <c r="N56" i="4"/>
  <c r="N66" i="4"/>
  <c r="N76" i="4"/>
  <c r="N86" i="4"/>
  <c r="N95" i="4"/>
  <c r="N104" i="4"/>
  <c r="N113" i="4"/>
  <c r="N122" i="4"/>
  <c r="N131" i="4"/>
  <c r="N140" i="4"/>
  <c r="N150" i="4"/>
  <c r="N159" i="4"/>
  <c r="N168" i="4"/>
  <c r="N177" i="4"/>
  <c r="N186" i="4"/>
  <c r="N195" i="4"/>
  <c r="N204" i="4"/>
  <c r="N214" i="4"/>
  <c r="N223" i="4"/>
  <c r="N232" i="4"/>
  <c r="N241" i="4"/>
  <c r="N250" i="4"/>
  <c r="N259" i="4"/>
  <c r="N268" i="4"/>
  <c r="N278" i="4"/>
  <c r="N287" i="4"/>
  <c r="N296" i="4"/>
  <c r="N305" i="4"/>
  <c r="N314" i="4"/>
  <c r="N323" i="4"/>
  <c r="N332" i="4"/>
  <c r="N342" i="4"/>
  <c r="N351" i="4"/>
  <c r="N360" i="4"/>
  <c r="N369" i="4"/>
  <c r="N378" i="4"/>
  <c r="N387" i="4"/>
  <c r="N396" i="4"/>
  <c r="N406" i="4"/>
  <c r="N415" i="4"/>
  <c r="N424" i="4"/>
  <c r="N433" i="4"/>
  <c r="N442" i="4"/>
  <c r="N451" i="4"/>
  <c r="N460" i="4"/>
  <c r="N470" i="4"/>
  <c r="N479" i="4"/>
  <c r="N488" i="4"/>
  <c r="N497" i="4"/>
  <c r="N506" i="4"/>
  <c r="N515" i="4"/>
  <c r="N524" i="4"/>
  <c r="N534" i="4"/>
  <c r="N543" i="4"/>
  <c r="N552" i="4"/>
  <c r="N561" i="4"/>
  <c r="N570" i="4"/>
  <c r="N579" i="4"/>
  <c r="N588" i="4"/>
  <c r="N598" i="4"/>
  <c r="N607" i="4"/>
  <c r="N616" i="4"/>
  <c r="N625" i="4"/>
  <c r="N634" i="4"/>
  <c r="N643" i="4"/>
  <c r="N652" i="4"/>
  <c r="N662" i="4"/>
  <c r="N671" i="4"/>
  <c r="N680" i="4"/>
  <c r="N688" i="4"/>
  <c r="N696" i="4"/>
  <c r="N704" i="4"/>
  <c r="N712" i="4"/>
  <c r="N720" i="4"/>
  <c r="N728" i="4"/>
  <c r="N736" i="4"/>
  <c r="N744" i="4"/>
  <c r="N752" i="4"/>
  <c r="N760" i="4"/>
  <c r="N768" i="4"/>
  <c r="N776" i="4"/>
  <c r="N14" i="4"/>
  <c r="N25" i="4"/>
  <c r="N35" i="4"/>
  <c r="N46" i="4"/>
  <c r="N57" i="4"/>
  <c r="N67" i="4"/>
  <c r="N78" i="4"/>
  <c r="N87" i="4"/>
  <c r="N96" i="4"/>
  <c r="N105" i="4"/>
  <c r="N114" i="4"/>
  <c r="N123" i="4"/>
  <c r="N132" i="4"/>
  <c r="N142" i="4"/>
  <c r="N151" i="4"/>
  <c r="N160" i="4"/>
  <c r="N169" i="4"/>
  <c r="N178" i="4"/>
  <c r="N187" i="4"/>
  <c r="N196" i="4"/>
  <c r="N206" i="4"/>
  <c r="N215" i="4"/>
  <c r="N224" i="4"/>
  <c r="N233" i="4"/>
  <c r="N242" i="4"/>
  <c r="N251" i="4"/>
  <c r="N260" i="4"/>
  <c r="N270" i="4"/>
  <c r="N279" i="4"/>
  <c r="N288" i="4"/>
  <c r="N297" i="4"/>
  <c r="N306" i="4"/>
  <c r="N315" i="4"/>
  <c r="N324" i="4"/>
  <c r="N334" i="4"/>
  <c r="N343" i="4"/>
  <c r="N352" i="4"/>
  <c r="N361" i="4"/>
  <c r="N370" i="4"/>
  <c r="N379" i="4"/>
  <c r="N388" i="4"/>
  <c r="N398" i="4"/>
  <c r="N407" i="4"/>
  <c r="N416" i="4"/>
  <c r="N425" i="4"/>
  <c r="N434" i="4"/>
  <c r="N443" i="4"/>
  <c r="N452" i="4"/>
  <c r="N462" i="4"/>
  <c r="N471" i="4"/>
  <c r="N480" i="4"/>
  <c r="N489" i="4"/>
  <c r="N498" i="4"/>
  <c r="N507" i="4"/>
  <c r="N516" i="4"/>
  <c r="N526" i="4"/>
  <c r="N535" i="4"/>
  <c r="N544" i="4"/>
  <c r="N553" i="4"/>
  <c r="N562" i="4"/>
  <c r="N571" i="4"/>
  <c r="N580" i="4"/>
  <c r="N590" i="4"/>
  <c r="N599" i="4"/>
  <c r="N608" i="4"/>
  <c r="N617" i="4"/>
  <c r="N626" i="4"/>
  <c r="N635" i="4"/>
  <c r="N16" i="4"/>
  <c r="N26" i="4"/>
  <c r="N36" i="4"/>
  <c r="N48" i="4"/>
  <c r="N58" i="4"/>
  <c r="N68" i="4"/>
  <c r="N79" i="4"/>
  <c r="N88" i="4"/>
  <c r="N97" i="4"/>
  <c r="N106" i="4"/>
  <c r="N115" i="4"/>
  <c r="N124" i="4"/>
  <c r="N134" i="4"/>
  <c r="N143" i="4"/>
  <c r="N152" i="4"/>
  <c r="N161" i="4"/>
  <c r="N170" i="4"/>
  <c r="N179" i="4"/>
  <c r="N188" i="4"/>
  <c r="N198" i="4"/>
  <c r="N207" i="4"/>
  <c r="N216" i="4"/>
  <c r="N225" i="4"/>
  <c r="N234" i="4"/>
  <c r="N243" i="4"/>
  <c r="N252" i="4"/>
  <c r="N262" i="4"/>
  <c r="N271" i="4"/>
  <c r="N280" i="4"/>
  <c r="N289" i="4"/>
  <c r="N298" i="4"/>
  <c r="N307" i="4"/>
  <c r="N316" i="4"/>
  <c r="N326" i="4"/>
  <c r="N335" i="4"/>
  <c r="N344" i="4"/>
  <c r="N353" i="4"/>
  <c r="N362" i="4"/>
  <c r="N371" i="4"/>
  <c r="N380" i="4"/>
  <c r="N390" i="4"/>
  <c r="N399" i="4"/>
  <c r="N408" i="4"/>
  <c r="N417" i="4"/>
  <c r="N426" i="4"/>
  <c r="N435" i="4"/>
  <c r="N444" i="4"/>
  <c r="N454" i="4"/>
  <c r="N463" i="4"/>
  <c r="N472" i="4"/>
  <c r="N481" i="4"/>
  <c r="N490" i="4"/>
  <c r="N499" i="4"/>
  <c r="N508" i="4"/>
  <c r="N518" i="4"/>
  <c r="N527" i="4"/>
  <c r="N536" i="4"/>
  <c r="N545" i="4"/>
  <c r="N554" i="4"/>
  <c r="N563" i="4"/>
  <c r="N572" i="4"/>
  <c r="N582" i="4"/>
  <c r="N591" i="4"/>
  <c r="N600" i="4"/>
  <c r="N609" i="4"/>
  <c r="N618" i="4"/>
  <c r="N627" i="4"/>
  <c r="N636" i="4"/>
  <c r="N17" i="4"/>
  <c r="N38" i="4"/>
  <c r="N59" i="4"/>
  <c r="N80" i="4"/>
  <c r="N98" i="4"/>
  <c r="N116" i="4"/>
  <c r="N135" i="4"/>
  <c r="N153" i="4"/>
  <c r="N171" i="4"/>
  <c r="N190" i="4"/>
  <c r="N208" i="4"/>
  <c r="N226" i="4"/>
  <c r="N244" i="4"/>
  <c r="N263" i="4"/>
  <c r="N281" i="4"/>
  <c r="N299" i="4"/>
  <c r="N318" i="4"/>
  <c r="N336" i="4"/>
  <c r="N354" i="4"/>
  <c r="N372" i="4"/>
  <c r="N391" i="4"/>
  <c r="N409" i="4"/>
  <c r="N427" i="4"/>
  <c r="N446" i="4"/>
  <c r="N464" i="4"/>
  <c r="N482" i="4"/>
  <c r="N500" i="4"/>
  <c r="N519" i="4"/>
  <c r="N537" i="4"/>
  <c r="N555" i="4"/>
  <c r="N574" i="4"/>
  <c r="N592" i="4"/>
  <c r="N610" i="4"/>
  <c r="N628" i="4"/>
  <c r="N644" i="4"/>
  <c r="N656" i="4"/>
  <c r="N667" i="4"/>
  <c r="N681" i="4"/>
  <c r="N691" i="4"/>
  <c r="N701" i="4"/>
  <c r="N713" i="4"/>
  <c r="N723" i="4"/>
  <c r="N733" i="4"/>
  <c r="N745" i="4"/>
  <c r="N755" i="4"/>
  <c r="N765" i="4"/>
  <c r="N777" i="4"/>
  <c r="N785" i="4"/>
  <c r="N793" i="4"/>
  <c r="N801" i="4"/>
  <c r="N809" i="4"/>
  <c r="N817" i="4"/>
  <c r="N825" i="4"/>
  <c r="N833" i="4"/>
  <c r="N841" i="4"/>
  <c r="N849" i="4"/>
  <c r="N857" i="4"/>
  <c r="N64" i="4"/>
  <c r="N102" i="4"/>
  <c r="N120" i="4"/>
  <c r="N175" i="4"/>
  <c r="N211" i="4"/>
  <c r="N248" i="4"/>
  <c r="N284" i="4"/>
  <c r="N321" i="4"/>
  <c r="N358" i="4"/>
  <c r="N18" i="4"/>
  <c r="N40" i="4"/>
  <c r="N60" i="4"/>
  <c r="N81" i="4"/>
  <c r="N99" i="4"/>
  <c r="N118" i="4"/>
  <c r="N136" i="4"/>
  <c r="N154" i="4"/>
  <c r="N172" i="4"/>
  <c r="N191" i="4"/>
  <c r="N209" i="4"/>
  <c r="N227" i="4"/>
  <c r="N246" i="4"/>
  <c r="N264" i="4"/>
  <c r="N282" i="4"/>
  <c r="N300" i="4"/>
  <c r="N319" i="4"/>
  <c r="N337" i="4"/>
  <c r="N355" i="4"/>
  <c r="N374" i="4"/>
  <c r="N392" i="4"/>
  <c r="N410" i="4"/>
  <c r="N428" i="4"/>
  <c r="N447" i="4"/>
  <c r="N465" i="4"/>
  <c r="N483" i="4"/>
  <c r="N502" i="4"/>
  <c r="N520" i="4"/>
  <c r="N538" i="4"/>
  <c r="N556" i="4"/>
  <c r="N575" i="4"/>
  <c r="N593" i="4"/>
  <c r="N611" i="4"/>
  <c r="N630" i="4"/>
  <c r="N646" i="4"/>
  <c r="N657" i="4"/>
  <c r="N668" i="4"/>
  <c r="N682" i="4"/>
  <c r="N692" i="4"/>
  <c r="N702" i="4"/>
  <c r="N714" i="4"/>
  <c r="N724" i="4"/>
  <c r="N734" i="4"/>
  <c r="N746" i="4"/>
  <c r="N756" i="4"/>
  <c r="N766" i="4"/>
  <c r="N778" i="4"/>
  <c r="N786" i="4"/>
  <c r="N794" i="4"/>
  <c r="N802" i="4"/>
  <c r="N810" i="4"/>
  <c r="N818" i="4"/>
  <c r="N826" i="4"/>
  <c r="N834" i="4"/>
  <c r="N842" i="4"/>
  <c r="N850" i="4"/>
  <c r="N858" i="4"/>
  <c r="N42" i="4"/>
  <c r="N83" i="4"/>
  <c r="N138" i="4"/>
  <c r="N156" i="4"/>
  <c r="N193" i="4"/>
  <c r="N230" i="4"/>
  <c r="N266" i="4"/>
  <c r="N303" i="4"/>
  <c r="N339" i="4"/>
  <c r="N394" i="4"/>
  <c r="N412" i="4"/>
  <c r="N431" i="4"/>
  <c r="N449" i="4"/>
  <c r="N486" i="4"/>
  <c r="N522" i="4"/>
  <c r="N559" i="4"/>
  <c r="N595" i="4"/>
  <c r="N632" i="4"/>
  <c r="N659" i="4"/>
  <c r="N684" i="4"/>
  <c r="N706" i="4"/>
  <c r="N726" i="4"/>
  <c r="N748" i="4"/>
  <c r="N770" i="4"/>
  <c r="N788" i="4"/>
  <c r="N804" i="4"/>
  <c r="N820" i="4"/>
  <c r="N836" i="4"/>
  <c r="N19" i="4"/>
  <c r="N41" i="4"/>
  <c r="N62" i="4"/>
  <c r="N82" i="4"/>
  <c r="N100" i="4"/>
  <c r="N119" i="4"/>
  <c r="N137" i="4"/>
  <c r="N155" i="4"/>
  <c r="N174" i="4"/>
  <c r="N192" i="4"/>
  <c r="N210" i="4"/>
  <c r="N228" i="4"/>
  <c r="N247" i="4"/>
  <c r="N265" i="4"/>
  <c r="N283" i="4"/>
  <c r="N302" i="4"/>
  <c r="N320" i="4"/>
  <c r="N338" i="4"/>
  <c r="N356" i="4"/>
  <c r="N375" i="4"/>
  <c r="N393" i="4"/>
  <c r="N411" i="4"/>
  <c r="N430" i="4"/>
  <c r="N448" i="4"/>
  <c r="N466" i="4"/>
  <c r="N484" i="4"/>
  <c r="N503" i="4"/>
  <c r="N521" i="4"/>
  <c r="N539" i="4"/>
  <c r="N558" i="4"/>
  <c r="N576" i="4"/>
  <c r="N594" i="4"/>
  <c r="N612" i="4"/>
  <c r="N631" i="4"/>
  <c r="N647" i="4"/>
  <c r="N658" i="4"/>
  <c r="N672" i="4"/>
  <c r="N683" i="4"/>
  <c r="N693" i="4"/>
  <c r="N705" i="4"/>
  <c r="N715" i="4"/>
  <c r="N725" i="4"/>
  <c r="N737" i="4"/>
  <c r="N747" i="4"/>
  <c r="N757" i="4"/>
  <c r="N769" i="4"/>
  <c r="N779" i="4"/>
  <c r="N787" i="4"/>
  <c r="N795" i="4"/>
  <c r="N803" i="4"/>
  <c r="N811" i="4"/>
  <c r="N819" i="4"/>
  <c r="N827" i="4"/>
  <c r="N835" i="4"/>
  <c r="N843" i="4"/>
  <c r="N851" i="4"/>
  <c r="N20" i="4"/>
  <c r="N376" i="4"/>
  <c r="N467" i="4"/>
  <c r="N504" i="4"/>
  <c r="N540" i="4"/>
  <c r="N577" i="4"/>
  <c r="N614" i="4"/>
  <c r="N648" i="4"/>
  <c r="N673" i="4"/>
  <c r="N694" i="4"/>
  <c r="N716" i="4"/>
  <c r="N738" i="4"/>
  <c r="N758" i="4"/>
  <c r="N780" i="4"/>
  <c r="N796" i="4"/>
  <c r="N812" i="4"/>
  <c r="N828" i="4"/>
  <c r="N844" i="4"/>
  <c r="N27" i="4"/>
  <c r="N70" i="4"/>
  <c r="N107" i="4"/>
  <c r="N144" i="4"/>
  <c r="N180" i="4"/>
  <c r="N217" i="4"/>
  <c r="N254" i="4"/>
  <c r="N290" i="4"/>
  <c r="N327" i="4"/>
  <c r="N363" i="4"/>
  <c r="N400" i="4"/>
  <c r="N436" i="4"/>
  <c r="N473" i="4"/>
  <c r="N510" i="4"/>
  <c r="N546" i="4"/>
  <c r="N583" i="4"/>
  <c r="N619" i="4"/>
  <c r="N649" i="4"/>
  <c r="N674" i="4"/>
  <c r="N697" i="4"/>
  <c r="N717" i="4"/>
  <c r="N739" i="4"/>
  <c r="N761" i="4"/>
  <c r="N781" i="4"/>
  <c r="N797" i="4"/>
  <c r="N813" i="4"/>
  <c r="N829" i="4"/>
  <c r="N845" i="4"/>
  <c r="N856" i="4"/>
  <c r="N547" i="4"/>
  <c r="N620" i="4"/>
  <c r="N675" i="4"/>
  <c r="N718" i="4"/>
  <c r="N740" i="4"/>
  <c r="N782" i="4"/>
  <c r="N798" i="4"/>
  <c r="N830" i="4"/>
  <c r="N846" i="4"/>
  <c r="N622" i="4"/>
  <c r="N741" i="4"/>
  <c r="N799" i="4"/>
  <c r="N764" i="4"/>
  <c r="N848" i="4"/>
  <c r="N837" i="4"/>
  <c r="N806" i="4"/>
  <c r="N238" i="4"/>
  <c r="N420" i="4"/>
  <c r="N689" i="4"/>
  <c r="N839" i="4"/>
  <c r="N239" i="4"/>
  <c r="N458" i="4"/>
  <c r="N666" i="4"/>
  <c r="N808" i="4"/>
  <c r="N28" i="4"/>
  <c r="N72" i="4"/>
  <c r="N108" i="4"/>
  <c r="N145" i="4"/>
  <c r="N182" i="4"/>
  <c r="N218" i="4"/>
  <c r="N255" i="4"/>
  <c r="N291" i="4"/>
  <c r="N328" i="4"/>
  <c r="N364" i="4"/>
  <c r="N401" i="4"/>
  <c r="N438" i="4"/>
  <c r="N474" i="4"/>
  <c r="N511" i="4"/>
  <c r="N584" i="4"/>
  <c r="N650" i="4"/>
  <c r="N698" i="4"/>
  <c r="N762" i="4"/>
  <c r="N814" i="4"/>
  <c r="N585" i="4"/>
  <c r="N676" i="4"/>
  <c r="N721" i="4"/>
  <c r="N783" i="4"/>
  <c r="N831" i="4"/>
  <c r="N800" i="4"/>
  <c r="N789" i="4"/>
  <c r="N853" i="4"/>
  <c r="N164" i="4"/>
  <c r="N567" i="4"/>
  <c r="N791" i="4"/>
  <c r="N202" i="4"/>
  <c r="N422" i="4"/>
  <c r="N641" i="4"/>
  <c r="N774" i="4"/>
  <c r="N30" i="4"/>
  <c r="N73" i="4"/>
  <c r="N110" i="4"/>
  <c r="N146" i="4"/>
  <c r="N183" i="4"/>
  <c r="N219" i="4"/>
  <c r="N256" i="4"/>
  <c r="N292" i="4"/>
  <c r="N329" i="4"/>
  <c r="N366" i="4"/>
  <c r="N402" i="4"/>
  <c r="N439" i="4"/>
  <c r="N475" i="4"/>
  <c r="N512" i="4"/>
  <c r="N548" i="4"/>
  <c r="N654" i="4"/>
  <c r="N699" i="4"/>
  <c r="N763" i="4"/>
  <c r="N815" i="4"/>
  <c r="N847" i="4"/>
  <c r="N816" i="4"/>
  <c r="N832" i="4"/>
  <c r="N805" i="4"/>
  <c r="N852" i="4"/>
  <c r="N128" i="4"/>
  <c r="N530" i="4"/>
  <c r="N753" i="4"/>
  <c r="N92" i="4"/>
  <c r="N348" i="4"/>
  <c r="N568" i="4"/>
  <c r="N732" i="4"/>
  <c r="N840" i="4"/>
  <c r="N32" i="4"/>
  <c r="N74" i="4"/>
  <c r="N111" i="4"/>
  <c r="N147" i="4"/>
  <c r="N184" i="4"/>
  <c r="N220" i="4"/>
  <c r="N257" i="4"/>
  <c r="N294" i="4"/>
  <c r="N330" i="4"/>
  <c r="N367" i="4"/>
  <c r="N403" i="4"/>
  <c r="N440" i="4"/>
  <c r="N476" i="4"/>
  <c r="N513" i="4"/>
  <c r="N550" i="4"/>
  <c r="N586" i="4"/>
  <c r="N623" i="4"/>
  <c r="N655" i="4"/>
  <c r="N678" i="4"/>
  <c r="N700" i="4"/>
  <c r="N722" i="4"/>
  <c r="N742" i="4"/>
  <c r="N784" i="4"/>
  <c r="N771" i="4"/>
  <c r="N822" i="4"/>
  <c r="N51" i="4"/>
  <c r="N603" i="4"/>
  <c r="N773" i="4"/>
  <c r="N166" i="4"/>
  <c r="N275" i="4"/>
  <c r="N495" i="4"/>
  <c r="N710" i="4"/>
  <c r="N824" i="4"/>
  <c r="N49" i="4"/>
  <c r="N89" i="4"/>
  <c r="N126" i="4"/>
  <c r="N162" i="4"/>
  <c r="N199" i="4"/>
  <c r="N235" i="4"/>
  <c r="N272" i="4"/>
  <c r="N308" i="4"/>
  <c r="N345" i="4"/>
  <c r="N382" i="4"/>
  <c r="N418" i="4"/>
  <c r="N455" i="4"/>
  <c r="N491" i="4"/>
  <c r="N528" i="4"/>
  <c r="N564" i="4"/>
  <c r="N601" i="4"/>
  <c r="N638" i="4"/>
  <c r="N663" i="4"/>
  <c r="N685" i="4"/>
  <c r="N707" i="4"/>
  <c r="N729" i="4"/>
  <c r="N749" i="4"/>
  <c r="N821" i="4"/>
  <c r="N91" i="4"/>
  <c r="N274" i="4"/>
  <c r="N347" i="4"/>
  <c r="N457" i="4"/>
  <c r="N665" i="4"/>
  <c r="N731" i="4"/>
  <c r="N823" i="4"/>
  <c r="N52" i="4"/>
  <c r="N385" i="4"/>
  <c r="N604" i="4"/>
  <c r="N754" i="4"/>
  <c r="N855" i="4"/>
  <c r="N50" i="4"/>
  <c r="N90" i="4"/>
  <c r="N127" i="4"/>
  <c r="N163" i="4"/>
  <c r="N200" i="4"/>
  <c r="N236" i="4"/>
  <c r="N273" i="4"/>
  <c r="N310" i="4"/>
  <c r="N346" i="4"/>
  <c r="N383" i="4"/>
  <c r="N419" i="4"/>
  <c r="N456" i="4"/>
  <c r="N492" i="4"/>
  <c r="N529" i="4"/>
  <c r="N566" i="4"/>
  <c r="N602" i="4"/>
  <c r="N639" i="4"/>
  <c r="N664" i="4"/>
  <c r="N686" i="4"/>
  <c r="N708" i="4"/>
  <c r="N730" i="4"/>
  <c r="N750" i="4"/>
  <c r="N772" i="4"/>
  <c r="N790" i="4"/>
  <c r="N838" i="4"/>
  <c r="N201" i="4"/>
  <c r="N311" i="4"/>
  <c r="N384" i="4"/>
  <c r="N494" i="4"/>
  <c r="N640" i="4"/>
  <c r="N709" i="4"/>
  <c r="N807" i="4"/>
  <c r="N854" i="4"/>
  <c r="N129" i="4"/>
  <c r="N312" i="4"/>
  <c r="N531" i="4"/>
  <c r="N690" i="4"/>
  <c r="N792" i="4"/>
  <c r="E810" i="4"/>
  <c r="E786" i="4"/>
  <c r="E778" i="4"/>
  <c r="E770" i="4"/>
  <c r="E762" i="4"/>
  <c r="E802" i="4"/>
  <c r="E858" i="4"/>
  <c r="E794" i="4"/>
  <c r="E850" i="4"/>
  <c r="E842" i="4"/>
  <c r="E834" i="4"/>
  <c r="E826" i="4"/>
  <c r="E818" i="4"/>
  <c r="E754" i="4"/>
  <c r="E746" i="4"/>
  <c r="E730" i="4"/>
  <c r="E722" i="4"/>
  <c r="E690" i="4"/>
  <c r="E658" i="4"/>
  <c r="E626" i="4"/>
  <c r="E586" i="4"/>
  <c r="E538" i="4"/>
  <c r="E514" i="4"/>
  <c r="E474" i="4"/>
  <c r="E434" i="4"/>
  <c r="E394" i="4"/>
  <c r="E354" i="4"/>
  <c r="E314" i="4"/>
  <c r="E282" i="4"/>
  <c r="E250" i="4"/>
  <c r="E210" i="4"/>
  <c r="E162" i="4"/>
  <c r="E122" i="4"/>
  <c r="E78" i="4"/>
  <c r="E45" i="4"/>
  <c r="G703" i="4"/>
  <c r="G365" i="4"/>
  <c r="E857" i="4"/>
  <c r="E817" i="4"/>
  <c r="E793" i="4"/>
  <c r="E745" i="4"/>
  <c r="E705" i="4"/>
  <c r="E665" i="4"/>
  <c r="E625" i="4"/>
  <c r="E585" i="4"/>
  <c r="E545" i="4"/>
  <c r="E513" i="4"/>
  <c r="E473" i="4"/>
  <c r="E433" i="4"/>
  <c r="E401" i="4"/>
  <c r="E361" i="4"/>
  <c r="E321" i="4"/>
  <c r="E281" i="4"/>
  <c r="E241" i="4"/>
  <c r="E201" i="4"/>
  <c r="E169" i="4"/>
  <c r="E129" i="4"/>
  <c r="E88" i="4"/>
  <c r="E44" i="4"/>
  <c r="E12" i="4"/>
  <c r="G685" i="4"/>
  <c r="G516" i="4"/>
  <c r="E856" i="4"/>
  <c r="E816" i="4"/>
  <c r="E784" i="4"/>
  <c r="E768" i="4"/>
  <c r="E736" i="4"/>
  <c r="E728" i="4"/>
  <c r="E720" i="4"/>
  <c r="E712" i="4"/>
  <c r="E704" i="4"/>
  <c r="E696" i="4"/>
  <c r="E688" i="4"/>
  <c r="E680" i="4"/>
  <c r="E672" i="4"/>
  <c r="E664" i="4"/>
  <c r="E656" i="4"/>
  <c r="E648" i="4"/>
  <c r="E640" i="4"/>
  <c r="E632" i="4"/>
  <c r="E624" i="4"/>
  <c r="E616" i="4"/>
  <c r="E608" i="4"/>
  <c r="E600" i="4"/>
  <c r="E592" i="4"/>
  <c r="E584" i="4"/>
  <c r="E576" i="4"/>
  <c r="E568" i="4"/>
  <c r="E560" i="4"/>
  <c r="E552" i="4"/>
  <c r="E544" i="4"/>
  <c r="E536" i="4"/>
  <c r="E528" i="4"/>
  <c r="E520" i="4"/>
  <c r="E512" i="4"/>
  <c r="E504" i="4"/>
  <c r="E496" i="4"/>
  <c r="E488" i="4"/>
  <c r="E480" i="4"/>
  <c r="E472" i="4"/>
  <c r="E464" i="4"/>
  <c r="E456" i="4"/>
  <c r="E448" i="4"/>
  <c r="E440" i="4"/>
  <c r="E432" i="4"/>
  <c r="E424" i="4"/>
  <c r="E416" i="4"/>
  <c r="E408" i="4"/>
  <c r="E400" i="4"/>
  <c r="E392" i="4"/>
  <c r="E384" i="4"/>
  <c r="E376" i="4"/>
  <c r="E368" i="4"/>
  <c r="E360" i="4"/>
  <c r="E352" i="4"/>
  <c r="E344" i="4"/>
  <c r="E336" i="4"/>
  <c r="E328" i="4"/>
  <c r="E320" i="4"/>
  <c r="E312" i="4"/>
  <c r="E304" i="4"/>
  <c r="E296" i="4"/>
  <c r="E288" i="4"/>
  <c r="E280" i="4"/>
  <c r="E272" i="4"/>
  <c r="E264" i="4"/>
  <c r="E256" i="4"/>
  <c r="E248" i="4"/>
  <c r="E240" i="4"/>
  <c r="E232" i="4"/>
  <c r="E224" i="4"/>
  <c r="E216" i="4"/>
  <c r="E208" i="4"/>
  <c r="E200" i="4"/>
  <c r="E192" i="4"/>
  <c r="E184" i="4"/>
  <c r="E176" i="4"/>
  <c r="E168" i="4"/>
  <c r="E160" i="4"/>
  <c r="E152" i="4"/>
  <c r="E144" i="4"/>
  <c r="E136" i="4"/>
  <c r="E128" i="4"/>
  <c r="E120" i="4"/>
  <c r="E112" i="4"/>
  <c r="E104" i="4"/>
  <c r="E96" i="4"/>
  <c r="E86" i="4"/>
  <c r="E76" i="4"/>
  <c r="E66" i="4"/>
  <c r="E54" i="4"/>
  <c r="E40" i="4"/>
  <c r="E24" i="4"/>
  <c r="E8" i="4"/>
  <c r="G786" i="4"/>
  <c r="G663" i="4"/>
  <c r="G493" i="4"/>
  <c r="G324" i="4"/>
  <c r="G151" i="4"/>
  <c r="H538" i="4"/>
  <c r="E738" i="4"/>
  <c r="E698" i="4"/>
  <c r="E650" i="4"/>
  <c r="E602" i="4"/>
  <c r="E562" i="4"/>
  <c r="E522" i="4"/>
  <c r="E482" i="4"/>
  <c r="E442" i="4"/>
  <c r="E402" i="4"/>
  <c r="E370" i="4"/>
  <c r="E330" i="4"/>
  <c r="E290" i="4"/>
  <c r="E242" i="4"/>
  <c r="E202" i="4"/>
  <c r="E170" i="4"/>
  <c r="E130" i="4"/>
  <c r="E89" i="4"/>
  <c r="E29" i="4"/>
  <c r="G196" i="4"/>
  <c r="E833" i="4"/>
  <c r="E785" i="4"/>
  <c r="E753" i="4"/>
  <c r="E713" i="4"/>
  <c r="E673" i="4"/>
  <c r="E633" i="4"/>
  <c r="E593" i="4"/>
  <c r="E561" i="4"/>
  <c r="E521" i="4"/>
  <c r="E481" i="4"/>
  <c r="E441" i="4"/>
  <c r="E409" i="4"/>
  <c r="E369" i="4"/>
  <c r="E329" i="4"/>
  <c r="E289" i="4"/>
  <c r="E249" i="4"/>
  <c r="E209" i="4"/>
  <c r="E161" i="4"/>
  <c r="E121" i="4"/>
  <c r="E77" i="4"/>
  <c r="G797" i="4"/>
  <c r="G343" i="4"/>
  <c r="E832" i="4"/>
  <c r="E776" i="4"/>
  <c r="E839" i="4"/>
  <c r="E807" i="4"/>
  <c r="E751" i="4"/>
  <c r="E719" i="4"/>
  <c r="E695" i="4"/>
  <c r="E663" i="4"/>
  <c r="E639" i="4"/>
  <c r="E631" i="4"/>
  <c r="E623" i="4"/>
  <c r="E591" i="4"/>
  <c r="E583" i="4"/>
  <c r="E575" i="4"/>
  <c r="E567" i="4"/>
  <c r="E559" i="4"/>
  <c r="E551" i="4"/>
  <c r="E543" i="4"/>
  <c r="E535" i="4"/>
  <c r="E527" i="4"/>
  <c r="E519" i="4"/>
  <c r="E511" i="4"/>
  <c r="E503" i="4"/>
  <c r="E495" i="4"/>
  <c r="E487" i="4"/>
  <c r="E479" i="4"/>
  <c r="E471" i="4"/>
  <c r="E463" i="4"/>
  <c r="E455" i="4"/>
  <c r="E447" i="4"/>
  <c r="E439" i="4"/>
  <c r="E431" i="4"/>
  <c r="E423" i="4"/>
  <c r="E415" i="4"/>
  <c r="E407" i="4"/>
  <c r="E399" i="4"/>
  <c r="E391" i="4"/>
  <c r="E383" i="4"/>
  <c r="E375" i="4"/>
  <c r="E367" i="4"/>
  <c r="E359" i="4"/>
  <c r="E351" i="4"/>
  <c r="E343" i="4"/>
  <c r="E335" i="4"/>
  <c r="E327" i="4"/>
  <c r="E319" i="4"/>
  <c r="E311" i="4"/>
  <c r="E303" i="4"/>
  <c r="E295" i="4"/>
  <c r="E287" i="4"/>
  <c r="E279" i="4"/>
  <c r="E271" i="4"/>
  <c r="E263" i="4"/>
  <c r="E255" i="4"/>
  <c r="E247" i="4"/>
  <c r="E239" i="4"/>
  <c r="E231" i="4"/>
  <c r="E223" i="4"/>
  <c r="E215" i="4"/>
  <c r="E207" i="4"/>
  <c r="E199" i="4"/>
  <c r="E191" i="4"/>
  <c r="E183" i="4"/>
  <c r="E175" i="4"/>
  <c r="E167" i="4"/>
  <c r="E159" i="4"/>
  <c r="E151" i="4"/>
  <c r="E143" i="4"/>
  <c r="E135" i="4"/>
  <c r="E127" i="4"/>
  <c r="E119" i="4"/>
  <c r="E111" i="4"/>
  <c r="E103" i="4"/>
  <c r="E94" i="4"/>
  <c r="E85" i="4"/>
  <c r="E75" i="4"/>
  <c r="E64" i="4"/>
  <c r="E53" i="4"/>
  <c r="E38" i="4"/>
  <c r="E22" i="4"/>
  <c r="E6" i="4"/>
  <c r="G3" i="4"/>
  <c r="G772" i="4"/>
  <c r="G644" i="4"/>
  <c r="G471" i="4"/>
  <c r="G301" i="4"/>
  <c r="G132" i="4"/>
  <c r="H832" i="4"/>
  <c r="H436" i="4"/>
  <c r="E674" i="4"/>
  <c r="E634" i="4"/>
  <c r="E594" i="4"/>
  <c r="E554" i="4"/>
  <c r="E506" i="4"/>
  <c r="E466" i="4"/>
  <c r="E426" i="4"/>
  <c r="E386" i="4"/>
  <c r="E346" i="4"/>
  <c r="E306" i="4"/>
  <c r="E266" i="4"/>
  <c r="E218" i="4"/>
  <c r="E178" i="4"/>
  <c r="E138" i="4"/>
  <c r="E106" i="4"/>
  <c r="E58" i="4"/>
  <c r="G811" i="4"/>
  <c r="G23" i="4"/>
  <c r="E841" i="4"/>
  <c r="E809" i="4"/>
  <c r="E769" i="4"/>
  <c r="E729" i="4"/>
  <c r="E689" i="4"/>
  <c r="E641" i="4"/>
  <c r="E617" i="4"/>
  <c r="E577" i="4"/>
  <c r="E529" i="4"/>
  <c r="E489" i="4"/>
  <c r="E449" i="4"/>
  <c r="E393" i="4"/>
  <c r="E353" i="4"/>
  <c r="E313" i="4"/>
  <c r="E273" i="4"/>
  <c r="E225" i="4"/>
  <c r="E177" i="4"/>
  <c r="E137" i="4"/>
  <c r="E105" i="4"/>
  <c r="E56" i="4"/>
  <c r="G173" i="4"/>
  <c r="E840" i="4"/>
  <c r="E800" i="4"/>
  <c r="E752" i="4"/>
  <c r="E855" i="4"/>
  <c r="E823" i="4"/>
  <c r="E799" i="4"/>
  <c r="E775" i="4"/>
  <c r="E743" i="4"/>
  <c r="E711" i="4"/>
  <c r="E687" i="4"/>
  <c r="E655" i="4"/>
  <c r="E607" i="4"/>
  <c r="E838" i="4"/>
  <c r="E814" i="4"/>
  <c r="E790" i="4"/>
  <c r="E766" i="4"/>
  <c r="E742" i="4"/>
  <c r="E734" i="4"/>
  <c r="E726" i="4"/>
  <c r="E718" i="4"/>
  <c r="E710" i="4"/>
  <c r="E702" i="4"/>
  <c r="E694" i="4"/>
  <c r="E686" i="4"/>
  <c r="E678" i="4"/>
  <c r="E670" i="4"/>
  <c r="E662" i="4"/>
  <c r="E654" i="4"/>
  <c r="E646" i="4"/>
  <c r="E638" i="4"/>
  <c r="E630" i="4"/>
  <c r="E622" i="4"/>
  <c r="E614" i="4"/>
  <c r="E606" i="4"/>
  <c r="E598" i="4"/>
  <c r="E590" i="4"/>
  <c r="E582" i="4"/>
  <c r="E574" i="4"/>
  <c r="E566" i="4"/>
  <c r="E558" i="4"/>
  <c r="E550" i="4"/>
  <c r="E542" i="4"/>
  <c r="E534" i="4"/>
  <c r="E526" i="4"/>
  <c r="E518" i="4"/>
  <c r="E510" i="4"/>
  <c r="E502" i="4"/>
  <c r="E494" i="4"/>
  <c r="E486" i="4"/>
  <c r="E478" i="4"/>
  <c r="E470" i="4"/>
  <c r="E462" i="4"/>
  <c r="E454" i="4"/>
  <c r="E446" i="4"/>
  <c r="E438" i="4"/>
  <c r="E430" i="4"/>
  <c r="E422" i="4"/>
  <c r="E414" i="4"/>
  <c r="E406" i="4"/>
  <c r="E398" i="4"/>
  <c r="E390" i="4"/>
  <c r="E382" i="4"/>
  <c r="E374" i="4"/>
  <c r="E366" i="4"/>
  <c r="E358" i="4"/>
  <c r="E350" i="4"/>
  <c r="E342" i="4"/>
  <c r="E334" i="4"/>
  <c r="E326" i="4"/>
  <c r="E318" i="4"/>
  <c r="E310" i="4"/>
  <c r="E302" i="4"/>
  <c r="E294" i="4"/>
  <c r="E286" i="4"/>
  <c r="E278" i="4"/>
  <c r="E270" i="4"/>
  <c r="E262" i="4"/>
  <c r="E254" i="4"/>
  <c r="E246" i="4"/>
  <c r="E238" i="4"/>
  <c r="E230" i="4"/>
  <c r="E222" i="4"/>
  <c r="E214" i="4"/>
  <c r="E206" i="4"/>
  <c r="E198" i="4"/>
  <c r="E190" i="4"/>
  <c r="E182" i="4"/>
  <c r="E174" i="4"/>
  <c r="E166" i="4"/>
  <c r="E158" i="4"/>
  <c r="E150" i="4"/>
  <c r="E142" i="4"/>
  <c r="E134" i="4"/>
  <c r="E126" i="4"/>
  <c r="E118" i="4"/>
  <c r="E110" i="4"/>
  <c r="E102" i="4"/>
  <c r="E93" i="4"/>
  <c r="E84" i="4"/>
  <c r="E74" i="4"/>
  <c r="E62" i="4"/>
  <c r="E52" i="4"/>
  <c r="E37" i="4"/>
  <c r="E21" i="4"/>
  <c r="E5" i="4"/>
  <c r="G8" i="4"/>
  <c r="G759" i="4"/>
  <c r="G621" i="4"/>
  <c r="G452" i="4"/>
  <c r="G279" i="4"/>
  <c r="G109" i="4"/>
  <c r="H800" i="4"/>
  <c r="H308" i="4"/>
  <c r="E714" i="4"/>
  <c r="E666" i="4"/>
  <c r="E618" i="4"/>
  <c r="E578" i="4"/>
  <c r="E530" i="4"/>
  <c r="E490" i="4"/>
  <c r="E450" i="4"/>
  <c r="E418" i="4"/>
  <c r="E378" i="4"/>
  <c r="E338" i="4"/>
  <c r="E298" i="4"/>
  <c r="E258" i="4"/>
  <c r="E226" i="4"/>
  <c r="E186" i="4"/>
  <c r="E146" i="4"/>
  <c r="E114" i="4"/>
  <c r="E68" i="4"/>
  <c r="E13" i="4"/>
  <c r="H666" i="4"/>
  <c r="E849" i="4"/>
  <c r="E801" i="4"/>
  <c r="E761" i="4"/>
  <c r="E721" i="4"/>
  <c r="E681" i="4"/>
  <c r="E649" i="4"/>
  <c r="E609" i="4"/>
  <c r="E569" i="4"/>
  <c r="E537" i="4"/>
  <c r="E497" i="4"/>
  <c r="E457" i="4"/>
  <c r="E417" i="4"/>
  <c r="E377" i="4"/>
  <c r="E337" i="4"/>
  <c r="E297" i="4"/>
  <c r="E257" i="4"/>
  <c r="E217" i="4"/>
  <c r="E185" i="4"/>
  <c r="E145" i="4"/>
  <c r="E97" i="4"/>
  <c r="E28" i="4"/>
  <c r="H7" i="4"/>
  <c r="E848" i="4"/>
  <c r="E808" i="4"/>
  <c r="E760" i="4"/>
  <c r="E847" i="4"/>
  <c r="E815" i="4"/>
  <c r="E791" i="4"/>
  <c r="E767" i="4"/>
  <c r="E735" i="4"/>
  <c r="E703" i="4"/>
  <c r="E679" i="4"/>
  <c r="E647" i="4"/>
  <c r="E615" i="4"/>
  <c r="E854" i="4"/>
  <c r="E830" i="4"/>
  <c r="E806" i="4"/>
  <c r="E782" i="4"/>
  <c r="E750" i="4"/>
  <c r="E853" i="4"/>
  <c r="E837" i="4"/>
  <c r="E821" i="4"/>
  <c r="E797" i="4"/>
  <c r="E781" i="4"/>
  <c r="E765" i="4"/>
  <c r="E749" i="4"/>
  <c r="E733" i="4"/>
  <c r="E717" i="4"/>
  <c r="E701" i="4"/>
  <c r="E685" i="4"/>
  <c r="E661" i="4"/>
  <c r="E645" i="4"/>
  <c r="E621" i="4"/>
  <c r="E589" i="4"/>
  <c r="E573" i="4"/>
  <c r="E557" i="4"/>
  <c r="E541" i="4"/>
  <c r="E525" i="4"/>
  <c r="E517" i="4"/>
  <c r="E509" i="4"/>
  <c r="E501" i="4"/>
  <c r="E493" i="4"/>
  <c r="E477" i="4"/>
  <c r="E469" i="4"/>
  <c r="E461" i="4"/>
  <c r="E453" i="4"/>
  <c r="E445" i="4"/>
  <c r="E437" i="4"/>
  <c r="E429" i="4"/>
  <c r="E421" i="4"/>
  <c r="E413" i="4"/>
  <c r="E405" i="4"/>
  <c r="E397" i="4"/>
  <c r="E389" i="4"/>
  <c r="E381" i="4"/>
  <c r="E373" i="4"/>
  <c r="E365" i="4"/>
  <c r="E357" i="4"/>
  <c r="E349" i="4"/>
  <c r="E341" i="4"/>
  <c r="E333" i="4"/>
  <c r="E325" i="4"/>
  <c r="E317" i="4"/>
  <c r="E309" i="4"/>
  <c r="E301" i="4"/>
  <c r="E293" i="4"/>
  <c r="E285" i="4"/>
  <c r="E277" i="4"/>
  <c r="E269" i="4"/>
  <c r="E261" i="4"/>
  <c r="E253" i="4"/>
  <c r="E245" i="4"/>
  <c r="E237" i="4"/>
  <c r="E229" i="4"/>
  <c r="E221" i="4"/>
  <c r="E213" i="4"/>
  <c r="E205" i="4"/>
  <c r="E197" i="4"/>
  <c r="E189" i="4"/>
  <c r="E181" i="4"/>
  <c r="E173" i="4"/>
  <c r="E165" i="4"/>
  <c r="E157" i="4"/>
  <c r="E149" i="4"/>
  <c r="E141" i="4"/>
  <c r="E133" i="4"/>
  <c r="E125" i="4"/>
  <c r="E117" i="4"/>
  <c r="E109" i="4"/>
  <c r="E101" i="4"/>
  <c r="E92" i="4"/>
  <c r="E83" i="4"/>
  <c r="E72" i="4"/>
  <c r="E61" i="4"/>
  <c r="E50" i="4"/>
  <c r="E36" i="4"/>
  <c r="E20" i="4"/>
  <c r="E4" i="4"/>
  <c r="G850" i="4"/>
  <c r="G747" i="4"/>
  <c r="G599" i="4"/>
  <c r="G429" i="4"/>
  <c r="G260" i="4"/>
  <c r="G87" i="4"/>
  <c r="H768" i="4"/>
  <c r="C2" i="4"/>
  <c r="N2" i="4" s="1"/>
  <c r="K35" i="4"/>
  <c r="K43" i="4"/>
  <c r="K51" i="4"/>
  <c r="K59" i="4"/>
  <c r="K67" i="4"/>
  <c r="K75" i="4"/>
  <c r="K83" i="4"/>
  <c r="K91" i="4"/>
  <c r="K99" i="4"/>
  <c r="K107" i="4"/>
  <c r="K115" i="4"/>
  <c r="K123" i="4"/>
  <c r="K131" i="4"/>
  <c r="K139" i="4"/>
  <c r="K147" i="4"/>
  <c r="K155" i="4"/>
  <c r="K163" i="4"/>
  <c r="K171" i="4"/>
  <c r="K179" i="4"/>
  <c r="K187" i="4"/>
  <c r="K195" i="4"/>
  <c r="K203" i="4"/>
  <c r="K211" i="4"/>
  <c r="K219" i="4"/>
  <c r="K227" i="4"/>
  <c r="K235" i="4"/>
  <c r="K243" i="4"/>
  <c r="K251" i="4"/>
  <c r="K259" i="4"/>
  <c r="K267" i="4"/>
  <c r="K275" i="4"/>
  <c r="K283" i="4"/>
  <c r="K291" i="4"/>
  <c r="K299" i="4"/>
  <c r="K307" i="4"/>
  <c r="K315" i="4"/>
  <c r="K323" i="4"/>
  <c r="K331" i="4"/>
  <c r="K339" i="4"/>
  <c r="K347" i="4"/>
  <c r="K355" i="4"/>
  <c r="K363" i="4"/>
  <c r="K371" i="4"/>
  <c r="K379" i="4"/>
  <c r="K387" i="4"/>
  <c r="K395" i="4"/>
  <c r="K403" i="4"/>
  <c r="K411" i="4"/>
  <c r="K419" i="4"/>
  <c r="K427" i="4"/>
  <c r="K435" i="4"/>
  <c r="K443" i="4"/>
  <c r="K451" i="4"/>
  <c r="K459" i="4"/>
  <c r="K467" i="4"/>
  <c r="K475" i="4"/>
  <c r="K483" i="4"/>
  <c r="K491" i="4"/>
  <c r="K499" i="4"/>
  <c r="K507" i="4"/>
  <c r="K515" i="4"/>
  <c r="K523" i="4"/>
  <c r="K531" i="4"/>
  <c r="K539" i="4"/>
  <c r="K547" i="4"/>
  <c r="K555" i="4"/>
  <c r="K563" i="4"/>
  <c r="K571" i="4"/>
  <c r="K579" i="4"/>
  <c r="K36" i="4"/>
  <c r="K44" i="4"/>
  <c r="K52" i="4"/>
  <c r="K60" i="4"/>
  <c r="K68" i="4"/>
  <c r="K76" i="4"/>
  <c r="K84" i="4"/>
  <c r="K92" i="4"/>
  <c r="K100" i="4"/>
  <c r="K108" i="4"/>
  <c r="K116" i="4"/>
  <c r="K124" i="4"/>
  <c r="K132" i="4"/>
  <c r="K140" i="4"/>
  <c r="K148" i="4"/>
  <c r="K156" i="4"/>
  <c r="K164" i="4"/>
  <c r="K172" i="4"/>
  <c r="K180" i="4"/>
  <c r="K188" i="4"/>
  <c r="K196" i="4"/>
  <c r="K204" i="4"/>
  <c r="K212" i="4"/>
  <c r="K220" i="4"/>
  <c r="K228" i="4"/>
  <c r="K236" i="4"/>
  <c r="K244" i="4"/>
  <c r="K252" i="4"/>
  <c r="K260" i="4"/>
  <c r="K268" i="4"/>
  <c r="K276" i="4"/>
  <c r="K284" i="4"/>
  <c r="K292" i="4"/>
  <c r="K300" i="4"/>
  <c r="K308" i="4"/>
  <c r="K316" i="4"/>
  <c r="K324" i="4"/>
  <c r="K332" i="4"/>
  <c r="K340" i="4"/>
  <c r="K348" i="4"/>
  <c r="K356" i="4"/>
  <c r="K364" i="4"/>
  <c r="K372" i="4"/>
  <c r="K380" i="4"/>
  <c r="K388" i="4"/>
  <c r="K396" i="4"/>
  <c r="K404" i="4"/>
  <c r="K412" i="4"/>
  <c r="K420" i="4"/>
  <c r="K428" i="4"/>
  <c r="K436" i="4"/>
  <c r="L436" i="4" s="1"/>
  <c r="K444" i="4"/>
  <c r="K452" i="4"/>
  <c r="K460" i="4"/>
  <c r="K468" i="4"/>
  <c r="K476" i="4"/>
  <c r="K484" i="4"/>
  <c r="K492" i="4"/>
  <c r="K500" i="4"/>
  <c r="K508" i="4"/>
  <c r="L508" i="4" s="1"/>
  <c r="K516" i="4"/>
  <c r="K524" i="4"/>
  <c r="K532" i="4"/>
  <c r="K540" i="4"/>
  <c r="K548" i="4"/>
  <c r="K556" i="4"/>
  <c r="L556" i="4" s="1"/>
  <c r="K564" i="4"/>
  <c r="K572" i="4"/>
  <c r="K580" i="4"/>
  <c r="K588" i="4"/>
  <c r="K596" i="4"/>
  <c r="K604" i="4"/>
  <c r="K612" i="4"/>
  <c r="K620" i="4"/>
  <c r="K628" i="4"/>
  <c r="K636" i="4"/>
  <c r="K644" i="4"/>
  <c r="K652" i="4"/>
  <c r="K660" i="4"/>
  <c r="K668" i="4"/>
  <c r="K676" i="4"/>
  <c r="K684" i="4"/>
  <c r="K692" i="4"/>
  <c r="K700" i="4"/>
  <c r="K708" i="4"/>
  <c r="K37" i="4"/>
  <c r="K45" i="4"/>
  <c r="K53" i="4"/>
  <c r="K61" i="4"/>
  <c r="K69" i="4"/>
  <c r="K77" i="4"/>
  <c r="K85" i="4"/>
  <c r="K93" i="4"/>
  <c r="K101" i="4"/>
  <c r="K109" i="4"/>
  <c r="K117" i="4"/>
  <c r="K125" i="4"/>
  <c r="K133" i="4"/>
  <c r="K141" i="4"/>
  <c r="K149" i="4"/>
  <c r="K157" i="4"/>
  <c r="K165" i="4"/>
  <c r="K173" i="4"/>
  <c r="K181" i="4"/>
  <c r="K189" i="4"/>
  <c r="K197" i="4"/>
  <c r="K205" i="4"/>
  <c r="K213" i="4"/>
  <c r="K221" i="4"/>
  <c r="K229" i="4"/>
  <c r="K237" i="4"/>
  <c r="K245" i="4"/>
  <c r="K253" i="4"/>
  <c r="K261" i="4"/>
  <c r="K269" i="4"/>
  <c r="K277" i="4"/>
  <c r="K285" i="4"/>
  <c r="K293" i="4"/>
  <c r="K301" i="4"/>
  <c r="K309" i="4"/>
  <c r="K317" i="4"/>
  <c r="K325" i="4"/>
  <c r="K333" i="4"/>
  <c r="K341" i="4"/>
  <c r="K349" i="4"/>
  <c r="K357" i="4"/>
  <c r="K365" i="4"/>
  <c r="K373" i="4"/>
  <c r="K381" i="4"/>
  <c r="K389" i="4"/>
  <c r="K397" i="4"/>
  <c r="K405" i="4"/>
  <c r="K413" i="4"/>
  <c r="K421" i="4"/>
  <c r="K429" i="4"/>
  <c r="K437" i="4"/>
  <c r="K445" i="4"/>
  <c r="K453" i="4"/>
  <c r="K461" i="4"/>
  <c r="K469" i="4"/>
  <c r="K477" i="4"/>
  <c r="K485" i="4"/>
  <c r="K493" i="4"/>
  <c r="K501" i="4"/>
  <c r="K509" i="4"/>
  <c r="K517" i="4"/>
  <c r="K525" i="4"/>
  <c r="L525" i="4" s="1"/>
  <c r="K533" i="4"/>
  <c r="K541" i="4"/>
  <c r="K549" i="4"/>
  <c r="K557" i="4"/>
  <c r="K565" i="4"/>
  <c r="K573" i="4"/>
  <c r="K581" i="4"/>
  <c r="K589" i="4"/>
  <c r="K597" i="4"/>
  <c r="K605" i="4"/>
  <c r="K613" i="4"/>
  <c r="K621" i="4"/>
  <c r="K629" i="4"/>
  <c r="K637" i="4"/>
  <c r="K645" i="4"/>
  <c r="K653" i="4"/>
  <c r="K661" i="4"/>
  <c r="K669" i="4"/>
  <c r="L669" i="4" s="1"/>
  <c r="K677" i="4"/>
  <c r="K685" i="4"/>
  <c r="K693" i="4"/>
  <c r="K701" i="4"/>
  <c r="K709" i="4"/>
  <c r="K38" i="4"/>
  <c r="K46" i="4"/>
  <c r="K54" i="4"/>
  <c r="K62" i="4"/>
  <c r="K70" i="4"/>
  <c r="K78" i="4"/>
  <c r="K86" i="4"/>
  <c r="K94" i="4"/>
  <c r="K102" i="4"/>
  <c r="K110" i="4"/>
  <c r="K118" i="4"/>
  <c r="K126" i="4"/>
  <c r="K134" i="4"/>
  <c r="K142" i="4"/>
  <c r="K150" i="4"/>
  <c r="K158" i="4"/>
  <c r="K166" i="4"/>
  <c r="K174" i="4"/>
  <c r="K182" i="4"/>
  <c r="K190" i="4"/>
  <c r="K198" i="4"/>
  <c r="K206" i="4"/>
  <c r="K214" i="4"/>
  <c r="K222" i="4"/>
  <c r="K230" i="4"/>
  <c r="L230" i="4" s="1"/>
  <c r="K238" i="4"/>
  <c r="K246" i="4"/>
  <c r="K254" i="4"/>
  <c r="K262" i="4"/>
  <c r="K270" i="4"/>
  <c r="K278" i="4"/>
  <c r="K286" i="4"/>
  <c r="K294" i="4"/>
  <c r="K302" i="4"/>
  <c r="K310" i="4"/>
  <c r="K318" i="4"/>
  <c r="K326" i="4"/>
  <c r="K334" i="4"/>
  <c r="K342" i="4"/>
  <c r="K350" i="4"/>
  <c r="K358" i="4"/>
  <c r="K366" i="4"/>
  <c r="K374" i="4"/>
  <c r="K382" i="4"/>
  <c r="K390" i="4"/>
  <c r="K398" i="4"/>
  <c r="K406" i="4"/>
  <c r="K414" i="4"/>
  <c r="K422" i="4"/>
  <c r="K430" i="4"/>
  <c r="K438" i="4"/>
  <c r="K446" i="4"/>
  <c r="K454" i="4"/>
  <c r="K462" i="4"/>
  <c r="K470" i="4"/>
  <c r="K478" i="4"/>
  <c r="K486" i="4"/>
  <c r="K494" i="4"/>
  <c r="K502" i="4"/>
  <c r="K510" i="4"/>
  <c r="K518" i="4"/>
  <c r="K526" i="4"/>
  <c r="K534" i="4"/>
  <c r="K542" i="4"/>
  <c r="K550" i="4"/>
  <c r="K558" i="4"/>
  <c r="K566" i="4"/>
  <c r="K574" i="4"/>
  <c r="K582" i="4"/>
  <c r="K590" i="4"/>
  <c r="K598" i="4"/>
  <c r="K606" i="4"/>
  <c r="K614" i="4"/>
  <c r="L614" i="4" s="1"/>
  <c r="K39" i="4"/>
  <c r="K47" i="4"/>
  <c r="K55" i="4"/>
  <c r="K63" i="4"/>
  <c r="K71" i="4"/>
  <c r="K79" i="4"/>
  <c r="K87" i="4"/>
  <c r="K95" i="4"/>
  <c r="K103" i="4"/>
  <c r="K111" i="4"/>
  <c r="K119" i="4"/>
  <c r="K127" i="4"/>
  <c r="K135" i="4"/>
  <c r="K143" i="4"/>
  <c r="K151" i="4"/>
  <c r="K159" i="4"/>
  <c r="K167" i="4"/>
  <c r="K175" i="4"/>
  <c r="K183" i="4"/>
  <c r="K191" i="4"/>
  <c r="K199" i="4"/>
  <c r="K207" i="4"/>
  <c r="K215" i="4"/>
  <c r="K223" i="4"/>
  <c r="K231" i="4"/>
  <c r="K239" i="4"/>
  <c r="K247" i="4"/>
  <c r="K255" i="4"/>
  <c r="K263" i="4"/>
  <c r="K271" i="4"/>
  <c r="K279" i="4"/>
  <c r="K287" i="4"/>
  <c r="K295" i="4"/>
  <c r="K303" i="4"/>
  <c r="K311" i="4"/>
  <c r="K319" i="4"/>
  <c r="K327" i="4"/>
  <c r="K335" i="4"/>
  <c r="K343" i="4"/>
  <c r="K351" i="4"/>
  <c r="K359" i="4"/>
  <c r="K367" i="4"/>
  <c r="K375" i="4"/>
  <c r="K383" i="4"/>
  <c r="K391" i="4"/>
  <c r="K399" i="4"/>
  <c r="K407" i="4"/>
  <c r="K415" i="4"/>
  <c r="K423" i="4"/>
  <c r="K431" i="4"/>
  <c r="K439" i="4"/>
  <c r="K447" i="4"/>
  <c r="K455" i="4"/>
  <c r="K463" i="4"/>
  <c r="K471" i="4"/>
  <c r="K479" i="4"/>
  <c r="K487" i="4"/>
  <c r="K495" i="4"/>
  <c r="K503" i="4"/>
  <c r="K511" i="4"/>
  <c r="K519" i="4"/>
  <c r="K527" i="4"/>
  <c r="K535" i="4"/>
  <c r="K543" i="4"/>
  <c r="K551" i="4"/>
  <c r="K559" i="4"/>
  <c r="K567" i="4"/>
  <c r="K575" i="4"/>
  <c r="K583" i="4"/>
  <c r="K591" i="4"/>
  <c r="K599" i="4"/>
  <c r="K607" i="4"/>
  <c r="K615" i="4"/>
  <c r="K40" i="4"/>
  <c r="K48" i="4"/>
  <c r="K56" i="4"/>
  <c r="K64" i="4"/>
  <c r="K72" i="4"/>
  <c r="K80" i="4"/>
  <c r="K88" i="4"/>
  <c r="K96" i="4"/>
  <c r="L96" i="4" s="1"/>
  <c r="K104" i="4"/>
  <c r="K112" i="4"/>
  <c r="K120" i="4"/>
  <c r="K128" i="4"/>
  <c r="K136" i="4"/>
  <c r="K144" i="4"/>
  <c r="K152" i="4"/>
  <c r="K160" i="4"/>
  <c r="K168" i="4"/>
  <c r="K176" i="4"/>
  <c r="K184" i="4"/>
  <c r="K192" i="4"/>
  <c r="K200" i="4"/>
  <c r="K208" i="4"/>
  <c r="K216" i="4"/>
  <c r="K224" i="4"/>
  <c r="K232" i="4"/>
  <c r="K240" i="4"/>
  <c r="K248" i="4"/>
  <c r="K256" i="4"/>
  <c r="K264" i="4"/>
  <c r="K272" i="4"/>
  <c r="K280" i="4"/>
  <c r="K288" i="4"/>
  <c r="K296" i="4"/>
  <c r="K304" i="4"/>
  <c r="K312" i="4"/>
  <c r="K320" i="4"/>
  <c r="K328" i="4"/>
  <c r="K336" i="4"/>
  <c r="K344" i="4"/>
  <c r="K352" i="4"/>
  <c r="K360" i="4"/>
  <c r="L360" i="4" s="1"/>
  <c r="K368" i="4"/>
  <c r="K376" i="4"/>
  <c r="K384" i="4"/>
  <c r="K392" i="4"/>
  <c r="K400" i="4"/>
  <c r="K408" i="4"/>
  <c r="K416" i="4"/>
  <c r="K424" i="4"/>
  <c r="K432" i="4"/>
  <c r="K440" i="4"/>
  <c r="K448" i="4"/>
  <c r="K456" i="4"/>
  <c r="K464" i="4"/>
  <c r="K472" i="4"/>
  <c r="K480" i="4"/>
  <c r="L480" i="4" s="1"/>
  <c r="K488" i="4"/>
  <c r="K496" i="4"/>
  <c r="K504" i="4"/>
  <c r="K512" i="4"/>
  <c r="K520" i="4"/>
  <c r="K528" i="4"/>
  <c r="K536" i="4"/>
  <c r="K544" i="4"/>
  <c r="K552" i="4"/>
  <c r="L552" i="4" s="1"/>
  <c r="K560" i="4"/>
  <c r="K568" i="4"/>
  <c r="K576" i="4"/>
  <c r="K584" i="4"/>
  <c r="K592" i="4"/>
  <c r="K600" i="4"/>
  <c r="K608" i="4"/>
  <c r="K616" i="4"/>
  <c r="K624" i="4"/>
  <c r="K41" i="4"/>
  <c r="K73" i="4"/>
  <c r="K105" i="4"/>
  <c r="K137" i="4"/>
  <c r="K169" i="4"/>
  <c r="K201" i="4"/>
  <c r="K233" i="4"/>
  <c r="K265" i="4"/>
  <c r="K297" i="4"/>
  <c r="K329" i="4"/>
  <c r="K361" i="4"/>
  <c r="K393" i="4"/>
  <c r="K425" i="4"/>
  <c r="K457" i="4"/>
  <c r="K489" i="4"/>
  <c r="K521" i="4"/>
  <c r="K553" i="4"/>
  <c r="K585" i="4"/>
  <c r="K603" i="4"/>
  <c r="K623" i="4"/>
  <c r="K634" i="4"/>
  <c r="K646" i="4"/>
  <c r="K656" i="4"/>
  <c r="K666" i="4"/>
  <c r="K678" i="4"/>
  <c r="K688" i="4"/>
  <c r="K698" i="4"/>
  <c r="K710" i="4"/>
  <c r="K718" i="4"/>
  <c r="K726" i="4"/>
  <c r="K734" i="4"/>
  <c r="K742" i="4"/>
  <c r="K750" i="4"/>
  <c r="K758" i="4"/>
  <c r="K766" i="4"/>
  <c r="K774" i="4"/>
  <c r="K782" i="4"/>
  <c r="K790" i="4"/>
  <c r="K798" i="4"/>
  <c r="K806" i="4"/>
  <c r="K814" i="4"/>
  <c r="K822" i="4"/>
  <c r="K830" i="4"/>
  <c r="K838" i="4"/>
  <c r="K846" i="4"/>
  <c r="K854" i="4"/>
  <c r="K6" i="4"/>
  <c r="K14" i="4"/>
  <c r="L14" i="4" s="1"/>
  <c r="K22" i="4"/>
  <c r="K30" i="4"/>
  <c r="J28" i="4"/>
  <c r="J36" i="4"/>
  <c r="J44" i="4"/>
  <c r="J52" i="4"/>
  <c r="J60" i="4"/>
  <c r="J68" i="4"/>
  <c r="J76" i="4"/>
  <c r="J84" i="4"/>
  <c r="J92" i="4"/>
  <c r="J100" i="4"/>
  <c r="J108" i="4"/>
  <c r="J116" i="4"/>
  <c r="J124" i="4"/>
  <c r="J132" i="4"/>
  <c r="J140" i="4"/>
  <c r="J148" i="4"/>
  <c r="J156" i="4"/>
  <c r="J164" i="4"/>
  <c r="J172" i="4"/>
  <c r="J180" i="4"/>
  <c r="J188" i="4"/>
  <c r="J196" i="4"/>
  <c r="J204" i="4"/>
  <c r="J212" i="4"/>
  <c r="J220" i="4"/>
  <c r="J228" i="4"/>
  <c r="J236" i="4"/>
  <c r="J244" i="4"/>
  <c r="J252" i="4"/>
  <c r="J260" i="4"/>
  <c r="J268" i="4"/>
  <c r="J276" i="4"/>
  <c r="J284" i="4"/>
  <c r="J292" i="4"/>
  <c r="J300" i="4"/>
  <c r="K42" i="4"/>
  <c r="K74" i="4"/>
  <c r="K106" i="4"/>
  <c r="K138" i="4"/>
  <c r="K170" i="4"/>
  <c r="K202" i="4"/>
  <c r="K234" i="4"/>
  <c r="K266" i="4"/>
  <c r="L266" i="4" s="1"/>
  <c r="K298" i="4"/>
  <c r="K330" i="4"/>
  <c r="K362" i="4"/>
  <c r="K394" i="4"/>
  <c r="K426" i="4"/>
  <c r="K458" i="4"/>
  <c r="K490" i="4"/>
  <c r="K522" i="4"/>
  <c r="K554" i="4"/>
  <c r="K586" i="4"/>
  <c r="K609" i="4"/>
  <c r="K625" i="4"/>
  <c r="K635" i="4"/>
  <c r="K647" i="4"/>
  <c r="K657" i="4"/>
  <c r="K667" i="4"/>
  <c r="K679" i="4"/>
  <c r="K689" i="4"/>
  <c r="K699" i="4"/>
  <c r="K711" i="4"/>
  <c r="K719" i="4"/>
  <c r="K727" i="4"/>
  <c r="K735" i="4"/>
  <c r="K743" i="4"/>
  <c r="K751" i="4"/>
  <c r="K759" i="4"/>
  <c r="K767" i="4"/>
  <c r="K775" i="4"/>
  <c r="K783" i="4"/>
  <c r="K791" i="4"/>
  <c r="K799" i="4"/>
  <c r="K807" i="4"/>
  <c r="K815" i="4"/>
  <c r="L815" i="4" s="1"/>
  <c r="K823" i="4"/>
  <c r="K831" i="4"/>
  <c r="K839" i="4"/>
  <c r="K847" i="4"/>
  <c r="K855" i="4"/>
  <c r="K7" i="4"/>
  <c r="K15" i="4"/>
  <c r="K23" i="4"/>
  <c r="K31" i="4"/>
  <c r="L31" i="4" s="1"/>
  <c r="J29" i="4"/>
  <c r="J37" i="4"/>
  <c r="J45" i="4"/>
  <c r="J53" i="4"/>
  <c r="J61" i="4"/>
  <c r="J69" i="4"/>
  <c r="J77" i="4"/>
  <c r="J85" i="4"/>
  <c r="J93" i="4"/>
  <c r="J101" i="4"/>
  <c r="J109" i="4"/>
  <c r="J117" i="4"/>
  <c r="J125" i="4"/>
  <c r="J133" i="4"/>
  <c r="J141" i="4"/>
  <c r="J149" i="4"/>
  <c r="J157" i="4"/>
  <c r="J165" i="4"/>
  <c r="J173" i="4"/>
  <c r="J181" i="4"/>
  <c r="J189" i="4"/>
  <c r="J197" i="4"/>
  <c r="J205" i="4"/>
  <c r="J213" i="4"/>
  <c r="J221" i="4"/>
  <c r="J229" i="4"/>
  <c r="J237" i="4"/>
  <c r="J245" i="4"/>
  <c r="J253" i="4"/>
  <c r="J261" i="4"/>
  <c r="J269" i="4"/>
  <c r="J277" i="4"/>
  <c r="J285" i="4"/>
  <c r="J293" i="4"/>
  <c r="J301" i="4"/>
  <c r="K49" i="4"/>
  <c r="K81" i="4"/>
  <c r="K113" i="4"/>
  <c r="K145" i="4"/>
  <c r="K177" i="4"/>
  <c r="K209" i="4"/>
  <c r="K241" i="4"/>
  <c r="K273" i="4"/>
  <c r="K305" i="4"/>
  <c r="K337" i="4"/>
  <c r="K369" i="4"/>
  <c r="K401" i="4"/>
  <c r="K433" i="4"/>
  <c r="K465" i="4"/>
  <c r="K497" i="4"/>
  <c r="K529" i="4"/>
  <c r="K561" i="4"/>
  <c r="K587" i="4"/>
  <c r="K610" i="4"/>
  <c r="K626" i="4"/>
  <c r="K638" i="4"/>
  <c r="K648" i="4"/>
  <c r="L648" i="4" s="1"/>
  <c r="K658" i="4"/>
  <c r="K670" i="4"/>
  <c r="K680" i="4"/>
  <c r="K690" i="4"/>
  <c r="K702" i="4"/>
  <c r="K712" i="4"/>
  <c r="L712" i="4" s="1"/>
  <c r="K720" i="4"/>
  <c r="K728" i="4"/>
  <c r="K736" i="4"/>
  <c r="K744" i="4"/>
  <c r="K752" i="4"/>
  <c r="K760" i="4"/>
  <c r="L760" i="4" s="1"/>
  <c r="K768" i="4"/>
  <c r="K776" i="4"/>
  <c r="K784" i="4"/>
  <c r="L784" i="4" s="1"/>
  <c r="K792" i="4"/>
  <c r="K800" i="4"/>
  <c r="K808" i="4"/>
  <c r="K816" i="4"/>
  <c r="K824" i="4"/>
  <c r="K832" i="4"/>
  <c r="L832" i="4" s="1"/>
  <c r="K840" i="4"/>
  <c r="K848" i="4"/>
  <c r="K856" i="4"/>
  <c r="K8" i="4"/>
  <c r="K16" i="4"/>
  <c r="K24" i="4"/>
  <c r="K32" i="4"/>
  <c r="J30" i="4"/>
  <c r="J38" i="4"/>
  <c r="J46" i="4"/>
  <c r="J54" i="4"/>
  <c r="J62" i="4"/>
  <c r="J70" i="4"/>
  <c r="J78" i="4"/>
  <c r="J86" i="4"/>
  <c r="J94" i="4"/>
  <c r="J102" i="4"/>
  <c r="J110" i="4"/>
  <c r="K50" i="4"/>
  <c r="K57" i="4"/>
  <c r="K89" i="4"/>
  <c r="K121" i="4"/>
  <c r="K153" i="4"/>
  <c r="K185" i="4"/>
  <c r="L185" i="4" s="1"/>
  <c r="K217" i="4"/>
  <c r="K249" i="4"/>
  <c r="K281" i="4"/>
  <c r="L281" i="4" s="1"/>
  <c r="K313" i="4"/>
  <c r="K345" i="4"/>
  <c r="K377" i="4"/>
  <c r="K409" i="4"/>
  <c r="L409" i="4" s="1"/>
  <c r="K441" i="4"/>
  <c r="K473" i="4"/>
  <c r="L473" i="4" s="1"/>
  <c r="K505" i="4"/>
  <c r="K537" i="4"/>
  <c r="K569" i="4"/>
  <c r="K594" i="4"/>
  <c r="K617" i="4"/>
  <c r="K630" i="4"/>
  <c r="K640" i="4"/>
  <c r="K650" i="4"/>
  <c r="K662" i="4"/>
  <c r="K58" i="4"/>
  <c r="K90" i="4"/>
  <c r="K122" i="4"/>
  <c r="K154" i="4"/>
  <c r="K186" i="4"/>
  <c r="K218" i="4"/>
  <c r="K250" i="4"/>
  <c r="K282" i="4"/>
  <c r="K314" i="4"/>
  <c r="K346" i="4"/>
  <c r="K378" i="4"/>
  <c r="K410" i="4"/>
  <c r="K442" i="4"/>
  <c r="K474" i="4"/>
  <c r="K506" i="4"/>
  <c r="K538" i="4"/>
  <c r="K570" i="4"/>
  <c r="K595" i="4"/>
  <c r="K618" i="4"/>
  <c r="K631" i="4"/>
  <c r="K641" i="4"/>
  <c r="L641" i="4" s="1"/>
  <c r="K651" i="4"/>
  <c r="K663" i="4"/>
  <c r="K65" i="4"/>
  <c r="K97" i="4"/>
  <c r="K129" i="4"/>
  <c r="K161" i="4"/>
  <c r="K193" i="4"/>
  <c r="K225" i="4"/>
  <c r="K257" i="4"/>
  <c r="K289" i="4"/>
  <c r="K321" i="4"/>
  <c r="K353" i="4"/>
  <c r="L353" i="4" s="1"/>
  <c r="K385" i="4"/>
  <c r="K417" i="4"/>
  <c r="K449" i="4"/>
  <c r="K481" i="4"/>
  <c r="L481" i="4" s="1"/>
  <c r="K513" i="4"/>
  <c r="K545" i="4"/>
  <c r="K577" i="4"/>
  <c r="K601" i="4"/>
  <c r="K619" i="4"/>
  <c r="K632" i="4"/>
  <c r="K642" i="4"/>
  <c r="K654" i="4"/>
  <c r="K664" i="4"/>
  <c r="K66" i="4"/>
  <c r="K194" i="4"/>
  <c r="K322" i="4"/>
  <c r="K450" i="4"/>
  <c r="K578" i="4"/>
  <c r="K643" i="4"/>
  <c r="K674" i="4"/>
  <c r="K694" i="4"/>
  <c r="L694" i="4" s="1"/>
  <c r="K707" i="4"/>
  <c r="K723" i="4"/>
  <c r="K737" i="4"/>
  <c r="K748" i="4"/>
  <c r="K762" i="4"/>
  <c r="K773" i="4"/>
  <c r="K787" i="4"/>
  <c r="K801" i="4"/>
  <c r="K812" i="4"/>
  <c r="K826" i="4"/>
  <c r="K837" i="4"/>
  <c r="K851" i="4"/>
  <c r="K9" i="4"/>
  <c r="K20" i="4"/>
  <c r="K34" i="4"/>
  <c r="J35" i="4"/>
  <c r="J49" i="4"/>
  <c r="J63" i="4"/>
  <c r="J74" i="4"/>
  <c r="J88" i="4"/>
  <c r="J99" i="4"/>
  <c r="J113" i="4"/>
  <c r="J123" i="4"/>
  <c r="J135" i="4"/>
  <c r="J145" i="4"/>
  <c r="J155" i="4"/>
  <c r="J167" i="4"/>
  <c r="J177" i="4"/>
  <c r="J187" i="4"/>
  <c r="J199" i="4"/>
  <c r="J209" i="4"/>
  <c r="J219" i="4"/>
  <c r="J231" i="4"/>
  <c r="J241" i="4"/>
  <c r="J251" i="4"/>
  <c r="J263" i="4"/>
  <c r="J273" i="4"/>
  <c r="J283" i="4"/>
  <c r="J295" i="4"/>
  <c r="J305" i="4"/>
  <c r="J313" i="4"/>
  <c r="J321" i="4"/>
  <c r="J329" i="4"/>
  <c r="J337" i="4"/>
  <c r="J345" i="4"/>
  <c r="J353" i="4"/>
  <c r="J361" i="4"/>
  <c r="J369" i="4"/>
  <c r="J377" i="4"/>
  <c r="J385" i="4"/>
  <c r="J393" i="4"/>
  <c r="J401" i="4"/>
  <c r="J409" i="4"/>
  <c r="J417" i="4"/>
  <c r="J425" i="4"/>
  <c r="J433" i="4"/>
  <c r="J441" i="4"/>
  <c r="J449" i="4"/>
  <c r="J457" i="4"/>
  <c r="J465" i="4"/>
  <c r="J473" i="4"/>
  <c r="J481" i="4"/>
  <c r="J489" i="4"/>
  <c r="J497" i="4"/>
  <c r="J505" i="4"/>
  <c r="J513" i="4"/>
  <c r="J521" i="4"/>
  <c r="J529" i="4"/>
  <c r="J537" i="4"/>
  <c r="J545" i="4"/>
  <c r="J553" i="4"/>
  <c r="J561" i="4"/>
  <c r="J569" i="4"/>
  <c r="J577" i="4"/>
  <c r="J585" i="4"/>
  <c r="J593" i="4"/>
  <c r="J601" i="4"/>
  <c r="K82" i="4"/>
  <c r="K210" i="4"/>
  <c r="K338" i="4"/>
  <c r="K466" i="4"/>
  <c r="K593" i="4"/>
  <c r="K649" i="4"/>
  <c r="K675" i="4"/>
  <c r="K695" i="4"/>
  <c r="K713" i="4"/>
  <c r="K724" i="4"/>
  <c r="K738" i="4"/>
  <c r="K749" i="4"/>
  <c r="K763" i="4"/>
  <c r="K777" i="4"/>
  <c r="K788" i="4"/>
  <c r="K802" i="4"/>
  <c r="K813" i="4"/>
  <c r="K827" i="4"/>
  <c r="K841" i="4"/>
  <c r="K852" i="4"/>
  <c r="K10" i="4"/>
  <c r="K21" i="4"/>
  <c r="J25" i="4"/>
  <c r="J39" i="4"/>
  <c r="J50" i="4"/>
  <c r="J64" i="4"/>
  <c r="J75" i="4"/>
  <c r="J89" i="4"/>
  <c r="J103" i="4"/>
  <c r="J114" i="4"/>
  <c r="J126" i="4"/>
  <c r="J136" i="4"/>
  <c r="J146" i="4"/>
  <c r="J158" i="4"/>
  <c r="J168" i="4"/>
  <c r="J178" i="4"/>
  <c r="J190" i="4"/>
  <c r="J200" i="4"/>
  <c r="J210" i="4"/>
  <c r="J222" i="4"/>
  <c r="J232" i="4"/>
  <c r="J242" i="4"/>
  <c r="J254" i="4"/>
  <c r="J264" i="4"/>
  <c r="J274" i="4"/>
  <c r="J286" i="4"/>
  <c r="J296" i="4"/>
  <c r="J306" i="4"/>
  <c r="J314" i="4"/>
  <c r="J322" i="4"/>
  <c r="J330" i="4"/>
  <c r="J338" i="4"/>
  <c r="J346" i="4"/>
  <c r="J354" i="4"/>
  <c r="J362" i="4"/>
  <c r="J370" i="4"/>
  <c r="J378" i="4"/>
  <c r="J386" i="4"/>
  <c r="J394" i="4"/>
  <c r="J402" i="4"/>
  <c r="J410" i="4"/>
  <c r="J418" i="4"/>
  <c r="J426" i="4"/>
  <c r="J434" i="4"/>
  <c r="J442" i="4"/>
  <c r="J450" i="4"/>
  <c r="J458" i="4"/>
  <c r="J466" i="4"/>
  <c r="J474" i="4"/>
  <c r="J482" i="4"/>
  <c r="J490" i="4"/>
  <c r="J498" i="4"/>
  <c r="J506" i="4"/>
  <c r="J514" i="4"/>
  <c r="J522" i="4"/>
  <c r="J530" i="4"/>
  <c r="J538" i="4"/>
  <c r="J546" i="4"/>
  <c r="J554" i="4"/>
  <c r="J562" i="4"/>
  <c r="J570" i="4"/>
  <c r="J578" i="4"/>
  <c r="J586" i="4"/>
  <c r="J594" i="4"/>
  <c r="J602" i="4"/>
  <c r="K98" i="4"/>
  <c r="K226" i="4"/>
  <c r="K354" i="4"/>
  <c r="K482" i="4"/>
  <c r="K602" i="4"/>
  <c r="K655" i="4"/>
  <c r="K681" i="4"/>
  <c r="K696" i="4"/>
  <c r="K714" i="4"/>
  <c r="K725" i="4"/>
  <c r="K739" i="4"/>
  <c r="K753" i="4"/>
  <c r="K764" i="4"/>
  <c r="K778" i="4"/>
  <c r="K789" i="4"/>
  <c r="K803" i="4"/>
  <c r="K817" i="4"/>
  <c r="K828" i="4"/>
  <c r="K842" i="4"/>
  <c r="K853" i="4"/>
  <c r="K11" i="4"/>
  <c r="L11" i="4" s="1"/>
  <c r="K25" i="4"/>
  <c r="J26" i="4"/>
  <c r="J40" i="4"/>
  <c r="J51" i="4"/>
  <c r="J65" i="4"/>
  <c r="J79" i="4"/>
  <c r="J90" i="4"/>
  <c r="J104" i="4"/>
  <c r="J115" i="4"/>
  <c r="J127" i="4"/>
  <c r="J137" i="4"/>
  <c r="J147" i="4"/>
  <c r="J159" i="4"/>
  <c r="J169" i="4"/>
  <c r="J179" i="4"/>
  <c r="J191" i="4"/>
  <c r="J201" i="4"/>
  <c r="J211" i="4"/>
  <c r="J223" i="4"/>
  <c r="J233" i="4"/>
  <c r="J243" i="4"/>
  <c r="J255" i="4"/>
  <c r="J265" i="4"/>
  <c r="J275" i="4"/>
  <c r="J287" i="4"/>
  <c r="J297" i="4"/>
  <c r="J307" i="4"/>
  <c r="J315" i="4"/>
  <c r="J323" i="4"/>
  <c r="J331" i="4"/>
  <c r="J339" i="4"/>
  <c r="J347" i="4"/>
  <c r="J355" i="4"/>
  <c r="J363" i="4"/>
  <c r="J371" i="4"/>
  <c r="J379" i="4"/>
  <c r="J387" i="4"/>
  <c r="J395" i="4"/>
  <c r="J403" i="4"/>
  <c r="J411" i="4"/>
  <c r="J419" i="4"/>
  <c r="J427" i="4"/>
  <c r="J435" i="4"/>
  <c r="J443" i="4"/>
  <c r="J451" i="4"/>
  <c r="J459" i="4"/>
  <c r="J467" i="4"/>
  <c r="J475" i="4"/>
  <c r="J483" i="4"/>
  <c r="J491" i="4"/>
  <c r="J499" i="4"/>
  <c r="J507" i="4"/>
  <c r="J515" i="4"/>
  <c r="J523" i="4"/>
  <c r="J531" i="4"/>
  <c r="J539" i="4"/>
  <c r="J547" i="4"/>
  <c r="J555" i="4"/>
  <c r="J563" i="4"/>
  <c r="K114" i="4"/>
  <c r="K242" i="4"/>
  <c r="K370" i="4"/>
  <c r="K498" i="4"/>
  <c r="L498" i="4" s="1"/>
  <c r="K611" i="4"/>
  <c r="K659" i="4"/>
  <c r="K682" i="4"/>
  <c r="K697" i="4"/>
  <c r="K715" i="4"/>
  <c r="K729" i="4"/>
  <c r="K740" i="4"/>
  <c r="K754" i="4"/>
  <c r="K765" i="4"/>
  <c r="K779" i="4"/>
  <c r="K793" i="4"/>
  <c r="K804" i="4"/>
  <c r="K818" i="4"/>
  <c r="K829" i="4"/>
  <c r="K843" i="4"/>
  <c r="K857" i="4"/>
  <c r="K12" i="4"/>
  <c r="K26" i="4"/>
  <c r="J27" i="4"/>
  <c r="J41" i="4"/>
  <c r="J55" i="4"/>
  <c r="J66" i="4"/>
  <c r="J80" i="4"/>
  <c r="J91" i="4"/>
  <c r="J105" i="4"/>
  <c r="J118" i="4"/>
  <c r="J128" i="4"/>
  <c r="J138" i="4"/>
  <c r="J150" i="4"/>
  <c r="J160" i="4"/>
  <c r="J170" i="4"/>
  <c r="J182" i="4"/>
  <c r="J192" i="4"/>
  <c r="J202" i="4"/>
  <c r="J214" i="4"/>
  <c r="J224" i="4"/>
  <c r="J234" i="4"/>
  <c r="J246" i="4"/>
  <c r="J256" i="4"/>
  <c r="J266" i="4"/>
  <c r="J278" i="4"/>
  <c r="J288" i="4"/>
  <c r="J298" i="4"/>
  <c r="J308" i="4"/>
  <c r="J316" i="4"/>
  <c r="J324" i="4"/>
  <c r="J332" i="4"/>
  <c r="J340" i="4"/>
  <c r="K130" i="4"/>
  <c r="K258" i="4"/>
  <c r="K386" i="4"/>
  <c r="L386" i="4" s="1"/>
  <c r="K514" i="4"/>
  <c r="L514" i="4" s="1"/>
  <c r="K622" i="4"/>
  <c r="K665" i="4"/>
  <c r="K683" i="4"/>
  <c r="K703" i="4"/>
  <c r="K716" i="4"/>
  <c r="K730" i="4"/>
  <c r="K741" i="4"/>
  <c r="K755" i="4"/>
  <c r="K769" i="4"/>
  <c r="K780" i="4"/>
  <c r="K794" i="4"/>
  <c r="K805" i="4"/>
  <c r="K819" i="4"/>
  <c r="K833" i="4"/>
  <c r="K844" i="4"/>
  <c r="K858" i="4"/>
  <c r="K13" i="4"/>
  <c r="L13" i="4" s="1"/>
  <c r="K27" i="4"/>
  <c r="J31" i="4"/>
  <c r="J42" i="4"/>
  <c r="J56" i="4"/>
  <c r="J67" i="4"/>
  <c r="J81" i="4"/>
  <c r="J95" i="4"/>
  <c r="J106" i="4"/>
  <c r="J119" i="4"/>
  <c r="J129" i="4"/>
  <c r="J139" i="4"/>
  <c r="J151" i="4"/>
  <c r="J161" i="4"/>
  <c r="J171" i="4"/>
  <c r="J183" i="4"/>
  <c r="J193" i="4"/>
  <c r="J203" i="4"/>
  <c r="J215" i="4"/>
  <c r="J225" i="4"/>
  <c r="J235" i="4"/>
  <c r="J247" i="4"/>
  <c r="J257" i="4"/>
  <c r="J267" i="4"/>
  <c r="J279" i="4"/>
  <c r="J289" i="4"/>
  <c r="J299" i="4"/>
  <c r="J309" i="4"/>
  <c r="J317" i="4"/>
  <c r="J325" i="4"/>
  <c r="J333" i="4"/>
  <c r="J341" i="4"/>
  <c r="K146" i="4"/>
  <c r="L146" i="4" s="1"/>
  <c r="K274" i="4"/>
  <c r="K402" i="4"/>
  <c r="K530" i="4"/>
  <c r="K627" i="4"/>
  <c r="K671" i="4"/>
  <c r="K686" i="4"/>
  <c r="K704" i="4"/>
  <c r="K717" i="4"/>
  <c r="K731" i="4"/>
  <c r="K745" i="4"/>
  <c r="K756" i="4"/>
  <c r="K770" i="4"/>
  <c r="K781" i="4"/>
  <c r="K795" i="4"/>
  <c r="K809" i="4"/>
  <c r="K820" i="4"/>
  <c r="K834" i="4"/>
  <c r="K845" i="4"/>
  <c r="K3" i="4"/>
  <c r="K17" i="4"/>
  <c r="K28" i="4"/>
  <c r="J32" i="4"/>
  <c r="J43" i="4"/>
  <c r="J57" i="4"/>
  <c r="J71" i="4"/>
  <c r="J82" i="4"/>
  <c r="J96" i="4"/>
  <c r="J107" i="4"/>
  <c r="J120" i="4"/>
  <c r="J130" i="4"/>
  <c r="J142" i="4"/>
  <c r="J152" i="4"/>
  <c r="J162" i="4"/>
  <c r="J174" i="4"/>
  <c r="J184" i="4"/>
  <c r="J194" i="4"/>
  <c r="J206" i="4"/>
  <c r="J216" i="4"/>
  <c r="J226" i="4"/>
  <c r="J238" i="4"/>
  <c r="J248" i="4"/>
  <c r="J258" i="4"/>
  <c r="J270" i="4"/>
  <c r="J280" i="4"/>
  <c r="J290" i="4"/>
  <c r="J302" i="4"/>
  <c r="J310" i="4"/>
  <c r="K162" i="4"/>
  <c r="K290" i="4"/>
  <c r="K418" i="4"/>
  <c r="K546" i="4"/>
  <c r="K633" i="4"/>
  <c r="K672" i="4"/>
  <c r="K687" i="4"/>
  <c r="K705" i="4"/>
  <c r="K721" i="4"/>
  <c r="K732" i="4"/>
  <c r="K746" i="4"/>
  <c r="K757" i="4"/>
  <c r="K771" i="4"/>
  <c r="K785" i="4"/>
  <c r="K796" i="4"/>
  <c r="K810" i="4"/>
  <c r="K821" i="4"/>
  <c r="K835" i="4"/>
  <c r="K849" i="4"/>
  <c r="K4" i="4"/>
  <c r="K18" i="4"/>
  <c r="K29" i="4"/>
  <c r="J33" i="4"/>
  <c r="J47" i="4"/>
  <c r="J58" i="4"/>
  <c r="J72" i="4"/>
  <c r="J83" i="4"/>
  <c r="J97" i="4"/>
  <c r="J111" i="4"/>
  <c r="J121" i="4"/>
  <c r="J131" i="4"/>
  <c r="J143" i="4"/>
  <c r="J153" i="4"/>
  <c r="J163" i="4"/>
  <c r="J175" i="4"/>
  <c r="J185" i="4"/>
  <c r="J195" i="4"/>
  <c r="J207" i="4"/>
  <c r="J217" i="4"/>
  <c r="J227" i="4"/>
  <c r="J239" i="4"/>
  <c r="J249" i="4"/>
  <c r="J259" i="4"/>
  <c r="J271" i="4"/>
  <c r="J281" i="4"/>
  <c r="J291" i="4"/>
  <c r="J303" i="4"/>
  <c r="J311" i="4"/>
  <c r="K178" i="4"/>
  <c r="K722" i="4"/>
  <c r="K825" i="4"/>
  <c r="J59" i="4"/>
  <c r="J154" i="4"/>
  <c r="J240" i="4"/>
  <c r="J318" i="4"/>
  <c r="J336" i="4"/>
  <c r="J352" i="4"/>
  <c r="J366" i="4"/>
  <c r="J380" i="4"/>
  <c r="J391" i="4"/>
  <c r="J405" i="4"/>
  <c r="J416" i="4"/>
  <c r="J430" i="4"/>
  <c r="J444" i="4"/>
  <c r="J455" i="4"/>
  <c r="J469" i="4"/>
  <c r="J480" i="4"/>
  <c r="J494" i="4"/>
  <c r="J508" i="4"/>
  <c r="J519" i="4"/>
  <c r="J533" i="4"/>
  <c r="J544" i="4"/>
  <c r="J558" i="4"/>
  <c r="J571" i="4"/>
  <c r="J581" i="4"/>
  <c r="J591" i="4"/>
  <c r="J603" i="4"/>
  <c r="J611" i="4"/>
  <c r="J619" i="4"/>
  <c r="J627" i="4"/>
  <c r="J635" i="4"/>
  <c r="J643" i="4"/>
  <c r="J651" i="4"/>
  <c r="J659" i="4"/>
  <c r="J667" i="4"/>
  <c r="J675" i="4"/>
  <c r="J683" i="4"/>
  <c r="J691" i="4"/>
  <c r="J699" i="4"/>
  <c r="J707" i="4"/>
  <c r="J715" i="4"/>
  <c r="J723" i="4"/>
  <c r="J731" i="4"/>
  <c r="J739" i="4"/>
  <c r="J747" i="4"/>
  <c r="J755" i="4"/>
  <c r="J763" i="4"/>
  <c r="J771" i="4"/>
  <c r="J779" i="4"/>
  <c r="J787" i="4"/>
  <c r="J795" i="4"/>
  <c r="J803" i="4"/>
  <c r="J811" i="4"/>
  <c r="J819" i="4"/>
  <c r="J827" i="4"/>
  <c r="J835" i="4"/>
  <c r="J843" i="4"/>
  <c r="J851" i="4"/>
  <c r="J13" i="4"/>
  <c r="J21" i="4"/>
  <c r="L21" i="4" s="1"/>
  <c r="J7" i="4"/>
  <c r="K306" i="4"/>
  <c r="L306" i="4" s="1"/>
  <c r="K733" i="4"/>
  <c r="L733" i="4" s="1"/>
  <c r="K836" i="4"/>
  <c r="J73" i="4"/>
  <c r="J166" i="4"/>
  <c r="J250" i="4"/>
  <c r="J319" i="4"/>
  <c r="J342" i="4"/>
  <c r="J356" i="4"/>
  <c r="J367" i="4"/>
  <c r="J381" i="4"/>
  <c r="J392" i="4"/>
  <c r="J406" i="4"/>
  <c r="J420" i="4"/>
  <c r="J431" i="4"/>
  <c r="J445" i="4"/>
  <c r="J456" i="4"/>
  <c r="J470" i="4"/>
  <c r="J484" i="4"/>
  <c r="J495" i="4"/>
  <c r="J509" i="4"/>
  <c r="J520" i="4"/>
  <c r="J534" i="4"/>
  <c r="J548" i="4"/>
  <c r="J559" i="4"/>
  <c r="J572" i="4"/>
  <c r="J582" i="4"/>
  <c r="J592" i="4"/>
  <c r="J604" i="4"/>
  <c r="J612" i="4"/>
  <c r="J620" i="4"/>
  <c r="J628" i="4"/>
  <c r="J636" i="4"/>
  <c r="J644" i="4"/>
  <c r="J652" i="4"/>
  <c r="J660" i="4"/>
  <c r="J668" i="4"/>
  <c r="J676" i="4"/>
  <c r="J684" i="4"/>
  <c r="J692" i="4"/>
  <c r="J700" i="4"/>
  <c r="J708" i="4"/>
  <c r="J716" i="4"/>
  <c r="J724" i="4"/>
  <c r="J732" i="4"/>
  <c r="J740" i="4"/>
  <c r="J748" i="4"/>
  <c r="J756" i="4"/>
  <c r="J764" i="4"/>
  <c r="J772" i="4"/>
  <c r="J780" i="4"/>
  <c r="J788" i="4"/>
  <c r="J796" i="4"/>
  <c r="J804" i="4"/>
  <c r="J812" i="4"/>
  <c r="J820" i="4"/>
  <c r="J828" i="4"/>
  <c r="J836" i="4"/>
  <c r="J844" i="4"/>
  <c r="J852" i="4"/>
  <c r="J14" i="4"/>
  <c r="J22" i="4"/>
  <c r="J8" i="4"/>
  <c r="K434" i="4"/>
  <c r="K747" i="4"/>
  <c r="L747" i="4" s="1"/>
  <c r="K850" i="4"/>
  <c r="J87" i="4"/>
  <c r="J176" i="4"/>
  <c r="J262" i="4"/>
  <c r="J320" i="4"/>
  <c r="J343" i="4"/>
  <c r="J357" i="4"/>
  <c r="J368" i="4"/>
  <c r="J382" i="4"/>
  <c r="J396" i="4"/>
  <c r="J407" i="4"/>
  <c r="J421" i="4"/>
  <c r="J432" i="4"/>
  <c r="J446" i="4"/>
  <c r="J460" i="4"/>
  <c r="J471" i="4"/>
  <c r="J485" i="4"/>
  <c r="J496" i="4"/>
  <c r="J510" i="4"/>
  <c r="J524" i="4"/>
  <c r="J535" i="4"/>
  <c r="J549" i="4"/>
  <c r="J560" i="4"/>
  <c r="J573" i="4"/>
  <c r="J583" i="4"/>
  <c r="J595" i="4"/>
  <c r="J605" i="4"/>
  <c r="J613" i="4"/>
  <c r="J621" i="4"/>
  <c r="J629" i="4"/>
  <c r="J637" i="4"/>
  <c r="J645" i="4"/>
  <c r="J653" i="4"/>
  <c r="J661" i="4"/>
  <c r="J669" i="4"/>
  <c r="J677" i="4"/>
  <c r="J685" i="4"/>
  <c r="J693" i="4"/>
  <c r="J701" i="4"/>
  <c r="J709" i="4"/>
  <c r="J717" i="4"/>
  <c r="J725" i="4"/>
  <c r="J733" i="4"/>
  <c r="J741" i="4"/>
  <c r="J749" i="4"/>
  <c r="J757" i="4"/>
  <c r="J765" i="4"/>
  <c r="J773" i="4"/>
  <c r="J781" i="4"/>
  <c r="J789" i="4"/>
  <c r="J797" i="4"/>
  <c r="J805" i="4"/>
  <c r="J813" i="4"/>
  <c r="J821" i="4"/>
  <c r="J829" i="4"/>
  <c r="J837" i="4"/>
  <c r="J845" i="4"/>
  <c r="J853" i="4"/>
  <c r="J15" i="4"/>
  <c r="J23" i="4"/>
  <c r="J9" i="4"/>
  <c r="K562" i="4"/>
  <c r="L562" i="4" s="1"/>
  <c r="K761" i="4"/>
  <c r="K5" i="4"/>
  <c r="J98" i="4"/>
  <c r="J186" i="4"/>
  <c r="J272" i="4"/>
  <c r="J326" i="4"/>
  <c r="J344" i="4"/>
  <c r="J358" i="4"/>
  <c r="J372" i="4"/>
  <c r="J383" i="4"/>
  <c r="J397" i="4"/>
  <c r="J408" i="4"/>
  <c r="J422" i="4"/>
  <c r="J436" i="4"/>
  <c r="J447" i="4"/>
  <c r="J461" i="4"/>
  <c r="J472" i="4"/>
  <c r="J486" i="4"/>
  <c r="J500" i="4"/>
  <c r="J511" i="4"/>
  <c r="J525" i="4"/>
  <c r="J536" i="4"/>
  <c r="J550" i="4"/>
  <c r="J564" i="4"/>
  <c r="J574" i="4"/>
  <c r="J584" i="4"/>
  <c r="J596" i="4"/>
  <c r="J606" i="4"/>
  <c r="J614" i="4"/>
  <c r="J622" i="4"/>
  <c r="J630" i="4"/>
  <c r="J638" i="4"/>
  <c r="J646" i="4"/>
  <c r="J654" i="4"/>
  <c r="J662" i="4"/>
  <c r="J670" i="4"/>
  <c r="J678" i="4"/>
  <c r="J686" i="4"/>
  <c r="J694" i="4"/>
  <c r="J702" i="4"/>
  <c r="J710" i="4"/>
  <c r="J718" i="4"/>
  <c r="J726" i="4"/>
  <c r="J734" i="4"/>
  <c r="J742" i="4"/>
  <c r="J750" i="4"/>
  <c r="J758" i="4"/>
  <c r="J766" i="4"/>
  <c r="J774" i="4"/>
  <c r="J782" i="4"/>
  <c r="J790" i="4"/>
  <c r="J798" i="4"/>
  <c r="J806" i="4"/>
  <c r="J814" i="4"/>
  <c r="J822" i="4"/>
  <c r="J830" i="4"/>
  <c r="J838" i="4"/>
  <c r="J846" i="4"/>
  <c r="J854" i="4"/>
  <c r="J16" i="4"/>
  <c r="J24" i="4"/>
  <c r="J10" i="4"/>
  <c r="K639" i="4"/>
  <c r="K772" i="4"/>
  <c r="K19" i="4"/>
  <c r="J112" i="4"/>
  <c r="J198" i="4"/>
  <c r="J282" i="4"/>
  <c r="J327" i="4"/>
  <c r="J348" i="4"/>
  <c r="J359" i="4"/>
  <c r="J373" i="4"/>
  <c r="J384" i="4"/>
  <c r="J398" i="4"/>
  <c r="J412" i="4"/>
  <c r="J423" i="4"/>
  <c r="J437" i="4"/>
  <c r="J448" i="4"/>
  <c r="J462" i="4"/>
  <c r="J476" i="4"/>
  <c r="J487" i="4"/>
  <c r="J501" i="4"/>
  <c r="J512" i="4"/>
  <c r="J526" i="4"/>
  <c r="J540" i="4"/>
  <c r="J551" i="4"/>
  <c r="J565" i="4"/>
  <c r="J575" i="4"/>
  <c r="J587" i="4"/>
  <c r="J597" i="4"/>
  <c r="J607" i="4"/>
  <c r="J615" i="4"/>
  <c r="J623" i="4"/>
  <c r="J631" i="4"/>
  <c r="J639" i="4"/>
  <c r="J647" i="4"/>
  <c r="J655" i="4"/>
  <c r="J663" i="4"/>
  <c r="J671" i="4"/>
  <c r="J679" i="4"/>
  <c r="J687" i="4"/>
  <c r="J695" i="4"/>
  <c r="J703" i="4"/>
  <c r="J711" i="4"/>
  <c r="J719" i="4"/>
  <c r="J727" i="4"/>
  <c r="J735" i="4"/>
  <c r="J743" i="4"/>
  <c r="J751" i="4"/>
  <c r="J759" i="4"/>
  <c r="J767" i="4"/>
  <c r="J775" i="4"/>
  <c r="J783" i="4"/>
  <c r="J791" i="4"/>
  <c r="J799" i="4"/>
  <c r="J807" i="4"/>
  <c r="J815" i="4"/>
  <c r="J823" i="4"/>
  <c r="J831" i="4"/>
  <c r="J839" i="4"/>
  <c r="J847" i="4"/>
  <c r="J855" i="4"/>
  <c r="J17" i="4"/>
  <c r="J3" i="4"/>
  <c r="J11" i="4"/>
  <c r="K673" i="4"/>
  <c r="K786" i="4"/>
  <c r="K33" i="4"/>
  <c r="J122" i="4"/>
  <c r="J208" i="4"/>
  <c r="J294" i="4"/>
  <c r="J328" i="4"/>
  <c r="J349" i="4"/>
  <c r="J360" i="4"/>
  <c r="J374" i="4"/>
  <c r="J388" i="4"/>
  <c r="J399" i="4"/>
  <c r="J413" i="4"/>
  <c r="J424" i="4"/>
  <c r="J438" i="4"/>
  <c r="J452" i="4"/>
  <c r="J463" i="4"/>
  <c r="J477" i="4"/>
  <c r="J488" i="4"/>
  <c r="J502" i="4"/>
  <c r="J516" i="4"/>
  <c r="J527" i="4"/>
  <c r="J541" i="4"/>
  <c r="J552" i="4"/>
  <c r="J566" i="4"/>
  <c r="J576" i="4"/>
  <c r="J588" i="4"/>
  <c r="J598" i="4"/>
  <c r="J608" i="4"/>
  <c r="J616" i="4"/>
  <c r="J624" i="4"/>
  <c r="J632" i="4"/>
  <c r="J640" i="4"/>
  <c r="J648" i="4"/>
  <c r="J656" i="4"/>
  <c r="J664" i="4"/>
  <c r="J672" i="4"/>
  <c r="J680" i="4"/>
  <c r="J688" i="4"/>
  <c r="J696" i="4"/>
  <c r="J704" i="4"/>
  <c r="J712" i="4"/>
  <c r="J720" i="4"/>
  <c r="J728" i="4"/>
  <c r="J736" i="4"/>
  <c r="J744" i="4"/>
  <c r="J752" i="4"/>
  <c r="J760" i="4"/>
  <c r="J768" i="4"/>
  <c r="J776" i="4"/>
  <c r="J784" i="4"/>
  <c r="J792" i="4"/>
  <c r="J800" i="4"/>
  <c r="J808" i="4"/>
  <c r="J816" i="4"/>
  <c r="J824" i="4"/>
  <c r="J832" i="4"/>
  <c r="J840" i="4"/>
  <c r="J848" i="4"/>
  <c r="J856" i="4"/>
  <c r="J18" i="4"/>
  <c r="J4" i="4"/>
  <c r="J12" i="4"/>
  <c r="K691" i="4"/>
  <c r="J218" i="4"/>
  <c r="J364" i="4"/>
  <c r="J414" i="4"/>
  <c r="J464" i="4"/>
  <c r="J517" i="4"/>
  <c r="J567" i="4"/>
  <c r="J609" i="4"/>
  <c r="J641" i="4"/>
  <c r="J673" i="4"/>
  <c r="J705" i="4"/>
  <c r="J737" i="4"/>
  <c r="J769" i="4"/>
  <c r="J801" i="4"/>
  <c r="J833" i="4"/>
  <c r="J19" i="4"/>
  <c r="K706" i="4"/>
  <c r="J230" i="4"/>
  <c r="J365" i="4"/>
  <c r="J415" i="4"/>
  <c r="J468" i="4"/>
  <c r="J518" i="4"/>
  <c r="J568" i="4"/>
  <c r="J610" i="4"/>
  <c r="J642" i="4"/>
  <c r="J674" i="4"/>
  <c r="J706" i="4"/>
  <c r="J738" i="4"/>
  <c r="J770" i="4"/>
  <c r="J802" i="4"/>
  <c r="J834" i="4"/>
  <c r="J20" i="4"/>
  <c r="H26" i="4"/>
  <c r="H34" i="4"/>
  <c r="H42" i="4"/>
  <c r="H50" i="4"/>
  <c r="H58" i="4"/>
  <c r="H66" i="4"/>
  <c r="K797" i="4"/>
  <c r="J304" i="4"/>
  <c r="J375" i="4"/>
  <c r="J428" i="4"/>
  <c r="J478" i="4"/>
  <c r="J528" i="4"/>
  <c r="J579" i="4"/>
  <c r="J617" i="4"/>
  <c r="J649" i="4"/>
  <c r="J681" i="4"/>
  <c r="J713" i="4"/>
  <c r="J745" i="4"/>
  <c r="J777" i="4"/>
  <c r="J809" i="4"/>
  <c r="J841" i="4"/>
  <c r="J5" i="4"/>
  <c r="K811" i="4"/>
  <c r="J312" i="4"/>
  <c r="J376" i="4"/>
  <c r="J429" i="4"/>
  <c r="J479" i="4"/>
  <c r="J532" i="4"/>
  <c r="J580" i="4"/>
  <c r="J618" i="4"/>
  <c r="J650" i="4"/>
  <c r="J682" i="4"/>
  <c r="J714" i="4"/>
  <c r="J746" i="4"/>
  <c r="J778" i="4"/>
  <c r="J810" i="4"/>
  <c r="J842" i="4"/>
  <c r="J6" i="4"/>
  <c r="J34" i="4"/>
  <c r="J334" i="4"/>
  <c r="J389" i="4"/>
  <c r="J439" i="4"/>
  <c r="J492" i="4"/>
  <c r="J542" i="4"/>
  <c r="J589" i="4"/>
  <c r="J625" i="4"/>
  <c r="J657" i="4"/>
  <c r="J689" i="4"/>
  <c r="J721" i="4"/>
  <c r="J753" i="4"/>
  <c r="J785" i="4"/>
  <c r="J817" i="4"/>
  <c r="J849" i="4"/>
  <c r="J48" i="4"/>
  <c r="J335" i="4"/>
  <c r="J390" i="4"/>
  <c r="J440" i="4"/>
  <c r="J493" i="4"/>
  <c r="J543" i="4"/>
  <c r="J590" i="4"/>
  <c r="J626" i="4"/>
  <c r="J658" i="4"/>
  <c r="J690" i="4"/>
  <c r="J722" i="4"/>
  <c r="J754" i="4"/>
  <c r="J786" i="4"/>
  <c r="J818" i="4"/>
  <c r="J850" i="4"/>
  <c r="J134" i="4"/>
  <c r="J350" i="4"/>
  <c r="J400" i="4"/>
  <c r="J453" i="4"/>
  <c r="J503" i="4"/>
  <c r="J556" i="4"/>
  <c r="J599" i="4"/>
  <c r="J633" i="4"/>
  <c r="J665" i="4"/>
  <c r="J697" i="4"/>
  <c r="J729" i="4"/>
  <c r="J761" i="4"/>
  <c r="J793" i="4"/>
  <c r="J825" i="4"/>
  <c r="J857" i="4"/>
  <c r="J144" i="4"/>
  <c r="J666" i="4"/>
  <c r="H32" i="4"/>
  <c r="H41" i="4"/>
  <c r="H51" i="4"/>
  <c r="H60" i="4"/>
  <c r="H69" i="4"/>
  <c r="H77" i="4"/>
  <c r="H85" i="4"/>
  <c r="H93" i="4"/>
  <c r="H101" i="4"/>
  <c r="H109" i="4"/>
  <c r="H117" i="4"/>
  <c r="H125" i="4"/>
  <c r="H133" i="4"/>
  <c r="H141" i="4"/>
  <c r="H149" i="4"/>
  <c r="H157" i="4"/>
  <c r="H165" i="4"/>
  <c r="H173" i="4"/>
  <c r="H181" i="4"/>
  <c r="H189" i="4"/>
  <c r="H197" i="4"/>
  <c r="H205" i="4"/>
  <c r="H213" i="4"/>
  <c r="H221" i="4"/>
  <c r="H229" i="4"/>
  <c r="H237" i="4"/>
  <c r="H245" i="4"/>
  <c r="H253" i="4"/>
  <c r="H261" i="4"/>
  <c r="H269" i="4"/>
  <c r="H277" i="4"/>
  <c r="H285" i="4"/>
  <c r="H293" i="4"/>
  <c r="H301" i="4"/>
  <c r="H309" i="4"/>
  <c r="H317" i="4"/>
  <c r="H325" i="4"/>
  <c r="H333" i="4"/>
  <c r="H341" i="4"/>
  <c r="H349" i="4"/>
  <c r="H357" i="4"/>
  <c r="H365" i="4"/>
  <c r="H373" i="4"/>
  <c r="H381" i="4"/>
  <c r="H389" i="4"/>
  <c r="H397" i="4"/>
  <c r="H405" i="4"/>
  <c r="H413" i="4"/>
  <c r="H421" i="4"/>
  <c r="H429" i="4"/>
  <c r="H437" i="4"/>
  <c r="H445" i="4"/>
  <c r="H453" i="4"/>
  <c r="H461" i="4"/>
  <c r="H469" i="4"/>
  <c r="H477" i="4"/>
  <c r="H485" i="4"/>
  <c r="H493" i="4"/>
  <c r="H501" i="4"/>
  <c r="H509" i="4"/>
  <c r="H517" i="4"/>
  <c r="H525" i="4"/>
  <c r="H533" i="4"/>
  <c r="H541" i="4"/>
  <c r="H549" i="4"/>
  <c r="H557" i="4"/>
  <c r="H565" i="4"/>
  <c r="H573" i="4"/>
  <c r="H581" i="4"/>
  <c r="H589" i="4"/>
  <c r="H597" i="4"/>
  <c r="H605" i="4"/>
  <c r="H613" i="4"/>
  <c r="H621" i="4"/>
  <c r="H629" i="4"/>
  <c r="H637" i="4"/>
  <c r="H645" i="4"/>
  <c r="H653" i="4"/>
  <c r="H661" i="4"/>
  <c r="H669" i="4"/>
  <c r="H677" i="4"/>
  <c r="H685" i="4"/>
  <c r="J351" i="4"/>
  <c r="J698" i="4"/>
  <c r="H24" i="4"/>
  <c r="H33" i="4"/>
  <c r="H43" i="4"/>
  <c r="H52" i="4"/>
  <c r="H61" i="4"/>
  <c r="H70" i="4"/>
  <c r="H78" i="4"/>
  <c r="H86" i="4"/>
  <c r="H94" i="4"/>
  <c r="H102" i="4"/>
  <c r="H110" i="4"/>
  <c r="H118" i="4"/>
  <c r="H126" i="4"/>
  <c r="H134" i="4"/>
  <c r="H142" i="4"/>
  <c r="H150" i="4"/>
  <c r="H158" i="4"/>
  <c r="H166" i="4"/>
  <c r="H174" i="4"/>
  <c r="H182" i="4"/>
  <c r="H190" i="4"/>
  <c r="H198" i="4"/>
  <c r="H206" i="4"/>
  <c r="H214" i="4"/>
  <c r="H222" i="4"/>
  <c r="H230" i="4"/>
  <c r="H238" i="4"/>
  <c r="H246" i="4"/>
  <c r="H254" i="4"/>
  <c r="H262" i="4"/>
  <c r="H270" i="4"/>
  <c r="H278" i="4"/>
  <c r="H286" i="4"/>
  <c r="H294" i="4"/>
  <c r="H302" i="4"/>
  <c r="H310" i="4"/>
  <c r="H318" i="4"/>
  <c r="H326" i="4"/>
  <c r="H334" i="4"/>
  <c r="H342" i="4"/>
  <c r="H350" i="4"/>
  <c r="H358" i="4"/>
  <c r="H366" i="4"/>
  <c r="H374" i="4"/>
  <c r="H382" i="4"/>
  <c r="H390" i="4"/>
  <c r="H398" i="4"/>
  <c r="H406" i="4"/>
  <c r="H414" i="4"/>
  <c r="H422" i="4"/>
  <c r="H430" i="4"/>
  <c r="H438" i="4"/>
  <c r="H446" i="4"/>
  <c r="H454" i="4"/>
  <c r="H462" i="4"/>
  <c r="H470" i="4"/>
  <c r="H478" i="4"/>
  <c r="H486" i="4"/>
  <c r="H494" i="4"/>
  <c r="H502" i="4"/>
  <c r="H510" i="4"/>
  <c r="H518" i="4"/>
  <c r="H526" i="4"/>
  <c r="H534" i="4"/>
  <c r="H542" i="4"/>
  <c r="H550" i="4"/>
  <c r="H558" i="4"/>
  <c r="H566" i="4"/>
  <c r="H574" i="4"/>
  <c r="H582" i="4"/>
  <c r="H590" i="4"/>
  <c r="H598" i="4"/>
  <c r="H606" i="4"/>
  <c r="H614" i="4"/>
  <c r="J404" i="4"/>
  <c r="J730" i="4"/>
  <c r="H25" i="4"/>
  <c r="H35" i="4"/>
  <c r="H44" i="4"/>
  <c r="H53" i="4"/>
  <c r="H62" i="4"/>
  <c r="H71" i="4"/>
  <c r="H79" i="4"/>
  <c r="H87" i="4"/>
  <c r="H95" i="4"/>
  <c r="H103" i="4"/>
  <c r="H111" i="4"/>
  <c r="H119" i="4"/>
  <c r="H127" i="4"/>
  <c r="H135" i="4"/>
  <c r="H143" i="4"/>
  <c r="H151" i="4"/>
  <c r="H159" i="4"/>
  <c r="H167" i="4"/>
  <c r="H175" i="4"/>
  <c r="H183" i="4"/>
  <c r="H191" i="4"/>
  <c r="H199" i="4"/>
  <c r="H207" i="4"/>
  <c r="H215" i="4"/>
  <c r="H223" i="4"/>
  <c r="H231" i="4"/>
  <c r="H239" i="4"/>
  <c r="H247" i="4"/>
  <c r="H255" i="4"/>
  <c r="H263" i="4"/>
  <c r="H271" i="4"/>
  <c r="H279" i="4"/>
  <c r="H287" i="4"/>
  <c r="H295" i="4"/>
  <c r="H303" i="4"/>
  <c r="H311" i="4"/>
  <c r="H319" i="4"/>
  <c r="H327" i="4"/>
  <c r="H335" i="4"/>
  <c r="H343" i="4"/>
  <c r="H351" i="4"/>
  <c r="H359" i="4"/>
  <c r="H367" i="4"/>
  <c r="H375" i="4"/>
  <c r="H383" i="4"/>
  <c r="H391" i="4"/>
  <c r="H399" i="4"/>
  <c r="H407" i="4"/>
  <c r="H415" i="4"/>
  <c r="H423" i="4"/>
  <c r="H431" i="4"/>
  <c r="H439" i="4"/>
  <c r="H447" i="4"/>
  <c r="H455" i="4"/>
  <c r="H463" i="4"/>
  <c r="H471" i="4"/>
  <c r="H479" i="4"/>
  <c r="H487" i="4"/>
  <c r="H495" i="4"/>
  <c r="H503" i="4"/>
  <c r="H511" i="4"/>
  <c r="H519" i="4"/>
  <c r="H527" i="4"/>
  <c r="H535" i="4"/>
  <c r="H543" i="4"/>
  <c r="H551" i="4"/>
  <c r="H559" i="4"/>
  <c r="H567" i="4"/>
  <c r="H575" i="4"/>
  <c r="H583" i="4"/>
  <c r="H591" i="4"/>
  <c r="H599" i="4"/>
  <c r="H607" i="4"/>
  <c r="H615" i="4"/>
  <c r="H623" i="4"/>
  <c r="H631" i="4"/>
  <c r="H639" i="4"/>
  <c r="H647" i="4"/>
  <c r="H655" i="4"/>
  <c r="H663" i="4"/>
  <c r="H671" i="4"/>
  <c r="H679" i="4"/>
  <c r="H687" i="4"/>
  <c r="J454" i="4"/>
  <c r="J762" i="4"/>
  <c r="H27" i="4"/>
  <c r="H36" i="4"/>
  <c r="H45" i="4"/>
  <c r="H54" i="4"/>
  <c r="H63" i="4"/>
  <c r="H72" i="4"/>
  <c r="H80" i="4"/>
  <c r="H88" i="4"/>
  <c r="H96" i="4"/>
  <c r="H104" i="4"/>
  <c r="H112" i="4"/>
  <c r="H120" i="4"/>
  <c r="H128" i="4"/>
  <c r="H136" i="4"/>
  <c r="H144" i="4"/>
  <c r="H152" i="4"/>
  <c r="H160" i="4"/>
  <c r="H168" i="4"/>
  <c r="H176" i="4"/>
  <c r="H184" i="4"/>
  <c r="H192" i="4"/>
  <c r="H200" i="4"/>
  <c r="H208" i="4"/>
  <c r="H216" i="4"/>
  <c r="H224" i="4"/>
  <c r="H232" i="4"/>
  <c r="H240" i="4"/>
  <c r="H248" i="4"/>
  <c r="H256" i="4"/>
  <c r="H264" i="4"/>
  <c r="H272" i="4"/>
  <c r="H280" i="4"/>
  <c r="H288" i="4"/>
  <c r="H296" i="4"/>
  <c r="H304" i="4"/>
  <c r="H312" i="4"/>
  <c r="H320" i="4"/>
  <c r="H328" i="4"/>
  <c r="H336" i="4"/>
  <c r="H344" i="4"/>
  <c r="H352" i="4"/>
  <c r="H360" i="4"/>
  <c r="H368" i="4"/>
  <c r="H376" i="4"/>
  <c r="H384" i="4"/>
  <c r="H392" i="4"/>
  <c r="H400" i="4"/>
  <c r="H408" i="4"/>
  <c r="H416" i="4"/>
  <c r="H424" i="4"/>
  <c r="H432" i="4"/>
  <c r="H440" i="4"/>
  <c r="H448" i="4"/>
  <c r="H456" i="4"/>
  <c r="H464" i="4"/>
  <c r="H472" i="4"/>
  <c r="H480" i="4"/>
  <c r="H488" i="4"/>
  <c r="H496" i="4"/>
  <c r="H504" i="4"/>
  <c r="H512" i="4"/>
  <c r="H520" i="4"/>
  <c r="H528" i="4"/>
  <c r="H536" i="4"/>
  <c r="H544" i="4"/>
  <c r="H552" i="4"/>
  <c r="H560" i="4"/>
  <c r="H568" i="4"/>
  <c r="H576" i="4"/>
  <c r="H584" i="4"/>
  <c r="H592" i="4"/>
  <c r="H600" i="4"/>
  <c r="H608" i="4"/>
  <c r="H616" i="4"/>
  <c r="H624" i="4"/>
  <c r="J504" i="4"/>
  <c r="J794" i="4"/>
  <c r="H28" i="4"/>
  <c r="H37" i="4"/>
  <c r="H46" i="4"/>
  <c r="H55" i="4"/>
  <c r="H64" i="4"/>
  <c r="H73" i="4"/>
  <c r="H81" i="4"/>
  <c r="H89" i="4"/>
  <c r="H97" i="4"/>
  <c r="H105" i="4"/>
  <c r="H113" i="4"/>
  <c r="H121" i="4"/>
  <c r="H129" i="4"/>
  <c r="H137" i="4"/>
  <c r="H145" i="4"/>
  <c r="H153" i="4"/>
  <c r="H161" i="4"/>
  <c r="H169" i="4"/>
  <c r="H177" i="4"/>
  <c r="H185" i="4"/>
  <c r="H193" i="4"/>
  <c r="H201" i="4"/>
  <c r="H209" i="4"/>
  <c r="H217" i="4"/>
  <c r="H225" i="4"/>
  <c r="H233" i="4"/>
  <c r="H241" i="4"/>
  <c r="H249" i="4"/>
  <c r="H257" i="4"/>
  <c r="H265" i="4"/>
  <c r="H273" i="4"/>
  <c r="H281" i="4"/>
  <c r="H289" i="4"/>
  <c r="H297" i="4"/>
  <c r="H305" i="4"/>
  <c r="H313" i="4"/>
  <c r="H321" i="4"/>
  <c r="H329" i="4"/>
  <c r="H337" i="4"/>
  <c r="H345" i="4"/>
  <c r="H353" i="4"/>
  <c r="H361" i="4"/>
  <c r="H369" i="4"/>
  <c r="H377" i="4"/>
  <c r="H385" i="4"/>
  <c r="H393" i="4"/>
  <c r="H401" i="4"/>
  <c r="H409" i="4"/>
  <c r="H417" i="4"/>
  <c r="H425" i="4"/>
  <c r="H433" i="4"/>
  <c r="H441" i="4"/>
  <c r="H449" i="4"/>
  <c r="H457" i="4"/>
  <c r="H465" i="4"/>
  <c r="H473" i="4"/>
  <c r="H481" i="4"/>
  <c r="H489" i="4"/>
  <c r="H497" i="4"/>
  <c r="H505" i="4"/>
  <c r="H513" i="4"/>
  <c r="H521" i="4"/>
  <c r="H529" i="4"/>
  <c r="H537" i="4"/>
  <c r="H545" i="4"/>
  <c r="H553" i="4"/>
  <c r="H561" i="4"/>
  <c r="H569" i="4"/>
  <c r="H577" i="4"/>
  <c r="H585" i="4"/>
  <c r="H593" i="4"/>
  <c r="H601" i="4"/>
  <c r="H609" i="4"/>
  <c r="H617" i="4"/>
  <c r="H625" i="4"/>
  <c r="J600" i="4"/>
  <c r="J858" i="4"/>
  <c r="H30" i="4"/>
  <c r="H39" i="4"/>
  <c r="H48" i="4"/>
  <c r="H57" i="4"/>
  <c r="H67" i="4"/>
  <c r="H75" i="4"/>
  <c r="H83" i="4"/>
  <c r="H91" i="4"/>
  <c r="H99" i="4"/>
  <c r="H107" i="4"/>
  <c r="H115" i="4"/>
  <c r="H123" i="4"/>
  <c r="H131" i="4"/>
  <c r="H139" i="4"/>
  <c r="H147" i="4"/>
  <c r="H155" i="4"/>
  <c r="H163" i="4"/>
  <c r="H171" i="4"/>
  <c r="H179" i="4"/>
  <c r="H187" i="4"/>
  <c r="H195" i="4"/>
  <c r="H203" i="4"/>
  <c r="H211" i="4"/>
  <c r="H219" i="4"/>
  <c r="H227" i="4"/>
  <c r="H235" i="4"/>
  <c r="H243" i="4"/>
  <c r="H251" i="4"/>
  <c r="H259" i="4"/>
  <c r="H267" i="4"/>
  <c r="H275" i="4"/>
  <c r="H283" i="4"/>
  <c r="H291" i="4"/>
  <c r="H299" i="4"/>
  <c r="H307" i="4"/>
  <c r="H315" i="4"/>
  <c r="H323" i="4"/>
  <c r="H331" i="4"/>
  <c r="H339" i="4"/>
  <c r="H347" i="4"/>
  <c r="H355" i="4"/>
  <c r="H363" i="4"/>
  <c r="H371" i="4"/>
  <c r="H379" i="4"/>
  <c r="H387" i="4"/>
  <c r="H395" i="4"/>
  <c r="H403" i="4"/>
  <c r="H411" i="4"/>
  <c r="H419" i="4"/>
  <c r="H427" i="4"/>
  <c r="H435" i="4"/>
  <c r="H443" i="4"/>
  <c r="H451" i="4"/>
  <c r="H459" i="4"/>
  <c r="H467" i="4"/>
  <c r="H475" i="4"/>
  <c r="J557" i="4"/>
  <c r="H56" i="4"/>
  <c r="H90" i="4"/>
  <c r="H122" i="4"/>
  <c r="H154" i="4"/>
  <c r="H186" i="4"/>
  <c r="H218" i="4"/>
  <c r="H250" i="4"/>
  <c r="H282" i="4"/>
  <c r="H314" i="4"/>
  <c r="H346" i="4"/>
  <c r="H378" i="4"/>
  <c r="H410" i="4"/>
  <c r="H442" i="4"/>
  <c r="H474" i="4"/>
  <c r="H498" i="4"/>
  <c r="H516" i="4"/>
  <c r="H539" i="4"/>
  <c r="H562" i="4"/>
  <c r="H580" i="4"/>
  <c r="H603" i="4"/>
  <c r="H622" i="4"/>
  <c r="H635" i="4"/>
  <c r="H646" i="4"/>
  <c r="H657" i="4"/>
  <c r="H667" i="4"/>
  <c r="H678" i="4"/>
  <c r="H689" i="4"/>
  <c r="H697" i="4"/>
  <c r="H705" i="4"/>
  <c r="H713" i="4"/>
  <c r="H721" i="4"/>
  <c r="H729" i="4"/>
  <c r="H737" i="4"/>
  <c r="H745" i="4"/>
  <c r="H753" i="4"/>
  <c r="H761" i="4"/>
  <c r="H769" i="4"/>
  <c r="H777" i="4"/>
  <c r="H785" i="4"/>
  <c r="H793" i="4"/>
  <c r="H801" i="4"/>
  <c r="H809" i="4"/>
  <c r="H817" i="4"/>
  <c r="H825" i="4"/>
  <c r="H833" i="4"/>
  <c r="H841" i="4"/>
  <c r="H849" i="4"/>
  <c r="H857" i="4"/>
  <c r="H9" i="4"/>
  <c r="H17" i="4"/>
  <c r="G22" i="4"/>
  <c r="G30" i="4"/>
  <c r="G38" i="4"/>
  <c r="G46" i="4"/>
  <c r="G54" i="4"/>
  <c r="G62" i="4"/>
  <c r="G70" i="4"/>
  <c r="G78" i="4"/>
  <c r="G86" i="4"/>
  <c r="I86" i="4" s="1"/>
  <c r="G94" i="4"/>
  <c r="G102" i="4"/>
  <c r="G110" i="4"/>
  <c r="G118" i="4"/>
  <c r="G126" i="4"/>
  <c r="G134" i="4"/>
  <c r="G142" i="4"/>
  <c r="G150" i="4"/>
  <c r="I150" i="4" s="1"/>
  <c r="G158" i="4"/>
  <c r="G166" i="4"/>
  <c r="G174" i="4"/>
  <c r="G182" i="4"/>
  <c r="G190" i="4"/>
  <c r="G198" i="4"/>
  <c r="G206" i="4"/>
  <c r="G214" i="4"/>
  <c r="I214" i="4" s="1"/>
  <c r="G222" i="4"/>
  <c r="G230" i="4"/>
  <c r="G238" i="4"/>
  <c r="G246" i="4"/>
  <c r="G254" i="4"/>
  <c r="G262" i="4"/>
  <c r="G270" i="4"/>
  <c r="G278" i="4"/>
  <c r="I278" i="4" s="1"/>
  <c r="G286" i="4"/>
  <c r="G294" i="4"/>
  <c r="G302" i="4"/>
  <c r="G310" i="4"/>
  <c r="G318" i="4"/>
  <c r="G326" i="4"/>
  <c r="G334" i="4"/>
  <c r="G342" i="4"/>
  <c r="I342" i="4" s="1"/>
  <c r="G350" i="4"/>
  <c r="G358" i="4"/>
  <c r="G366" i="4"/>
  <c r="G374" i="4"/>
  <c r="G382" i="4"/>
  <c r="G390" i="4"/>
  <c r="G398" i="4"/>
  <c r="G406" i="4"/>
  <c r="I406" i="4" s="1"/>
  <c r="G414" i="4"/>
  <c r="G422" i="4"/>
  <c r="G430" i="4"/>
  <c r="G438" i="4"/>
  <c r="G446" i="4"/>
  <c r="G454" i="4"/>
  <c r="G462" i="4"/>
  <c r="G470" i="4"/>
  <c r="I470" i="4" s="1"/>
  <c r="G478" i="4"/>
  <c r="G486" i="4"/>
  <c r="G494" i="4"/>
  <c r="G502" i="4"/>
  <c r="G510" i="4"/>
  <c r="G518" i="4"/>
  <c r="G526" i="4"/>
  <c r="G534" i="4"/>
  <c r="I534" i="4" s="1"/>
  <c r="G542" i="4"/>
  <c r="G550" i="4"/>
  <c r="G558" i="4"/>
  <c r="G566" i="4"/>
  <c r="G574" i="4"/>
  <c r="G582" i="4"/>
  <c r="G590" i="4"/>
  <c r="G598" i="4"/>
  <c r="G606" i="4"/>
  <c r="G614" i="4"/>
  <c r="G622" i="4"/>
  <c r="G630" i="4"/>
  <c r="G638" i="4"/>
  <c r="G646" i="4"/>
  <c r="G654" i="4"/>
  <c r="G662" i="4"/>
  <c r="G670" i="4"/>
  <c r="G678" i="4"/>
  <c r="G686" i="4"/>
  <c r="G694" i="4"/>
  <c r="G702" i="4"/>
  <c r="G710" i="4"/>
  <c r="G718" i="4"/>
  <c r="G726" i="4"/>
  <c r="G734" i="4"/>
  <c r="G742" i="4"/>
  <c r="G750" i="4"/>
  <c r="G758" i="4"/>
  <c r="G766" i="4"/>
  <c r="G774" i="4"/>
  <c r="G782" i="4"/>
  <c r="G790" i="4"/>
  <c r="G798" i="4"/>
  <c r="G806" i="4"/>
  <c r="G814" i="4"/>
  <c r="G822" i="4"/>
  <c r="G830" i="4"/>
  <c r="G838" i="4"/>
  <c r="G846" i="4"/>
  <c r="G854" i="4"/>
  <c r="G9" i="4"/>
  <c r="G17" i="4"/>
  <c r="J634" i="4"/>
  <c r="H59" i="4"/>
  <c r="H92" i="4"/>
  <c r="H124" i="4"/>
  <c r="H156" i="4"/>
  <c r="H188" i="4"/>
  <c r="H220" i="4"/>
  <c r="H252" i="4"/>
  <c r="H284" i="4"/>
  <c r="H316" i="4"/>
  <c r="H348" i="4"/>
  <c r="H380" i="4"/>
  <c r="H412" i="4"/>
  <c r="H444" i="4"/>
  <c r="H476" i="4"/>
  <c r="H499" i="4"/>
  <c r="H522" i="4"/>
  <c r="H540" i="4"/>
  <c r="H563" i="4"/>
  <c r="H586" i="4"/>
  <c r="H604" i="4"/>
  <c r="H626" i="4"/>
  <c r="H636" i="4"/>
  <c r="H648" i="4"/>
  <c r="H658" i="4"/>
  <c r="H668" i="4"/>
  <c r="H680" i="4"/>
  <c r="H690" i="4"/>
  <c r="H698" i="4"/>
  <c r="H706" i="4"/>
  <c r="H714" i="4"/>
  <c r="H722" i="4"/>
  <c r="H730" i="4"/>
  <c r="H738" i="4"/>
  <c r="H746" i="4"/>
  <c r="H754" i="4"/>
  <c r="H762" i="4"/>
  <c r="H770" i="4"/>
  <c r="H778" i="4"/>
  <c r="H786" i="4"/>
  <c r="H794" i="4"/>
  <c r="H802" i="4"/>
  <c r="H810" i="4"/>
  <c r="H818" i="4"/>
  <c r="H826" i="4"/>
  <c r="H834" i="4"/>
  <c r="H842" i="4"/>
  <c r="H850" i="4"/>
  <c r="J826" i="4"/>
  <c r="H29" i="4"/>
  <c r="H65" i="4"/>
  <c r="H98" i="4"/>
  <c r="H130" i="4"/>
  <c r="H162" i="4"/>
  <c r="H194" i="4"/>
  <c r="H226" i="4"/>
  <c r="H258" i="4"/>
  <c r="H290" i="4"/>
  <c r="H322" i="4"/>
  <c r="H354" i="4"/>
  <c r="H386" i="4"/>
  <c r="H418" i="4"/>
  <c r="H450" i="4"/>
  <c r="H482" i="4"/>
  <c r="H500" i="4"/>
  <c r="H523" i="4"/>
  <c r="H546" i="4"/>
  <c r="H564" i="4"/>
  <c r="H587" i="4"/>
  <c r="H610" i="4"/>
  <c r="H627" i="4"/>
  <c r="H638" i="4"/>
  <c r="H649" i="4"/>
  <c r="H659" i="4"/>
  <c r="H670" i="4"/>
  <c r="H681" i="4"/>
  <c r="H691" i="4"/>
  <c r="H699" i="4"/>
  <c r="H707" i="4"/>
  <c r="H715" i="4"/>
  <c r="H723" i="4"/>
  <c r="H731" i="4"/>
  <c r="H739" i="4"/>
  <c r="H747" i="4"/>
  <c r="H755" i="4"/>
  <c r="H763" i="4"/>
  <c r="H771" i="4"/>
  <c r="H779" i="4"/>
  <c r="H787" i="4"/>
  <c r="H795" i="4"/>
  <c r="H803" i="4"/>
  <c r="H811" i="4"/>
  <c r="H819" i="4"/>
  <c r="H827" i="4"/>
  <c r="H835" i="4"/>
  <c r="H843" i="4"/>
  <c r="H851" i="4"/>
  <c r="H3" i="4"/>
  <c r="H11" i="4"/>
  <c r="H19" i="4"/>
  <c r="G24" i="4"/>
  <c r="I24" i="4" s="1"/>
  <c r="G32" i="4"/>
  <c r="G40" i="4"/>
  <c r="G48" i="4"/>
  <c r="G56" i="4"/>
  <c r="G64" i="4"/>
  <c r="G72" i="4"/>
  <c r="G80" i="4"/>
  <c r="G88" i="4"/>
  <c r="I88" i="4" s="1"/>
  <c r="G96" i="4"/>
  <c r="G104" i="4"/>
  <c r="G112" i="4"/>
  <c r="G120" i="4"/>
  <c r="G128" i="4"/>
  <c r="G136" i="4"/>
  <c r="G144" i="4"/>
  <c r="I144" i="4" s="1"/>
  <c r="G152" i="4"/>
  <c r="G160" i="4"/>
  <c r="G168" i="4"/>
  <c r="G176" i="4"/>
  <c r="G184" i="4"/>
  <c r="G192" i="4"/>
  <c r="G200" i="4"/>
  <c r="G208" i="4"/>
  <c r="I208" i="4" s="1"/>
  <c r="G216" i="4"/>
  <c r="I216" i="4" s="1"/>
  <c r="G224" i="4"/>
  <c r="G232" i="4"/>
  <c r="G240" i="4"/>
  <c r="G248" i="4"/>
  <c r="G256" i="4"/>
  <c r="G264" i="4"/>
  <c r="G272" i="4"/>
  <c r="G280" i="4"/>
  <c r="I280" i="4" s="1"/>
  <c r="G288" i="4"/>
  <c r="G296" i="4"/>
  <c r="G304" i="4"/>
  <c r="G312" i="4"/>
  <c r="G320" i="4"/>
  <c r="G328" i="4"/>
  <c r="G336" i="4"/>
  <c r="I336" i="4" s="1"/>
  <c r="G344" i="4"/>
  <c r="G352" i="4"/>
  <c r="G360" i="4"/>
  <c r="G368" i="4"/>
  <c r="G376" i="4"/>
  <c r="G384" i="4"/>
  <c r="G392" i="4"/>
  <c r="G400" i="4"/>
  <c r="I400" i="4" s="1"/>
  <c r="G408" i="4"/>
  <c r="I408" i="4" s="1"/>
  <c r="G416" i="4"/>
  <c r="G424" i="4"/>
  <c r="G432" i="4"/>
  <c r="G440" i="4"/>
  <c r="G448" i="4"/>
  <c r="G456" i="4"/>
  <c r="G464" i="4"/>
  <c r="G472" i="4"/>
  <c r="I472" i="4" s="1"/>
  <c r="G480" i="4"/>
  <c r="G488" i="4"/>
  <c r="G496" i="4"/>
  <c r="G504" i="4"/>
  <c r="G512" i="4"/>
  <c r="G520" i="4"/>
  <c r="G528" i="4"/>
  <c r="I528" i="4" s="1"/>
  <c r="G536" i="4"/>
  <c r="G544" i="4"/>
  <c r="G552" i="4"/>
  <c r="G560" i="4"/>
  <c r="G568" i="4"/>
  <c r="G576" i="4"/>
  <c r="G584" i="4"/>
  <c r="G592" i="4"/>
  <c r="I592" i="4" s="1"/>
  <c r="G600" i="4"/>
  <c r="I600" i="4" s="1"/>
  <c r="G608" i="4"/>
  <c r="G616" i="4"/>
  <c r="G624" i="4"/>
  <c r="G632" i="4"/>
  <c r="G640" i="4"/>
  <c r="G648" i="4"/>
  <c r="G656" i="4"/>
  <c r="G664" i="4"/>
  <c r="G672" i="4"/>
  <c r="G680" i="4"/>
  <c r="G688" i="4"/>
  <c r="G696" i="4"/>
  <c r="G704" i="4"/>
  <c r="G712" i="4"/>
  <c r="G720" i="4"/>
  <c r="G728" i="4"/>
  <c r="G736" i="4"/>
  <c r="G744" i="4"/>
  <c r="G752" i="4"/>
  <c r="G760" i="4"/>
  <c r="G768" i="4"/>
  <c r="I768" i="4" s="1"/>
  <c r="G776" i="4"/>
  <c r="G784" i="4"/>
  <c r="G792" i="4"/>
  <c r="I792" i="4" s="1"/>
  <c r="G800" i="4"/>
  <c r="I800" i="4" s="1"/>
  <c r="G808" i="4"/>
  <c r="G816" i="4"/>
  <c r="G824" i="4"/>
  <c r="G832" i="4"/>
  <c r="I832" i="4" s="1"/>
  <c r="G840" i="4"/>
  <c r="G848" i="4"/>
  <c r="G856" i="4"/>
  <c r="G11" i="4"/>
  <c r="G19" i="4"/>
  <c r="H31" i="4"/>
  <c r="H68" i="4"/>
  <c r="H100" i="4"/>
  <c r="H132" i="4"/>
  <c r="H164" i="4"/>
  <c r="H196" i="4"/>
  <c r="H228" i="4"/>
  <c r="H260" i="4"/>
  <c r="H292" i="4"/>
  <c r="H324" i="4"/>
  <c r="H356" i="4"/>
  <c r="H388" i="4"/>
  <c r="H420" i="4"/>
  <c r="H452" i="4"/>
  <c r="H483" i="4"/>
  <c r="H506" i="4"/>
  <c r="H524" i="4"/>
  <c r="H547" i="4"/>
  <c r="H570" i="4"/>
  <c r="H588" i="4"/>
  <c r="H611" i="4"/>
  <c r="H628" i="4"/>
  <c r="H640" i="4"/>
  <c r="H650" i="4"/>
  <c r="H660" i="4"/>
  <c r="H672" i="4"/>
  <c r="H682" i="4"/>
  <c r="H692" i="4"/>
  <c r="H700" i="4"/>
  <c r="H708" i="4"/>
  <c r="H716" i="4"/>
  <c r="H724" i="4"/>
  <c r="H732" i="4"/>
  <c r="H740" i="4"/>
  <c r="H748" i="4"/>
  <c r="H756" i="4"/>
  <c r="H764" i="4"/>
  <c r="H772" i="4"/>
  <c r="H780" i="4"/>
  <c r="H788" i="4"/>
  <c r="H796" i="4"/>
  <c r="H804" i="4"/>
  <c r="H812" i="4"/>
  <c r="H820" i="4"/>
  <c r="H828" i="4"/>
  <c r="H836" i="4"/>
  <c r="H844" i="4"/>
  <c r="H852" i="4"/>
  <c r="H4" i="4"/>
  <c r="H12" i="4"/>
  <c r="H20" i="4"/>
  <c r="G25" i="4"/>
  <c r="G33" i="4"/>
  <c r="I33" i="4" s="1"/>
  <c r="G41" i="4"/>
  <c r="G49" i="4"/>
  <c r="G57" i="4"/>
  <c r="G65" i="4"/>
  <c r="G73" i="4"/>
  <c r="G81" i="4"/>
  <c r="G89" i="4"/>
  <c r="G97" i="4"/>
  <c r="G105" i="4"/>
  <c r="I105" i="4" s="1"/>
  <c r="G113" i="4"/>
  <c r="G121" i="4"/>
  <c r="G129" i="4"/>
  <c r="G137" i="4"/>
  <c r="G145" i="4"/>
  <c r="G153" i="4"/>
  <c r="G161" i="4"/>
  <c r="G169" i="4"/>
  <c r="I169" i="4" s="1"/>
  <c r="G177" i="4"/>
  <c r="G185" i="4"/>
  <c r="G193" i="4"/>
  <c r="G201" i="4"/>
  <c r="G209" i="4"/>
  <c r="G217" i="4"/>
  <c r="G225" i="4"/>
  <c r="G233" i="4"/>
  <c r="G241" i="4"/>
  <c r="G249" i="4"/>
  <c r="G257" i="4"/>
  <c r="G265" i="4"/>
  <c r="G273" i="4"/>
  <c r="G281" i="4"/>
  <c r="G289" i="4"/>
  <c r="G297" i="4"/>
  <c r="I297" i="4" s="1"/>
  <c r="G305" i="4"/>
  <c r="G313" i="4"/>
  <c r="G321" i="4"/>
  <c r="G329" i="4"/>
  <c r="G337" i="4"/>
  <c r="G345" i="4"/>
  <c r="G353" i="4"/>
  <c r="G361" i="4"/>
  <c r="I361" i="4" s="1"/>
  <c r="G369" i="4"/>
  <c r="G377" i="4"/>
  <c r="G385" i="4"/>
  <c r="G393" i="4"/>
  <c r="G401" i="4"/>
  <c r="G409" i="4"/>
  <c r="G417" i="4"/>
  <c r="G425" i="4"/>
  <c r="G433" i="4"/>
  <c r="G441" i="4"/>
  <c r="G449" i="4"/>
  <c r="G457" i="4"/>
  <c r="G465" i="4"/>
  <c r="G473" i="4"/>
  <c r="G481" i="4"/>
  <c r="G489" i="4"/>
  <c r="I489" i="4" s="1"/>
  <c r="G497" i="4"/>
  <c r="G505" i="4"/>
  <c r="G513" i="4"/>
  <c r="G521" i="4"/>
  <c r="G529" i="4"/>
  <c r="G537" i="4"/>
  <c r="G545" i="4"/>
  <c r="G553" i="4"/>
  <c r="I553" i="4" s="1"/>
  <c r="G561" i="4"/>
  <c r="G569" i="4"/>
  <c r="G577" i="4"/>
  <c r="G585" i="4"/>
  <c r="G593" i="4"/>
  <c r="G601" i="4"/>
  <c r="G609" i="4"/>
  <c r="G617" i="4"/>
  <c r="G625" i="4"/>
  <c r="G633" i="4"/>
  <c r="G641" i="4"/>
  <c r="G649" i="4"/>
  <c r="G657" i="4"/>
  <c r="G665" i="4"/>
  <c r="G673" i="4"/>
  <c r="G681" i="4"/>
  <c r="G689" i="4"/>
  <c r="G697" i="4"/>
  <c r="G705" i="4"/>
  <c r="G713" i="4"/>
  <c r="G721" i="4"/>
  <c r="G729" i="4"/>
  <c r="G737" i="4"/>
  <c r="G745" i="4"/>
  <c r="G753" i="4"/>
  <c r="G761" i="4"/>
  <c r="G769" i="4"/>
  <c r="G777" i="4"/>
  <c r="G785" i="4"/>
  <c r="G793" i="4"/>
  <c r="G801" i="4"/>
  <c r="G809" i="4"/>
  <c r="G817" i="4"/>
  <c r="G825" i="4"/>
  <c r="G833" i="4"/>
  <c r="G841" i="4"/>
  <c r="G849" i="4"/>
  <c r="G857" i="4"/>
  <c r="G12" i="4"/>
  <c r="G20" i="4"/>
  <c r="H38" i="4"/>
  <c r="H74" i="4"/>
  <c r="H106" i="4"/>
  <c r="H138" i="4"/>
  <c r="H170" i="4"/>
  <c r="H202" i="4"/>
  <c r="H234" i="4"/>
  <c r="H266" i="4"/>
  <c r="H298" i="4"/>
  <c r="H330" i="4"/>
  <c r="H362" i="4"/>
  <c r="H394" i="4"/>
  <c r="H426" i="4"/>
  <c r="H458" i="4"/>
  <c r="H484" i="4"/>
  <c r="H507" i="4"/>
  <c r="H530" i="4"/>
  <c r="H548" i="4"/>
  <c r="H571" i="4"/>
  <c r="H594" i="4"/>
  <c r="H612" i="4"/>
  <c r="H630" i="4"/>
  <c r="H641" i="4"/>
  <c r="H651" i="4"/>
  <c r="H662" i="4"/>
  <c r="H673" i="4"/>
  <c r="H683" i="4"/>
  <c r="H693" i="4"/>
  <c r="H701" i="4"/>
  <c r="H709" i="4"/>
  <c r="H717" i="4"/>
  <c r="H725" i="4"/>
  <c r="H733" i="4"/>
  <c r="H741" i="4"/>
  <c r="H749" i="4"/>
  <c r="H757" i="4"/>
  <c r="H765" i="4"/>
  <c r="H773" i="4"/>
  <c r="H781" i="4"/>
  <c r="H789" i="4"/>
  <c r="H797" i="4"/>
  <c r="H805" i="4"/>
  <c r="H813" i="4"/>
  <c r="H821" i="4"/>
  <c r="H829" i="4"/>
  <c r="H837" i="4"/>
  <c r="H845" i="4"/>
  <c r="H853" i="4"/>
  <c r="H5" i="4"/>
  <c r="H13" i="4"/>
  <c r="H21" i="4"/>
  <c r="G26" i="4"/>
  <c r="I26" i="4" s="1"/>
  <c r="G34" i="4"/>
  <c r="G42" i="4"/>
  <c r="G50" i="4"/>
  <c r="G58" i="4"/>
  <c r="G66" i="4"/>
  <c r="G74" i="4"/>
  <c r="G82" i="4"/>
  <c r="G90" i="4"/>
  <c r="G98" i="4"/>
  <c r="G106" i="4"/>
  <c r="G114" i="4"/>
  <c r="G122" i="4"/>
  <c r="G130" i="4"/>
  <c r="G138" i="4"/>
  <c r="G146" i="4"/>
  <c r="G154" i="4"/>
  <c r="G162" i="4"/>
  <c r="G170" i="4"/>
  <c r="G178" i="4"/>
  <c r="G186" i="4"/>
  <c r="G194" i="4"/>
  <c r="G202" i="4"/>
  <c r="G210" i="4"/>
  <c r="G218" i="4"/>
  <c r="G226" i="4"/>
  <c r="G234" i="4"/>
  <c r="G242" i="4"/>
  <c r="G250" i="4"/>
  <c r="I250" i="4" s="1"/>
  <c r="G258" i="4"/>
  <c r="G266" i="4"/>
  <c r="G274" i="4"/>
  <c r="G282" i="4"/>
  <c r="G290" i="4"/>
  <c r="G298" i="4"/>
  <c r="G306" i="4"/>
  <c r="I306" i="4" s="1"/>
  <c r="G314" i="4"/>
  <c r="G322" i="4"/>
  <c r="G330" i="4"/>
  <c r="I330" i="4" s="1"/>
  <c r="G338" i="4"/>
  <c r="G346" i="4"/>
  <c r="G354" i="4"/>
  <c r="G362" i="4"/>
  <c r="G370" i="4"/>
  <c r="G378" i="4"/>
  <c r="G386" i="4"/>
  <c r="G394" i="4"/>
  <c r="G402" i="4"/>
  <c r="G410" i="4"/>
  <c r="G418" i="4"/>
  <c r="G426" i="4"/>
  <c r="G434" i="4"/>
  <c r="G442" i="4"/>
  <c r="I442" i="4" s="1"/>
  <c r="G450" i="4"/>
  <c r="G458" i="4"/>
  <c r="G466" i="4"/>
  <c r="G474" i="4"/>
  <c r="G482" i="4"/>
  <c r="G490" i="4"/>
  <c r="G498" i="4"/>
  <c r="G506" i="4"/>
  <c r="G514" i="4"/>
  <c r="G522" i="4"/>
  <c r="G530" i="4"/>
  <c r="G538" i="4"/>
  <c r="I538" i="4" s="1"/>
  <c r="G546" i="4"/>
  <c r="G554" i="4"/>
  <c r="G562" i="4"/>
  <c r="G570" i="4"/>
  <c r="I570" i="4" s="1"/>
  <c r="G578" i="4"/>
  <c r="G586" i="4"/>
  <c r="G594" i="4"/>
  <c r="G602" i="4"/>
  <c r="G610" i="4"/>
  <c r="G618" i="4"/>
  <c r="G626" i="4"/>
  <c r="G634" i="4"/>
  <c r="G642" i="4"/>
  <c r="G650" i="4"/>
  <c r="G658" i="4"/>
  <c r="G666" i="4"/>
  <c r="I666" i="4" s="1"/>
  <c r="G674" i="4"/>
  <c r="G682" i="4"/>
  <c r="G690" i="4"/>
  <c r="H40" i="4"/>
  <c r="H76" i="4"/>
  <c r="H108" i="4"/>
  <c r="H140" i="4"/>
  <c r="H172" i="4"/>
  <c r="H204" i="4"/>
  <c r="H236" i="4"/>
  <c r="H268" i="4"/>
  <c r="H300" i="4"/>
  <c r="H332" i="4"/>
  <c r="H364" i="4"/>
  <c r="H396" i="4"/>
  <c r="H428" i="4"/>
  <c r="H460" i="4"/>
  <c r="H490" i="4"/>
  <c r="H508" i="4"/>
  <c r="H531" i="4"/>
  <c r="H554" i="4"/>
  <c r="H572" i="4"/>
  <c r="H595" i="4"/>
  <c r="H618" i="4"/>
  <c r="H632" i="4"/>
  <c r="H642" i="4"/>
  <c r="H652" i="4"/>
  <c r="H664" i="4"/>
  <c r="H674" i="4"/>
  <c r="H684" i="4"/>
  <c r="H694" i="4"/>
  <c r="H702" i="4"/>
  <c r="H710" i="4"/>
  <c r="H718" i="4"/>
  <c r="H726" i="4"/>
  <c r="H734" i="4"/>
  <c r="H742" i="4"/>
  <c r="H750" i="4"/>
  <c r="H758" i="4"/>
  <c r="H766" i="4"/>
  <c r="H774" i="4"/>
  <c r="H782" i="4"/>
  <c r="H790" i="4"/>
  <c r="H798" i="4"/>
  <c r="H806" i="4"/>
  <c r="H814" i="4"/>
  <c r="H822" i="4"/>
  <c r="H830" i="4"/>
  <c r="H838" i="4"/>
  <c r="H846" i="4"/>
  <c r="H854" i="4"/>
  <c r="H6" i="4"/>
  <c r="H14" i="4"/>
  <c r="H22" i="4"/>
  <c r="G27" i="4"/>
  <c r="G35" i="4"/>
  <c r="G43" i="4"/>
  <c r="G51" i="4"/>
  <c r="G59" i="4"/>
  <c r="G67" i="4"/>
  <c r="G75" i="4"/>
  <c r="G83" i="4"/>
  <c r="G91" i="4"/>
  <c r="G99" i="4"/>
  <c r="G107" i="4"/>
  <c r="G115" i="4"/>
  <c r="G123" i="4"/>
  <c r="G131" i="4"/>
  <c r="G139" i="4"/>
  <c r="G147" i="4"/>
  <c r="G155" i="4"/>
  <c r="G163" i="4"/>
  <c r="G171" i="4"/>
  <c r="G179" i="4"/>
  <c r="G187" i="4"/>
  <c r="G195" i="4"/>
  <c r="G203" i="4"/>
  <c r="G211" i="4"/>
  <c r="G219" i="4"/>
  <c r="G227" i="4"/>
  <c r="G235" i="4"/>
  <c r="G243" i="4"/>
  <c r="G251" i="4"/>
  <c r="G259" i="4"/>
  <c r="G267" i="4"/>
  <c r="G275" i="4"/>
  <c r="G283" i="4"/>
  <c r="G291" i="4"/>
  <c r="G299" i="4"/>
  <c r="G307" i="4"/>
  <c r="G315" i="4"/>
  <c r="G323" i="4"/>
  <c r="G331" i="4"/>
  <c r="G339" i="4"/>
  <c r="G347" i="4"/>
  <c r="G355" i="4"/>
  <c r="G363" i="4"/>
  <c r="G371" i="4"/>
  <c r="G379" i="4"/>
  <c r="G387" i="4"/>
  <c r="G395" i="4"/>
  <c r="G403" i="4"/>
  <c r="G411" i="4"/>
  <c r="G419" i="4"/>
  <c r="G427" i="4"/>
  <c r="G435" i="4"/>
  <c r="G443" i="4"/>
  <c r="G451" i="4"/>
  <c r="G459" i="4"/>
  <c r="G467" i="4"/>
  <c r="G475" i="4"/>
  <c r="G483" i="4"/>
  <c r="G491" i="4"/>
  <c r="G499" i="4"/>
  <c r="I499" i="4" s="1"/>
  <c r="G507" i="4"/>
  <c r="G515" i="4"/>
  <c r="G523" i="4"/>
  <c r="G531" i="4"/>
  <c r="G539" i="4"/>
  <c r="G547" i="4"/>
  <c r="G555" i="4"/>
  <c r="G563" i="4"/>
  <c r="G571" i="4"/>
  <c r="G579" i="4"/>
  <c r="G587" i="4"/>
  <c r="G595" i="4"/>
  <c r="G603" i="4"/>
  <c r="G611" i="4"/>
  <c r="G619" i="4"/>
  <c r="G627" i="4"/>
  <c r="G635" i="4"/>
  <c r="G643" i="4"/>
  <c r="G651" i="4"/>
  <c r="G659" i="4"/>
  <c r="G667" i="4"/>
  <c r="G675" i="4"/>
  <c r="G683" i="4"/>
  <c r="G691" i="4"/>
  <c r="G699" i="4"/>
  <c r="G707" i="4"/>
  <c r="G715" i="4"/>
  <c r="G723" i="4"/>
  <c r="H82" i="4"/>
  <c r="H210" i="4"/>
  <c r="H338" i="4"/>
  <c r="H466" i="4"/>
  <c r="H555" i="4"/>
  <c r="H633" i="4"/>
  <c r="H675" i="4"/>
  <c r="H711" i="4"/>
  <c r="H743" i="4"/>
  <c r="H775" i="4"/>
  <c r="H807" i="4"/>
  <c r="H839" i="4"/>
  <c r="H8" i="4"/>
  <c r="G28" i="4"/>
  <c r="G47" i="4"/>
  <c r="G69" i="4"/>
  <c r="G92" i="4"/>
  <c r="G111" i="4"/>
  <c r="G133" i="4"/>
  <c r="G156" i="4"/>
  <c r="G175" i="4"/>
  <c r="G197" i="4"/>
  <c r="I197" i="4" s="1"/>
  <c r="G220" i="4"/>
  <c r="G239" i="4"/>
  <c r="G261" i="4"/>
  <c r="I261" i="4" s="1"/>
  <c r="G284" i="4"/>
  <c r="I284" i="4" s="1"/>
  <c r="G303" i="4"/>
  <c r="G325" i="4"/>
  <c r="I325" i="4" s="1"/>
  <c r="G348" i="4"/>
  <c r="I348" i="4" s="1"/>
  <c r="G367" i="4"/>
  <c r="G389" i="4"/>
  <c r="G412" i="4"/>
  <c r="G431" i="4"/>
  <c r="G453" i="4"/>
  <c r="I453" i="4" s="1"/>
  <c r="G476" i="4"/>
  <c r="I476" i="4" s="1"/>
  <c r="G495" i="4"/>
  <c r="G517" i="4"/>
  <c r="G540" i="4"/>
  <c r="I540" i="4" s="1"/>
  <c r="G559" i="4"/>
  <c r="G581" i="4"/>
  <c r="G604" i="4"/>
  <c r="G623" i="4"/>
  <c r="G645" i="4"/>
  <c r="I645" i="4" s="1"/>
  <c r="G668" i="4"/>
  <c r="I668" i="4" s="1"/>
  <c r="G687" i="4"/>
  <c r="G706" i="4"/>
  <c r="G722" i="4"/>
  <c r="G735" i="4"/>
  <c r="G748" i="4"/>
  <c r="G762" i="4"/>
  <c r="G773" i="4"/>
  <c r="G787" i="4"/>
  <c r="G799" i="4"/>
  <c r="G812" i="4"/>
  <c r="G826" i="4"/>
  <c r="G837" i="4"/>
  <c r="G851" i="4"/>
  <c r="G10" i="4"/>
  <c r="G4" i="4"/>
  <c r="E7" i="4"/>
  <c r="E15" i="4"/>
  <c r="E23" i="4"/>
  <c r="E31" i="4"/>
  <c r="E39" i="4"/>
  <c r="E47" i="4"/>
  <c r="E55" i="4"/>
  <c r="E63" i="4"/>
  <c r="E71" i="4"/>
  <c r="E79" i="4"/>
  <c r="E87" i="4"/>
  <c r="E95" i="4"/>
  <c r="H84" i="4"/>
  <c r="H212" i="4"/>
  <c r="H340" i="4"/>
  <c r="H468" i="4"/>
  <c r="H556" i="4"/>
  <c r="H634" i="4"/>
  <c r="H676" i="4"/>
  <c r="H712" i="4"/>
  <c r="H744" i="4"/>
  <c r="H776" i="4"/>
  <c r="H808" i="4"/>
  <c r="H840" i="4"/>
  <c r="H10" i="4"/>
  <c r="G29" i="4"/>
  <c r="G52" i="4"/>
  <c r="I52" i="4" s="1"/>
  <c r="G71" i="4"/>
  <c r="G93" i="4"/>
  <c r="G116" i="4"/>
  <c r="G135" i="4"/>
  <c r="G157" i="4"/>
  <c r="G180" i="4"/>
  <c r="I180" i="4" s="1"/>
  <c r="G199" i="4"/>
  <c r="G221" i="4"/>
  <c r="G244" i="4"/>
  <c r="G263" i="4"/>
  <c r="G285" i="4"/>
  <c r="G308" i="4"/>
  <c r="I308" i="4" s="1"/>
  <c r="G327" i="4"/>
  <c r="G349" i="4"/>
  <c r="I349" i="4" s="1"/>
  <c r="G372" i="4"/>
  <c r="G391" i="4"/>
  <c r="G413" i="4"/>
  <c r="G436" i="4"/>
  <c r="I436" i="4" s="1"/>
  <c r="G455" i="4"/>
  <c r="G477" i="4"/>
  <c r="G500" i="4"/>
  <c r="G519" i="4"/>
  <c r="G541" i="4"/>
  <c r="I541" i="4" s="1"/>
  <c r="G564" i="4"/>
  <c r="G583" i="4"/>
  <c r="G605" i="4"/>
  <c r="G628" i="4"/>
  <c r="G647" i="4"/>
  <c r="G669" i="4"/>
  <c r="G692" i="4"/>
  <c r="G708" i="4"/>
  <c r="G724" i="4"/>
  <c r="G738" i="4"/>
  <c r="G749" i="4"/>
  <c r="G763" i="4"/>
  <c r="G775" i="4"/>
  <c r="I775" i="4" s="1"/>
  <c r="G788" i="4"/>
  <c r="G802" i="4"/>
  <c r="I802" i="4" s="1"/>
  <c r="G813" i="4"/>
  <c r="I813" i="4" s="1"/>
  <c r="G827" i="4"/>
  <c r="G839" i="4"/>
  <c r="G852" i="4"/>
  <c r="I852" i="4" s="1"/>
  <c r="G13" i="4"/>
  <c r="G5" i="4"/>
  <c r="H114" i="4"/>
  <c r="H242" i="4"/>
  <c r="H370" i="4"/>
  <c r="H491" i="4"/>
  <c r="H578" i="4"/>
  <c r="H643" i="4"/>
  <c r="H686" i="4"/>
  <c r="H719" i="4"/>
  <c r="H751" i="4"/>
  <c r="H783" i="4"/>
  <c r="H815" i="4"/>
  <c r="H847" i="4"/>
  <c r="H15" i="4"/>
  <c r="G31" i="4"/>
  <c r="G53" i="4"/>
  <c r="G76" i="4"/>
  <c r="G95" i="4"/>
  <c r="G117" i="4"/>
  <c r="G140" i="4"/>
  <c r="G159" i="4"/>
  <c r="G181" i="4"/>
  <c r="G204" i="4"/>
  <c r="G223" i="4"/>
  <c r="G245" i="4"/>
  <c r="G268" i="4"/>
  <c r="G287" i="4"/>
  <c r="G309" i="4"/>
  <c r="G332" i="4"/>
  <c r="G351" i="4"/>
  <c r="G373" i="4"/>
  <c r="G396" i="4"/>
  <c r="I396" i="4" s="1"/>
  <c r="G415" i="4"/>
  <c r="G437" i="4"/>
  <c r="G460" i="4"/>
  <c r="I460" i="4" s="1"/>
  <c r="G479" i="4"/>
  <c r="I479" i="4" s="1"/>
  <c r="G501" i="4"/>
  <c r="G524" i="4"/>
  <c r="G543" i="4"/>
  <c r="G565" i="4"/>
  <c r="G588" i="4"/>
  <c r="G607" i="4"/>
  <c r="G629" i="4"/>
  <c r="G652" i="4"/>
  <c r="I652" i="4" s="1"/>
  <c r="G671" i="4"/>
  <c r="I671" i="4" s="1"/>
  <c r="G693" i="4"/>
  <c r="G709" i="4"/>
  <c r="G725" i="4"/>
  <c r="G739" i="4"/>
  <c r="G751" i="4"/>
  <c r="G764" i="4"/>
  <c r="G778" i="4"/>
  <c r="I778" i="4" s="1"/>
  <c r="G789" i="4"/>
  <c r="I789" i="4" s="1"/>
  <c r="G803" i="4"/>
  <c r="G815" i="4"/>
  <c r="G828" i="4"/>
  <c r="G842" i="4"/>
  <c r="G853" i="4"/>
  <c r="G14" i="4"/>
  <c r="E9" i="4"/>
  <c r="E17" i="4"/>
  <c r="E25" i="4"/>
  <c r="E33" i="4"/>
  <c r="E41" i="4"/>
  <c r="E49" i="4"/>
  <c r="E57" i="4"/>
  <c r="E65" i="4"/>
  <c r="E73" i="4"/>
  <c r="E81" i="4"/>
  <c r="H116" i="4"/>
  <c r="H244" i="4"/>
  <c r="H372" i="4"/>
  <c r="H492" i="4"/>
  <c r="H579" i="4"/>
  <c r="H644" i="4"/>
  <c r="H688" i="4"/>
  <c r="H720" i="4"/>
  <c r="H752" i="4"/>
  <c r="H784" i="4"/>
  <c r="H816" i="4"/>
  <c r="H848" i="4"/>
  <c r="H16" i="4"/>
  <c r="G36" i="4"/>
  <c r="I36" i="4" s="1"/>
  <c r="G55" i="4"/>
  <c r="G77" i="4"/>
  <c r="I77" i="4" s="1"/>
  <c r="G100" i="4"/>
  <c r="G119" i="4"/>
  <c r="I119" i="4" s="1"/>
  <c r="G141" i="4"/>
  <c r="G164" i="4"/>
  <c r="G183" i="4"/>
  <c r="G205" i="4"/>
  <c r="G228" i="4"/>
  <c r="G247" i="4"/>
  <c r="G269" i="4"/>
  <c r="G292" i="4"/>
  <c r="G311" i="4"/>
  <c r="G333" i="4"/>
  <c r="I333" i="4" s="1"/>
  <c r="G356" i="4"/>
  <c r="G375" i="4"/>
  <c r="G397" i="4"/>
  <c r="G420" i="4"/>
  <c r="G439" i="4"/>
  <c r="G461" i="4"/>
  <c r="G484" i="4"/>
  <c r="G503" i="4"/>
  <c r="I503" i="4" s="1"/>
  <c r="G525" i="4"/>
  <c r="I525" i="4" s="1"/>
  <c r="G548" i="4"/>
  <c r="G567" i="4"/>
  <c r="G589" i="4"/>
  <c r="G612" i="4"/>
  <c r="G631" i="4"/>
  <c r="G653" i="4"/>
  <c r="G676" i="4"/>
  <c r="G695" i="4"/>
  <c r="G711" i="4"/>
  <c r="G727" i="4"/>
  <c r="G740" i="4"/>
  <c r="G754" i="4"/>
  <c r="G765" i="4"/>
  <c r="G779" i="4"/>
  <c r="G791" i="4"/>
  <c r="G804" i="4"/>
  <c r="I804" i="4" s="1"/>
  <c r="G818" i="4"/>
  <c r="G829" i="4"/>
  <c r="G843" i="4"/>
  <c r="G855" i="4"/>
  <c r="G15" i="4"/>
  <c r="E10" i="4"/>
  <c r="E18" i="4"/>
  <c r="E26" i="4"/>
  <c r="E34" i="4"/>
  <c r="E42" i="4"/>
  <c r="H146" i="4"/>
  <c r="H274" i="4"/>
  <c r="H402" i="4"/>
  <c r="H514" i="4"/>
  <c r="H596" i="4"/>
  <c r="H654" i="4"/>
  <c r="H695" i="4"/>
  <c r="H727" i="4"/>
  <c r="H759" i="4"/>
  <c r="H791" i="4"/>
  <c r="H823" i="4"/>
  <c r="H855" i="4"/>
  <c r="H18" i="4"/>
  <c r="G37" i="4"/>
  <c r="I37" i="4" s="1"/>
  <c r="G60" i="4"/>
  <c r="I60" i="4" s="1"/>
  <c r="G79" i="4"/>
  <c r="I79" i="4" s="1"/>
  <c r="G101" i="4"/>
  <c r="I101" i="4" s="1"/>
  <c r="G124" i="4"/>
  <c r="G143" i="4"/>
  <c r="G165" i="4"/>
  <c r="G188" i="4"/>
  <c r="G207" i="4"/>
  <c r="G229" i="4"/>
  <c r="G252" i="4"/>
  <c r="G271" i="4"/>
  <c r="I271" i="4" s="1"/>
  <c r="G293" i="4"/>
  <c r="G316" i="4"/>
  <c r="G335" i="4"/>
  <c r="G357" i="4"/>
  <c r="G380" i="4"/>
  <c r="G399" i="4"/>
  <c r="G421" i="4"/>
  <c r="I421" i="4" s="1"/>
  <c r="G444" i="4"/>
  <c r="G463" i="4"/>
  <c r="G485" i="4"/>
  <c r="G508" i="4"/>
  <c r="G527" i="4"/>
  <c r="G549" i="4"/>
  <c r="G572" i="4"/>
  <c r="I572" i="4" s="1"/>
  <c r="G591" i="4"/>
  <c r="G613" i="4"/>
  <c r="G636" i="4"/>
  <c r="G655" i="4"/>
  <c r="G677" i="4"/>
  <c r="G698" i="4"/>
  <c r="G714" i="4"/>
  <c r="I714" i="4" s="1"/>
  <c r="G730" i="4"/>
  <c r="I730" i="4" s="1"/>
  <c r="G741" i="4"/>
  <c r="I741" i="4" s="1"/>
  <c r="G755" i="4"/>
  <c r="I755" i="4" s="1"/>
  <c r="G767" i="4"/>
  <c r="G780" i="4"/>
  <c r="G794" i="4"/>
  <c r="G805" i="4"/>
  <c r="I805" i="4" s="1"/>
  <c r="G819" i="4"/>
  <c r="G831" i="4"/>
  <c r="G844" i="4"/>
  <c r="G858" i="4"/>
  <c r="I858" i="4" s="1"/>
  <c r="G16" i="4"/>
  <c r="E3" i="4"/>
  <c r="E11" i="4"/>
  <c r="E19" i="4"/>
  <c r="E27" i="4"/>
  <c r="E35" i="4"/>
  <c r="E43" i="4"/>
  <c r="E51" i="4"/>
  <c r="H148" i="4"/>
  <c r="H276" i="4"/>
  <c r="H404" i="4"/>
  <c r="H515" i="4"/>
  <c r="H602" i="4"/>
  <c r="H656" i="4"/>
  <c r="H696" i="4"/>
  <c r="H728" i="4"/>
  <c r="H760" i="4"/>
  <c r="H792" i="4"/>
  <c r="H824" i="4"/>
  <c r="H856" i="4"/>
  <c r="H23" i="4"/>
  <c r="G39" i="4"/>
  <c r="G61" i="4"/>
  <c r="I61" i="4" s="1"/>
  <c r="G84" i="4"/>
  <c r="G103" i="4"/>
  <c r="G125" i="4"/>
  <c r="I125" i="4" s="1"/>
  <c r="G148" i="4"/>
  <c r="G167" i="4"/>
  <c r="G189" i="4"/>
  <c r="I189" i="4" s="1"/>
  <c r="G212" i="4"/>
  <c r="G231" i="4"/>
  <c r="G253" i="4"/>
  <c r="I253" i="4" s="1"/>
  <c r="G276" i="4"/>
  <c r="G295" i="4"/>
  <c r="G317" i="4"/>
  <c r="I317" i="4" s="1"/>
  <c r="G340" i="4"/>
  <c r="G359" i="4"/>
  <c r="G381" i="4"/>
  <c r="I381" i="4" s="1"/>
  <c r="G404" i="4"/>
  <c r="G423" i="4"/>
  <c r="G445" i="4"/>
  <c r="I445" i="4" s="1"/>
  <c r="G468" i="4"/>
  <c r="G487" i="4"/>
  <c r="G509" i="4"/>
  <c r="I509" i="4" s="1"/>
  <c r="G532" i="4"/>
  <c r="G551" i="4"/>
  <c r="G573" i="4"/>
  <c r="I573" i="4" s="1"/>
  <c r="G596" i="4"/>
  <c r="G615" i="4"/>
  <c r="G637" i="4"/>
  <c r="I637" i="4" s="1"/>
  <c r="G660" i="4"/>
  <c r="G679" i="4"/>
  <c r="G700" i="4"/>
  <c r="G716" i="4"/>
  <c r="G731" i="4"/>
  <c r="I731" i="4" s="1"/>
  <c r="G743" i="4"/>
  <c r="G756" i="4"/>
  <c r="G770" i="4"/>
  <c r="G781" i="4"/>
  <c r="G795" i="4"/>
  <c r="G807" i="4"/>
  <c r="G820" i="4"/>
  <c r="I820" i="4" s="1"/>
  <c r="G834" i="4"/>
  <c r="G845" i="4"/>
  <c r="I845" i="4" s="1"/>
  <c r="G6" i="4"/>
  <c r="G18" i="4"/>
  <c r="H47" i="4"/>
  <c r="H178" i="4"/>
  <c r="H306" i="4"/>
  <c r="H434" i="4"/>
  <c r="H532" i="4"/>
  <c r="H619" i="4"/>
  <c r="H665" i="4"/>
  <c r="H703" i="4"/>
  <c r="H735" i="4"/>
  <c r="H767" i="4"/>
  <c r="H799" i="4"/>
  <c r="H831" i="4"/>
  <c r="H2" i="4"/>
  <c r="G44" i="4"/>
  <c r="G63" i="4"/>
  <c r="G85" i="4"/>
  <c r="G108" i="4"/>
  <c r="G127" i="4"/>
  <c r="G149" i="4"/>
  <c r="G172" i="4"/>
  <c r="G191" i="4"/>
  <c r="G213" i="4"/>
  <c r="I213" i="4" s="1"/>
  <c r="G236" i="4"/>
  <c r="G255" i="4"/>
  <c r="G277" i="4"/>
  <c r="G300" i="4"/>
  <c r="G319" i="4"/>
  <c r="G341" i="4"/>
  <c r="G364" i="4"/>
  <c r="G383" i="4"/>
  <c r="I383" i="4" s="1"/>
  <c r="G405" i="4"/>
  <c r="G428" i="4"/>
  <c r="G447" i="4"/>
  <c r="G469" i="4"/>
  <c r="G492" i="4"/>
  <c r="G511" i="4"/>
  <c r="G533" i="4"/>
  <c r="G556" i="4"/>
  <c r="G575" i="4"/>
  <c r="G597" i="4"/>
  <c r="G620" i="4"/>
  <c r="G639" i="4"/>
  <c r="G661" i="4"/>
  <c r="I661" i="4" s="1"/>
  <c r="G684" i="4"/>
  <c r="G701" i="4"/>
  <c r="G717" i="4"/>
  <c r="I717" i="4" s="1"/>
  <c r="G732" i="4"/>
  <c r="G746" i="4"/>
  <c r="G757" i="4"/>
  <c r="G771" i="4"/>
  <c r="G783" i="4"/>
  <c r="G796" i="4"/>
  <c r="G810" i="4"/>
  <c r="G821" i="4"/>
  <c r="G835" i="4"/>
  <c r="G847" i="4"/>
  <c r="G7" i="4"/>
  <c r="G21" i="4"/>
  <c r="E852" i="4"/>
  <c r="E844" i="4"/>
  <c r="E836" i="4"/>
  <c r="E828" i="4"/>
  <c r="E820" i="4"/>
  <c r="E812" i="4"/>
  <c r="E804" i="4"/>
  <c r="E796" i="4"/>
  <c r="E788" i="4"/>
  <c r="E780" i="4"/>
  <c r="E772" i="4"/>
  <c r="E764" i="4"/>
  <c r="E756" i="4"/>
  <c r="E748" i="4"/>
  <c r="E740" i="4"/>
  <c r="E732" i="4"/>
  <c r="E724" i="4"/>
  <c r="E716" i="4"/>
  <c r="E708" i="4"/>
  <c r="E700" i="4"/>
  <c r="E692" i="4"/>
  <c r="E684" i="4"/>
  <c r="E676" i="4"/>
  <c r="E668" i="4"/>
  <c r="E660" i="4"/>
  <c r="E652" i="4"/>
  <c r="E644" i="4"/>
  <c r="E636" i="4"/>
  <c r="E628" i="4"/>
  <c r="E620" i="4"/>
  <c r="E612" i="4"/>
  <c r="E604" i="4"/>
  <c r="E596" i="4"/>
  <c r="E588" i="4"/>
  <c r="E580" i="4"/>
  <c r="E572" i="4"/>
  <c r="E564" i="4"/>
  <c r="E556" i="4"/>
  <c r="E548" i="4"/>
  <c r="E540" i="4"/>
  <c r="E532" i="4"/>
  <c r="E524" i="4"/>
  <c r="E516" i="4"/>
  <c r="E508" i="4"/>
  <c r="E500" i="4"/>
  <c r="E492" i="4"/>
  <c r="E484" i="4"/>
  <c r="E476" i="4"/>
  <c r="E468" i="4"/>
  <c r="E460" i="4"/>
  <c r="E452" i="4"/>
  <c r="E444" i="4"/>
  <c r="E436" i="4"/>
  <c r="E428" i="4"/>
  <c r="E420" i="4"/>
  <c r="E412" i="4"/>
  <c r="E404" i="4"/>
  <c r="E396" i="4"/>
  <c r="E388" i="4"/>
  <c r="E380" i="4"/>
  <c r="E372" i="4"/>
  <c r="E364" i="4"/>
  <c r="E356" i="4"/>
  <c r="E348" i="4"/>
  <c r="E340" i="4"/>
  <c r="E332" i="4"/>
  <c r="E324" i="4"/>
  <c r="E316" i="4"/>
  <c r="E308" i="4"/>
  <c r="E300" i="4"/>
  <c r="E292" i="4"/>
  <c r="E284" i="4"/>
  <c r="E276" i="4"/>
  <c r="E268" i="4"/>
  <c r="E260" i="4"/>
  <c r="E252" i="4"/>
  <c r="E244" i="4"/>
  <c r="E236" i="4"/>
  <c r="E228" i="4"/>
  <c r="E220" i="4"/>
  <c r="E212" i="4"/>
  <c r="E204" i="4"/>
  <c r="E196" i="4"/>
  <c r="E188" i="4"/>
  <c r="E180" i="4"/>
  <c r="E172" i="4"/>
  <c r="E164" i="4"/>
  <c r="E156" i="4"/>
  <c r="E148" i="4"/>
  <c r="E140" i="4"/>
  <c r="E132" i="4"/>
  <c r="E124" i="4"/>
  <c r="E116" i="4"/>
  <c r="E108" i="4"/>
  <c r="E100" i="4"/>
  <c r="E91" i="4"/>
  <c r="E82" i="4"/>
  <c r="E70" i="4"/>
  <c r="E60" i="4"/>
  <c r="E48" i="4"/>
  <c r="E32" i="4"/>
  <c r="E16" i="4"/>
  <c r="G836" i="4"/>
  <c r="G733" i="4"/>
  <c r="G580" i="4"/>
  <c r="G407" i="4"/>
  <c r="G237" i="4"/>
  <c r="G68" i="4"/>
  <c r="I68" i="4" s="1"/>
  <c r="H736" i="4"/>
  <c r="H49" i="4"/>
  <c r="E706" i="4"/>
  <c r="E682" i="4"/>
  <c r="E642" i="4"/>
  <c r="E610" i="4"/>
  <c r="E570" i="4"/>
  <c r="E546" i="4"/>
  <c r="E498" i="4"/>
  <c r="E458" i="4"/>
  <c r="E410" i="4"/>
  <c r="E362" i="4"/>
  <c r="E322" i="4"/>
  <c r="E274" i="4"/>
  <c r="E234" i="4"/>
  <c r="E194" i="4"/>
  <c r="E154" i="4"/>
  <c r="E98" i="4"/>
  <c r="G535" i="4"/>
  <c r="E825" i="4"/>
  <c r="E777" i="4"/>
  <c r="E737" i="4"/>
  <c r="E697" i="4"/>
  <c r="E657" i="4"/>
  <c r="E601" i="4"/>
  <c r="E553" i="4"/>
  <c r="E505" i="4"/>
  <c r="E465" i="4"/>
  <c r="E425" i="4"/>
  <c r="E385" i="4"/>
  <c r="E345" i="4"/>
  <c r="E305" i="4"/>
  <c r="E265" i="4"/>
  <c r="E233" i="4"/>
  <c r="E193" i="4"/>
  <c r="E153" i="4"/>
  <c r="E113" i="4"/>
  <c r="E67" i="4"/>
  <c r="H620" i="4"/>
  <c r="E824" i="4"/>
  <c r="E792" i="4"/>
  <c r="E744" i="4"/>
  <c r="E831" i="4"/>
  <c r="E783" i="4"/>
  <c r="E759" i="4"/>
  <c r="E727" i="4"/>
  <c r="E671" i="4"/>
  <c r="E599" i="4"/>
  <c r="E846" i="4"/>
  <c r="E822" i="4"/>
  <c r="E798" i="4"/>
  <c r="E774" i="4"/>
  <c r="E758" i="4"/>
  <c r="D16" i="4"/>
  <c r="E845" i="4"/>
  <c r="E829" i="4"/>
  <c r="E813" i="4"/>
  <c r="E805" i="4"/>
  <c r="E789" i="4"/>
  <c r="E773" i="4"/>
  <c r="E757" i="4"/>
  <c r="E741" i="4"/>
  <c r="E725" i="4"/>
  <c r="E709" i="4"/>
  <c r="E693" i="4"/>
  <c r="E677" i="4"/>
  <c r="E669" i="4"/>
  <c r="E653" i="4"/>
  <c r="E637" i="4"/>
  <c r="E629" i="4"/>
  <c r="E613" i="4"/>
  <c r="E605" i="4"/>
  <c r="E597" i="4"/>
  <c r="E581" i="4"/>
  <c r="E565" i="4"/>
  <c r="E549" i="4"/>
  <c r="E533" i="4"/>
  <c r="E485" i="4"/>
  <c r="E851" i="4"/>
  <c r="E843" i="4"/>
  <c r="E835" i="4"/>
  <c r="E827" i="4"/>
  <c r="E819" i="4"/>
  <c r="E811" i="4"/>
  <c r="E803" i="4"/>
  <c r="E795" i="4"/>
  <c r="E787" i="4"/>
  <c r="E779" i="4"/>
  <c r="E771" i="4"/>
  <c r="E763" i="4"/>
  <c r="E755" i="4"/>
  <c r="E747" i="4"/>
  <c r="E739" i="4"/>
  <c r="E731" i="4"/>
  <c r="E723" i="4"/>
  <c r="E715" i="4"/>
  <c r="E707" i="4"/>
  <c r="E699" i="4"/>
  <c r="E691" i="4"/>
  <c r="E683" i="4"/>
  <c r="E675" i="4"/>
  <c r="E667" i="4"/>
  <c r="E659" i="4"/>
  <c r="E651" i="4"/>
  <c r="E643" i="4"/>
  <c r="E635" i="4"/>
  <c r="E627" i="4"/>
  <c r="E619" i="4"/>
  <c r="E611" i="4"/>
  <c r="E603" i="4"/>
  <c r="E595" i="4"/>
  <c r="E587" i="4"/>
  <c r="E579" i="4"/>
  <c r="E571" i="4"/>
  <c r="E563" i="4"/>
  <c r="E555" i="4"/>
  <c r="E547" i="4"/>
  <c r="E539" i="4"/>
  <c r="E531" i="4"/>
  <c r="E523" i="4"/>
  <c r="E515" i="4"/>
  <c r="E507" i="4"/>
  <c r="E499" i="4"/>
  <c r="E491" i="4"/>
  <c r="E483" i="4"/>
  <c r="E475" i="4"/>
  <c r="E467" i="4"/>
  <c r="E459" i="4"/>
  <c r="E451" i="4"/>
  <c r="E443" i="4"/>
  <c r="E435" i="4"/>
  <c r="E427" i="4"/>
  <c r="E419" i="4"/>
  <c r="E411" i="4"/>
  <c r="E403" i="4"/>
  <c r="E395" i="4"/>
  <c r="E387" i="4"/>
  <c r="E379" i="4"/>
  <c r="E371" i="4"/>
  <c r="E363" i="4"/>
  <c r="E355" i="4"/>
  <c r="E347" i="4"/>
  <c r="E339" i="4"/>
  <c r="E331" i="4"/>
  <c r="E323" i="4"/>
  <c r="E315" i="4"/>
  <c r="E307" i="4"/>
  <c r="E299" i="4"/>
  <c r="E291" i="4"/>
  <c r="E283" i="4"/>
  <c r="E275" i="4"/>
  <c r="E267" i="4"/>
  <c r="E259" i="4"/>
  <c r="E251" i="4"/>
  <c r="E243" i="4"/>
  <c r="E235" i="4"/>
  <c r="E227" i="4"/>
  <c r="E219" i="4"/>
  <c r="E211" i="4"/>
  <c r="E203" i="4"/>
  <c r="E195" i="4"/>
  <c r="E187" i="4"/>
  <c r="E179" i="4"/>
  <c r="E171" i="4"/>
  <c r="E163" i="4"/>
  <c r="E155" i="4"/>
  <c r="E147" i="4"/>
  <c r="E139" i="4"/>
  <c r="E131" i="4"/>
  <c r="E123" i="4"/>
  <c r="E115" i="4"/>
  <c r="E107" i="4"/>
  <c r="E99" i="4"/>
  <c r="E90" i="4"/>
  <c r="E80" i="4"/>
  <c r="E69" i="4"/>
  <c r="E59" i="4"/>
  <c r="E46" i="4"/>
  <c r="E30" i="4"/>
  <c r="E14" i="4"/>
  <c r="G823" i="4"/>
  <c r="G719" i="4"/>
  <c r="I719" i="4" s="1"/>
  <c r="G557" i="4"/>
  <c r="G388" i="4"/>
  <c r="I388" i="4" s="1"/>
  <c r="G215" i="4"/>
  <c r="G45" i="4"/>
  <c r="H704" i="4"/>
  <c r="D822" i="4"/>
  <c r="D686" i="4"/>
  <c r="F686" i="4" s="1"/>
  <c r="D806" i="4"/>
  <c r="F806" i="4" s="1"/>
  <c r="D742" i="4"/>
  <c r="F742" i="4" s="1"/>
  <c r="D674" i="4"/>
  <c r="F674" i="4" s="1"/>
  <c r="D798" i="4"/>
  <c r="D734" i="4"/>
  <c r="F734" i="4" s="1"/>
  <c r="D658" i="4"/>
  <c r="F658" i="4" s="1"/>
  <c r="D694" i="4"/>
  <c r="F694" i="4" s="1"/>
  <c r="D726" i="4"/>
  <c r="D642" i="4"/>
  <c r="F642" i="4" s="1"/>
  <c r="D814" i="4"/>
  <c r="F814" i="4" s="1"/>
  <c r="D626" i="4"/>
  <c r="F626" i="4" s="1"/>
  <c r="D758" i="4"/>
  <c r="D854" i="4"/>
  <c r="F854" i="4" s="1"/>
  <c r="D846" i="4"/>
  <c r="D774" i="4"/>
  <c r="D710" i="4"/>
  <c r="F710" i="4" s="1"/>
  <c r="D610" i="4"/>
  <c r="D750" i="4"/>
  <c r="F750" i="4" s="1"/>
  <c r="D790" i="4"/>
  <c r="F790" i="4" s="1"/>
  <c r="D782" i="4"/>
  <c r="F782" i="4" s="1"/>
  <c r="D718" i="4"/>
  <c r="F718" i="4" s="1"/>
  <c r="D838" i="4"/>
  <c r="F838" i="4" s="1"/>
  <c r="D830" i="4"/>
  <c r="F830" i="4" s="1"/>
  <c r="D766" i="4"/>
  <c r="F766" i="4" s="1"/>
  <c r="D702" i="4"/>
  <c r="F702" i="4" s="1"/>
  <c r="D594" i="4"/>
  <c r="F594" i="4" s="1"/>
  <c r="D578" i="4"/>
  <c r="F578" i="4" s="1"/>
  <c r="D498" i="4"/>
  <c r="F498" i="4" s="1"/>
  <c r="D402" i="4"/>
  <c r="F402" i="4" s="1"/>
  <c r="D322" i="4"/>
  <c r="D242" i="4"/>
  <c r="F242" i="4" s="1"/>
  <c r="D194" i="4"/>
  <c r="D114" i="4"/>
  <c r="F114" i="4" s="1"/>
  <c r="D50" i="4"/>
  <c r="F50" i="4" s="1"/>
  <c r="D821" i="4"/>
  <c r="F821" i="4" s="1"/>
  <c r="D749" i="4"/>
  <c r="F749" i="4" s="1"/>
  <c r="D709" i="4"/>
  <c r="D657" i="4"/>
  <c r="D561" i="4"/>
  <c r="F561" i="4" s="1"/>
  <c r="D449" i="4"/>
  <c r="F449" i="4" s="1"/>
  <c r="D353" i="4"/>
  <c r="F353" i="4" s="1"/>
  <c r="D289" i="4"/>
  <c r="F289" i="4" s="1"/>
  <c r="D225" i="4"/>
  <c r="F225" i="4" s="1"/>
  <c r="D177" i="4"/>
  <c r="F177" i="4" s="1"/>
  <c r="D129" i="4"/>
  <c r="F129" i="4" s="1"/>
  <c r="D113" i="4"/>
  <c r="D97" i="4"/>
  <c r="F97" i="4" s="1"/>
  <c r="D65" i="4"/>
  <c r="D852" i="4"/>
  <c r="D796" i="4"/>
  <c r="F796" i="4" s="1"/>
  <c r="D780" i="4"/>
  <c r="D772" i="4"/>
  <c r="D764" i="4"/>
  <c r="D756" i="4"/>
  <c r="D748" i="4"/>
  <c r="F748" i="4" s="1"/>
  <c r="D740" i="4"/>
  <c r="D732" i="4"/>
  <c r="D724" i="4"/>
  <c r="F724" i="4" s="1"/>
  <c r="D716" i="4"/>
  <c r="D708" i="4"/>
  <c r="D700" i="4"/>
  <c r="D692" i="4"/>
  <c r="D684" i="4"/>
  <c r="D672" i="4"/>
  <c r="F672" i="4" s="1"/>
  <c r="D656" i="4"/>
  <c r="F656" i="4" s="1"/>
  <c r="D640" i="4"/>
  <c r="F640" i="4" s="1"/>
  <c r="D624" i="4"/>
  <c r="F624" i="4" s="1"/>
  <c r="D608" i="4"/>
  <c r="F608" i="4" s="1"/>
  <c r="D592" i="4"/>
  <c r="F592" i="4" s="1"/>
  <c r="D576" i="4"/>
  <c r="F576" i="4" s="1"/>
  <c r="D560" i="4"/>
  <c r="F560" i="4" s="1"/>
  <c r="D544" i="4"/>
  <c r="F544" i="4" s="1"/>
  <c r="D528" i="4"/>
  <c r="F528" i="4" s="1"/>
  <c r="D512" i="4"/>
  <c r="F512" i="4" s="1"/>
  <c r="D496" i="4"/>
  <c r="F496" i="4" s="1"/>
  <c r="D480" i="4"/>
  <c r="F480" i="4" s="1"/>
  <c r="D464" i="4"/>
  <c r="F464" i="4" s="1"/>
  <c r="D448" i="4"/>
  <c r="F448" i="4" s="1"/>
  <c r="D432" i="4"/>
  <c r="F432" i="4" s="1"/>
  <c r="D416" i="4"/>
  <c r="F416" i="4" s="1"/>
  <c r="D400" i="4"/>
  <c r="F400" i="4" s="1"/>
  <c r="D384" i="4"/>
  <c r="F384" i="4" s="1"/>
  <c r="D368" i="4"/>
  <c r="F368" i="4" s="1"/>
  <c r="D352" i="4"/>
  <c r="F352" i="4" s="1"/>
  <c r="D336" i="4"/>
  <c r="F336" i="4" s="1"/>
  <c r="D320" i="4"/>
  <c r="F320" i="4" s="1"/>
  <c r="D304" i="4"/>
  <c r="F304" i="4" s="1"/>
  <c r="D288" i="4"/>
  <c r="F288" i="4" s="1"/>
  <c r="D272" i="4"/>
  <c r="F272" i="4" s="1"/>
  <c r="D256" i="4"/>
  <c r="F256" i="4" s="1"/>
  <c r="D240" i="4"/>
  <c r="F240" i="4" s="1"/>
  <c r="D224" i="4"/>
  <c r="F224" i="4" s="1"/>
  <c r="D208" i="4"/>
  <c r="F208" i="4" s="1"/>
  <c r="D192" i="4"/>
  <c r="F192" i="4" s="1"/>
  <c r="D176" i="4"/>
  <c r="F176" i="4" s="1"/>
  <c r="D160" i="4"/>
  <c r="F160" i="4" s="1"/>
  <c r="D144" i="4"/>
  <c r="F144" i="4" s="1"/>
  <c r="D128" i="4"/>
  <c r="F128" i="4" s="1"/>
  <c r="D112" i="4"/>
  <c r="F112" i="4" s="1"/>
  <c r="D96" i="4"/>
  <c r="F96" i="4" s="1"/>
  <c r="D80" i="4"/>
  <c r="D64" i="4"/>
  <c r="F64" i="4" s="1"/>
  <c r="D48" i="4"/>
  <c r="D32" i="4"/>
  <c r="D3" i="4"/>
  <c r="D11" i="4"/>
  <c r="D19" i="4"/>
  <c r="D27" i="4"/>
  <c r="D35" i="4"/>
  <c r="D43" i="4"/>
  <c r="D51" i="4"/>
  <c r="D59" i="4"/>
  <c r="D67" i="4"/>
  <c r="D75" i="4"/>
  <c r="F75" i="4" s="1"/>
  <c r="D83" i="4"/>
  <c r="F83" i="4" s="1"/>
  <c r="D91" i="4"/>
  <c r="D99" i="4"/>
  <c r="D107" i="4"/>
  <c r="D115" i="4"/>
  <c r="D123" i="4"/>
  <c r="D131" i="4"/>
  <c r="D139" i="4"/>
  <c r="D147" i="4"/>
  <c r="F147" i="4" s="1"/>
  <c r="D155" i="4"/>
  <c r="D163" i="4"/>
  <c r="D171" i="4"/>
  <c r="D179" i="4"/>
  <c r="D187" i="4"/>
  <c r="D195" i="4"/>
  <c r="D203" i="4"/>
  <c r="D211" i="4"/>
  <c r="D219" i="4"/>
  <c r="D227" i="4"/>
  <c r="D235" i="4"/>
  <c r="D243" i="4"/>
  <c r="D251" i="4"/>
  <c r="D259" i="4"/>
  <c r="D267" i="4"/>
  <c r="D275" i="4"/>
  <c r="F275" i="4" s="1"/>
  <c r="D283" i="4"/>
  <c r="D291" i="4"/>
  <c r="D299" i="4"/>
  <c r="D307" i="4"/>
  <c r="D315" i="4"/>
  <c r="D323" i="4"/>
  <c r="D331" i="4"/>
  <c r="D339" i="4"/>
  <c r="F339" i="4" s="1"/>
  <c r="D347" i="4"/>
  <c r="D355" i="4"/>
  <c r="D363" i="4"/>
  <c r="D371" i="4"/>
  <c r="D379" i="4"/>
  <c r="D387" i="4"/>
  <c r="D395" i="4"/>
  <c r="D403" i="4"/>
  <c r="D411" i="4"/>
  <c r="D419" i="4"/>
  <c r="D427" i="4"/>
  <c r="D435" i="4"/>
  <c r="D443" i="4"/>
  <c r="D451" i="4"/>
  <c r="D459" i="4"/>
  <c r="D467" i="4"/>
  <c r="F467" i="4" s="1"/>
  <c r="D475" i="4"/>
  <c r="D483" i="4"/>
  <c r="D491" i="4"/>
  <c r="D499" i="4"/>
  <c r="D507" i="4"/>
  <c r="D515" i="4"/>
  <c r="D523" i="4"/>
  <c r="D531" i="4"/>
  <c r="F531" i="4" s="1"/>
  <c r="D539" i="4"/>
  <c r="D547" i="4"/>
  <c r="D555" i="4"/>
  <c r="D563" i="4"/>
  <c r="D571" i="4"/>
  <c r="D579" i="4"/>
  <c r="D587" i="4"/>
  <c r="D595" i="4"/>
  <c r="D603" i="4"/>
  <c r="D611" i="4"/>
  <c r="D619" i="4"/>
  <c r="D627" i="4"/>
  <c r="D635" i="4"/>
  <c r="D643" i="4"/>
  <c r="D651" i="4"/>
  <c r="D659" i="4"/>
  <c r="F659" i="4" s="1"/>
  <c r="D667" i="4"/>
  <c r="D675" i="4"/>
  <c r="D4" i="4"/>
  <c r="D12" i="4"/>
  <c r="F12" i="4" s="1"/>
  <c r="D20" i="4"/>
  <c r="F20" i="4" s="1"/>
  <c r="D28" i="4"/>
  <c r="F28" i="4" s="1"/>
  <c r="D36" i="4"/>
  <c r="F36" i="4" s="1"/>
  <c r="D44" i="4"/>
  <c r="F44" i="4" s="1"/>
  <c r="D52" i="4"/>
  <c r="F52" i="4" s="1"/>
  <c r="D60" i="4"/>
  <c r="D68" i="4"/>
  <c r="F68" i="4" s="1"/>
  <c r="D76" i="4"/>
  <c r="F76" i="4" s="1"/>
  <c r="D84" i="4"/>
  <c r="D92" i="4"/>
  <c r="F92" i="4" s="1"/>
  <c r="D100" i="4"/>
  <c r="F100" i="4" s="1"/>
  <c r="D108" i="4"/>
  <c r="D116" i="4"/>
  <c r="D124" i="4"/>
  <c r="D132" i="4"/>
  <c r="D140" i="4"/>
  <c r="D148" i="4"/>
  <c r="F148" i="4" s="1"/>
  <c r="D156" i="4"/>
  <c r="D164" i="4"/>
  <c r="F164" i="4" s="1"/>
  <c r="D172" i="4"/>
  <c r="F172" i="4" s="1"/>
  <c r="D180" i="4"/>
  <c r="D188" i="4"/>
  <c r="D196" i="4"/>
  <c r="D204" i="4"/>
  <c r="D212" i="4"/>
  <c r="F212" i="4" s="1"/>
  <c r="D220" i="4"/>
  <c r="F220" i="4" s="1"/>
  <c r="D228" i="4"/>
  <c r="D236" i="4"/>
  <c r="F236" i="4" s="1"/>
  <c r="D244" i="4"/>
  <c r="D252" i="4"/>
  <c r="D260" i="4"/>
  <c r="D268" i="4"/>
  <c r="D276" i="4"/>
  <c r="D284" i="4"/>
  <c r="F284" i="4" s="1"/>
  <c r="D292" i="4"/>
  <c r="F292" i="4" s="1"/>
  <c r="D300" i="4"/>
  <c r="D308" i="4"/>
  <c r="D316" i="4"/>
  <c r="D324" i="4"/>
  <c r="D332" i="4"/>
  <c r="D340" i="4"/>
  <c r="F340" i="4" s="1"/>
  <c r="D348" i="4"/>
  <c r="D356" i="4"/>
  <c r="F356" i="4" s="1"/>
  <c r="D364" i="4"/>
  <c r="F364" i="4" s="1"/>
  <c r="D372" i="4"/>
  <c r="D380" i="4"/>
  <c r="D388" i="4"/>
  <c r="D396" i="4"/>
  <c r="D404" i="4"/>
  <c r="F404" i="4" s="1"/>
  <c r="D412" i="4"/>
  <c r="F412" i="4" s="1"/>
  <c r="D420" i="4"/>
  <c r="D428" i="4"/>
  <c r="F428" i="4" s="1"/>
  <c r="D436" i="4"/>
  <c r="D444" i="4"/>
  <c r="D452" i="4"/>
  <c r="D460" i="4"/>
  <c r="D468" i="4"/>
  <c r="D476" i="4"/>
  <c r="F476" i="4" s="1"/>
  <c r="D484" i="4"/>
  <c r="F484" i="4" s="1"/>
  <c r="D492" i="4"/>
  <c r="D500" i="4"/>
  <c r="D508" i="4"/>
  <c r="D516" i="4"/>
  <c r="D524" i="4"/>
  <c r="D532" i="4"/>
  <c r="F532" i="4" s="1"/>
  <c r="D540" i="4"/>
  <c r="D548" i="4"/>
  <c r="F548" i="4" s="1"/>
  <c r="D556" i="4"/>
  <c r="F556" i="4" s="1"/>
  <c r="D564" i="4"/>
  <c r="D572" i="4"/>
  <c r="D580" i="4"/>
  <c r="D588" i="4"/>
  <c r="D596" i="4"/>
  <c r="F596" i="4" s="1"/>
  <c r="D604" i="4"/>
  <c r="F604" i="4" s="1"/>
  <c r="D612" i="4"/>
  <c r="D620" i="4"/>
  <c r="F620" i="4" s="1"/>
  <c r="D628" i="4"/>
  <c r="D636" i="4"/>
  <c r="D644" i="4"/>
  <c r="D652" i="4"/>
  <c r="D660" i="4"/>
  <c r="D668" i="4"/>
  <c r="F668" i="4" s="1"/>
  <c r="D676" i="4"/>
  <c r="F676" i="4" s="1"/>
  <c r="D5" i="4"/>
  <c r="F5" i="4" s="1"/>
  <c r="D13" i="4"/>
  <c r="F13" i="4" s="1"/>
  <c r="D21" i="4"/>
  <c r="F21" i="4" s="1"/>
  <c r="D29" i="4"/>
  <c r="F29" i="4" s="1"/>
  <c r="D37" i="4"/>
  <c r="F37" i="4" s="1"/>
  <c r="D45" i="4"/>
  <c r="F45" i="4" s="1"/>
  <c r="D53" i="4"/>
  <c r="F53" i="4" s="1"/>
  <c r="D61" i="4"/>
  <c r="F61" i="4" s="1"/>
  <c r="D69" i="4"/>
  <c r="D77" i="4"/>
  <c r="F77" i="4" s="1"/>
  <c r="D85" i="4"/>
  <c r="F85" i="4" s="1"/>
  <c r="D93" i="4"/>
  <c r="F93" i="4" s="1"/>
  <c r="D101" i="4"/>
  <c r="D109" i="4"/>
  <c r="F109" i="4" s="1"/>
  <c r="D117" i="4"/>
  <c r="F117" i="4" s="1"/>
  <c r="D125" i="4"/>
  <c r="F125" i="4" s="1"/>
  <c r="D133" i="4"/>
  <c r="F133" i="4" s="1"/>
  <c r="D141" i="4"/>
  <c r="F141" i="4" s="1"/>
  <c r="D149" i="4"/>
  <c r="F149" i="4" s="1"/>
  <c r="D157" i="4"/>
  <c r="D165" i="4"/>
  <c r="D173" i="4"/>
  <c r="F173" i="4" s="1"/>
  <c r="D181" i="4"/>
  <c r="F181" i="4" s="1"/>
  <c r="D189" i="4"/>
  <c r="F189" i="4" s="1"/>
  <c r="D197" i="4"/>
  <c r="F197" i="4" s="1"/>
  <c r="D205" i="4"/>
  <c r="F205" i="4" s="1"/>
  <c r="D213" i="4"/>
  <c r="F213" i="4" s="1"/>
  <c r="D221" i="4"/>
  <c r="D229" i="4"/>
  <c r="D237" i="4"/>
  <c r="F237" i="4" s="1"/>
  <c r="D245" i="4"/>
  <c r="F245" i="4" s="1"/>
  <c r="D253" i="4"/>
  <c r="F253" i="4" s="1"/>
  <c r="D261" i="4"/>
  <c r="F261" i="4" s="1"/>
  <c r="D269" i="4"/>
  <c r="F269" i="4" s="1"/>
  <c r="D277" i="4"/>
  <c r="F277" i="4" s="1"/>
  <c r="D285" i="4"/>
  <c r="D293" i="4"/>
  <c r="D301" i="4"/>
  <c r="F301" i="4" s="1"/>
  <c r="D309" i="4"/>
  <c r="F309" i="4" s="1"/>
  <c r="D317" i="4"/>
  <c r="F317" i="4" s="1"/>
  <c r="D325" i="4"/>
  <c r="F325" i="4" s="1"/>
  <c r="D333" i="4"/>
  <c r="F333" i="4" s="1"/>
  <c r="D341" i="4"/>
  <c r="F341" i="4" s="1"/>
  <c r="D349" i="4"/>
  <c r="D357" i="4"/>
  <c r="D365" i="4"/>
  <c r="F365" i="4" s="1"/>
  <c r="D373" i="4"/>
  <c r="F373" i="4" s="1"/>
  <c r="D381" i="4"/>
  <c r="F381" i="4" s="1"/>
  <c r="D389" i="4"/>
  <c r="F389" i="4" s="1"/>
  <c r="D397" i="4"/>
  <c r="F397" i="4" s="1"/>
  <c r="D405" i="4"/>
  <c r="F405" i="4" s="1"/>
  <c r="D413" i="4"/>
  <c r="D421" i="4"/>
  <c r="D429" i="4"/>
  <c r="F429" i="4" s="1"/>
  <c r="D437" i="4"/>
  <c r="F437" i="4" s="1"/>
  <c r="D445" i="4"/>
  <c r="F445" i="4" s="1"/>
  <c r="D453" i="4"/>
  <c r="F453" i="4" s="1"/>
  <c r="D461" i="4"/>
  <c r="F461" i="4" s="1"/>
  <c r="D469" i="4"/>
  <c r="F469" i="4" s="1"/>
  <c r="D477" i="4"/>
  <c r="D485" i="4"/>
  <c r="D493" i="4"/>
  <c r="F493" i="4" s="1"/>
  <c r="D501" i="4"/>
  <c r="F501" i="4" s="1"/>
  <c r="D509" i="4"/>
  <c r="F509" i="4" s="1"/>
  <c r="D517" i="4"/>
  <c r="F517" i="4" s="1"/>
  <c r="D525" i="4"/>
  <c r="F525" i="4" s="1"/>
  <c r="D533" i="4"/>
  <c r="D541" i="4"/>
  <c r="F541" i="4" s="1"/>
  <c r="D549" i="4"/>
  <c r="D557" i="4"/>
  <c r="F557" i="4" s="1"/>
  <c r="D565" i="4"/>
  <c r="D573" i="4"/>
  <c r="F573" i="4" s="1"/>
  <c r="D581" i="4"/>
  <c r="D589" i="4"/>
  <c r="F589" i="4" s="1"/>
  <c r="D597" i="4"/>
  <c r="D605" i="4"/>
  <c r="D613" i="4"/>
  <c r="D621" i="4"/>
  <c r="F621" i="4" s="1"/>
  <c r="D629" i="4"/>
  <c r="D637" i="4"/>
  <c r="D645" i="4"/>
  <c r="F645" i="4" s="1"/>
  <c r="D653" i="4"/>
  <c r="D661" i="4"/>
  <c r="F661" i="4" s="1"/>
  <c r="D669" i="4"/>
  <c r="F669" i="4" s="1"/>
  <c r="D677" i="4"/>
  <c r="D6" i="4"/>
  <c r="F6" i="4" s="1"/>
  <c r="D14" i="4"/>
  <c r="F14" i="4" s="1"/>
  <c r="D22" i="4"/>
  <c r="F22" i="4" s="1"/>
  <c r="D30" i="4"/>
  <c r="F30" i="4" s="1"/>
  <c r="D38" i="4"/>
  <c r="F38" i="4" s="1"/>
  <c r="D46" i="4"/>
  <c r="D54" i="4"/>
  <c r="F54" i="4" s="1"/>
  <c r="D62" i="4"/>
  <c r="F62" i="4" s="1"/>
  <c r="D70" i="4"/>
  <c r="D78" i="4"/>
  <c r="F78" i="4" s="1"/>
  <c r="D86" i="4"/>
  <c r="F86" i="4" s="1"/>
  <c r="D94" i="4"/>
  <c r="F94" i="4" s="1"/>
  <c r="D102" i="4"/>
  <c r="F102" i="4" s="1"/>
  <c r="D110" i="4"/>
  <c r="F110" i="4" s="1"/>
  <c r="D118" i="4"/>
  <c r="F118" i="4" s="1"/>
  <c r="D126" i="4"/>
  <c r="F126" i="4" s="1"/>
  <c r="D134" i="4"/>
  <c r="F134" i="4" s="1"/>
  <c r="D142" i="4"/>
  <c r="F142" i="4" s="1"/>
  <c r="D150" i="4"/>
  <c r="F150" i="4" s="1"/>
  <c r="D158" i="4"/>
  <c r="F158" i="4" s="1"/>
  <c r="D166" i="4"/>
  <c r="F166" i="4" s="1"/>
  <c r="D174" i="4"/>
  <c r="F174" i="4" s="1"/>
  <c r="D182" i="4"/>
  <c r="F182" i="4" s="1"/>
  <c r="D190" i="4"/>
  <c r="F190" i="4" s="1"/>
  <c r="D198" i="4"/>
  <c r="F198" i="4" s="1"/>
  <c r="D206" i="4"/>
  <c r="F206" i="4" s="1"/>
  <c r="D214" i="4"/>
  <c r="F214" i="4" s="1"/>
  <c r="D222" i="4"/>
  <c r="F222" i="4" s="1"/>
  <c r="D230" i="4"/>
  <c r="F230" i="4" s="1"/>
  <c r="D238" i="4"/>
  <c r="F238" i="4" s="1"/>
  <c r="D246" i="4"/>
  <c r="F246" i="4" s="1"/>
  <c r="D254" i="4"/>
  <c r="F254" i="4" s="1"/>
  <c r="D262" i="4"/>
  <c r="F262" i="4" s="1"/>
  <c r="D270" i="4"/>
  <c r="F270" i="4" s="1"/>
  <c r="D278" i="4"/>
  <c r="F278" i="4" s="1"/>
  <c r="D286" i="4"/>
  <c r="F286" i="4" s="1"/>
  <c r="D294" i="4"/>
  <c r="F294" i="4" s="1"/>
  <c r="D302" i="4"/>
  <c r="F302" i="4" s="1"/>
  <c r="D310" i="4"/>
  <c r="F310" i="4" s="1"/>
  <c r="D318" i="4"/>
  <c r="F318" i="4" s="1"/>
  <c r="D326" i="4"/>
  <c r="F326" i="4" s="1"/>
  <c r="D334" i="4"/>
  <c r="F334" i="4" s="1"/>
  <c r="D342" i="4"/>
  <c r="F342" i="4" s="1"/>
  <c r="D350" i="4"/>
  <c r="F350" i="4" s="1"/>
  <c r="D358" i="4"/>
  <c r="F358" i="4" s="1"/>
  <c r="D366" i="4"/>
  <c r="F366" i="4" s="1"/>
  <c r="D374" i="4"/>
  <c r="F374" i="4" s="1"/>
  <c r="D382" i="4"/>
  <c r="F382" i="4" s="1"/>
  <c r="D390" i="4"/>
  <c r="F390" i="4" s="1"/>
  <c r="D398" i="4"/>
  <c r="F398" i="4" s="1"/>
  <c r="D406" i="4"/>
  <c r="F406" i="4" s="1"/>
  <c r="D414" i="4"/>
  <c r="F414" i="4" s="1"/>
  <c r="D422" i="4"/>
  <c r="F422" i="4" s="1"/>
  <c r="D430" i="4"/>
  <c r="F430" i="4" s="1"/>
  <c r="D438" i="4"/>
  <c r="F438" i="4" s="1"/>
  <c r="D446" i="4"/>
  <c r="F446" i="4" s="1"/>
  <c r="D454" i="4"/>
  <c r="F454" i="4" s="1"/>
  <c r="D462" i="4"/>
  <c r="F462" i="4" s="1"/>
  <c r="D470" i="4"/>
  <c r="F470" i="4" s="1"/>
  <c r="D478" i="4"/>
  <c r="F478" i="4" s="1"/>
  <c r="D486" i="4"/>
  <c r="F486" i="4" s="1"/>
  <c r="D494" i="4"/>
  <c r="F494" i="4" s="1"/>
  <c r="D502" i="4"/>
  <c r="F502" i="4" s="1"/>
  <c r="D510" i="4"/>
  <c r="F510" i="4" s="1"/>
  <c r="D518" i="4"/>
  <c r="F518" i="4" s="1"/>
  <c r="D526" i="4"/>
  <c r="F526" i="4" s="1"/>
  <c r="D534" i="4"/>
  <c r="F534" i="4" s="1"/>
  <c r="D542" i="4"/>
  <c r="F542" i="4" s="1"/>
  <c r="D550" i="4"/>
  <c r="F550" i="4" s="1"/>
  <c r="D558" i="4"/>
  <c r="F558" i="4" s="1"/>
  <c r="D566" i="4"/>
  <c r="F566" i="4" s="1"/>
  <c r="D574" i="4"/>
  <c r="F574" i="4" s="1"/>
  <c r="D582" i="4"/>
  <c r="F582" i="4" s="1"/>
  <c r="D590" i="4"/>
  <c r="F590" i="4" s="1"/>
  <c r="D598" i="4"/>
  <c r="F598" i="4" s="1"/>
  <c r="D606" i="4"/>
  <c r="F606" i="4" s="1"/>
  <c r="D614" i="4"/>
  <c r="F614" i="4" s="1"/>
  <c r="D622" i="4"/>
  <c r="F622" i="4" s="1"/>
  <c r="D630" i="4"/>
  <c r="F630" i="4" s="1"/>
  <c r="D638" i="4"/>
  <c r="F638" i="4" s="1"/>
  <c r="D646" i="4"/>
  <c r="F646" i="4" s="1"/>
  <c r="D654" i="4"/>
  <c r="F654" i="4" s="1"/>
  <c r="D662" i="4"/>
  <c r="F662" i="4" s="1"/>
  <c r="D670" i="4"/>
  <c r="F670" i="4" s="1"/>
  <c r="D678" i="4"/>
  <c r="F678" i="4" s="1"/>
  <c r="D851" i="4"/>
  <c r="D811" i="4"/>
  <c r="D787" i="4"/>
  <c r="D763" i="4"/>
  <c r="F763" i="4" s="1"/>
  <c r="D731" i="4"/>
  <c r="D723" i="4"/>
  <c r="F723" i="4" s="1"/>
  <c r="D715" i="4"/>
  <c r="F715" i="4" s="1"/>
  <c r="D707" i="4"/>
  <c r="D699" i="4"/>
  <c r="F699" i="4" s="1"/>
  <c r="D691" i="4"/>
  <c r="F691" i="4" s="1"/>
  <c r="D683" i="4"/>
  <c r="D671" i="4"/>
  <c r="D655" i="4"/>
  <c r="F655" i="4" s="1"/>
  <c r="D639" i="4"/>
  <c r="F639" i="4" s="1"/>
  <c r="D623" i="4"/>
  <c r="F623" i="4" s="1"/>
  <c r="D607" i="4"/>
  <c r="F607" i="4" s="1"/>
  <c r="D591" i="4"/>
  <c r="F591" i="4" s="1"/>
  <c r="D575" i="4"/>
  <c r="F575" i="4" s="1"/>
  <c r="D559" i="4"/>
  <c r="F559" i="4" s="1"/>
  <c r="D543" i="4"/>
  <c r="F543" i="4" s="1"/>
  <c r="D527" i="4"/>
  <c r="F527" i="4" s="1"/>
  <c r="D511" i="4"/>
  <c r="F511" i="4" s="1"/>
  <c r="D495" i="4"/>
  <c r="F495" i="4" s="1"/>
  <c r="D479" i="4"/>
  <c r="F479" i="4" s="1"/>
  <c r="D463" i="4"/>
  <c r="F463" i="4" s="1"/>
  <c r="D447" i="4"/>
  <c r="F447" i="4" s="1"/>
  <c r="D431" i="4"/>
  <c r="F431" i="4" s="1"/>
  <c r="D415" i="4"/>
  <c r="F415" i="4" s="1"/>
  <c r="D399" i="4"/>
  <c r="F399" i="4" s="1"/>
  <c r="D383" i="4"/>
  <c r="F383" i="4" s="1"/>
  <c r="D367" i="4"/>
  <c r="F367" i="4" s="1"/>
  <c r="D351" i="4"/>
  <c r="F351" i="4" s="1"/>
  <c r="D335" i="4"/>
  <c r="F335" i="4" s="1"/>
  <c r="D319" i="4"/>
  <c r="F319" i="4" s="1"/>
  <c r="D303" i="4"/>
  <c r="F303" i="4" s="1"/>
  <c r="D287" i="4"/>
  <c r="F287" i="4" s="1"/>
  <c r="D271" i="4"/>
  <c r="F271" i="4" s="1"/>
  <c r="D255" i="4"/>
  <c r="F255" i="4" s="1"/>
  <c r="D239" i="4"/>
  <c r="F239" i="4" s="1"/>
  <c r="D223" i="4"/>
  <c r="F223" i="4" s="1"/>
  <c r="D207" i="4"/>
  <c r="F207" i="4" s="1"/>
  <c r="D191" i="4"/>
  <c r="F191" i="4" s="1"/>
  <c r="D175" i="4"/>
  <c r="F175" i="4" s="1"/>
  <c r="D159" i="4"/>
  <c r="F159" i="4" s="1"/>
  <c r="D143" i="4"/>
  <c r="F143" i="4" s="1"/>
  <c r="D127" i="4"/>
  <c r="F127" i="4" s="1"/>
  <c r="D111" i="4"/>
  <c r="F111" i="4" s="1"/>
  <c r="D95" i="4"/>
  <c r="D79" i="4"/>
  <c r="D63" i="4"/>
  <c r="D47" i="4"/>
  <c r="F47" i="4" s="1"/>
  <c r="D31" i="4"/>
  <c r="D15" i="4"/>
  <c r="D562" i="4"/>
  <c r="F562" i="4" s="1"/>
  <c r="D482" i="4"/>
  <c r="F482" i="4" s="1"/>
  <c r="D418" i="4"/>
  <c r="F418" i="4" s="1"/>
  <c r="D338" i="4"/>
  <c r="D226" i="4"/>
  <c r="F226" i="4" s="1"/>
  <c r="D146" i="4"/>
  <c r="F146" i="4" s="1"/>
  <c r="D98" i="4"/>
  <c r="F98" i="4" s="1"/>
  <c r="D82" i="4"/>
  <c r="F82" i="4" s="1"/>
  <c r="D845" i="4"/>
  <c r="D805" i="4"/>
  <c r="D781" i="4"/>
  <c r="F781" i="4" s="1"/>
  <c r="D733" i="4"/>
  <c r="D693" i="4"/>
  <c r="D625" i="4"/>
  <c r="F625" i="4" s="1"/>
  <c r="D545" i="4"/>
  <c r="F545" i="4" s="1"/>
  <c r="D465" i="4"/>
  <c r="D369" i="4"/>
  <c r="F369" i="4" s="1"/>
  <c r="D305" i="4"/>
  <c r="F305" i="4" s="1"/>
  <c r="D209" i="4"/>
  <c r="F209" i="4" s="1"/>
  <c r="D33" i="4"/>
  <c r="D844" i="4"/>
  <c r="D812" i="4"/>
  <c r="D827" i="4"/>
  <c r="F827" i="4" s="1"/>
  <c r="D779" i="4"/>
  <c r="D739" i="4"/>
  <c r="D834" i="4"/>
  <c r="F834" i="4" s="1"/>
  <c r="D810" i="4"/>
  <c r="F810" i="4" s="1"/>
  <c r="D778" i="4"/>
  <c r="F778" i="4" s="1"/>
  <c r="D770" i="4"/>
  <c r="F770" i="4" s="1"/>
  <c r="D762" i="4"/>
  <c r="F762" i="4" s="1"/>
  <c r="D754" i="4"/>
  <c r="F754" i="4" s="1"/>
  <c r="D746" i="4"/>
  <c r="F746" i="4" s="1"/>
  <c r="D738" i="4"/>
  <c r="F738" i="4" s="1"/>
  <c r="D730" i="4"/>
  <c r="F730" i="4" s="1"/>
  <c r="D722" i="4"/>
  <c r="F722" i="4" s="1"/>
  <c r="D714" i="4"/>
  <c r="F714" i="4" s="1"/>
  <c r="D706" i="4"/>
  <c r="F706" i="4" s="1"/>
  <c r="D698" i="4"/>
  <c r="F698" i="4" s="1"/>
  <c r="D690" i="4"/>
  <c r="F690" i="4" s="1"/>
  <c r="D682" i="4"/>
  <c r="D666" i="4"/>
  <c r="F666" i="4" s="1"/>
  <c r="D650" i="4"/>
  <c r="F650" i="4" s="1"/>
  <c r="D634" i="4"/>
  <c r="F634" i="4" s="1"/>
  <c r="D618" i="4"/>
  <c r="F618" i="4" s="1"/>
  <c r="D602" i="4"/>
  <c r="F602" i="4" s="1"/>
  <c r="D586" i="4"/>
  <c r="F586" i="4" s="1"/>
  <c r="D570" i="4"/>
  <c r="D554" i="4"/>
  <c r="F554" i="4" s="1"/>
  <c r="D538" i="4"/>
  <c r="F538" i="4" s="1"/>
  <c r="D522" i="4"/>
  <c r="F522" i="4" s="1"/>
  <c r="D506" i="4"/>
  <c r="F506" i="4" s="1"/>
  <c r="D490" i="4"/>
  <c r="F490" i="4" s="1"/>
  <c r="D474" i="4"/>
  <c r="F474" i="4" s="1"/>
  <c r="D458" i="4"/>
  <c r="D442" i="4"/>
  <c r="F442" i="4" s="1"/>
  <c r="D426" i="4"/>
  <c r="F426" i="4" s="1"/>
  <c r="D410" i="4"/>
  <c r="D394" i="4"/>
  <c r="F394" i="4" s="1"/>
  <c r="D378" i="4"/>
  <c r="F378" i="4" s="1"/>
  <c r="D362" i="4"/>
  <c r="D346" i="4"/>
  <c r="F346" i="4" s="1"/>
  <c r="D330" i="4"/>
  <c r="F330" i="4" s="1"/>
  <c r="D314" i="4"/>
  <c r="F314" i="4" s="1"/>
  <c r="D298" i="4"/>
  <c r="F298" i="4" s="1"/>
  <c r="D282" i="4"/>
  <c r="F282" i="4" s="1"/>
  <c r="D266" i="4"/>
  <c r="F266" i="4" s="1"/>
  <c r="D250" i="4"/>
  <c r="F250" i="4" s="1"/>
  <c r="D234" i="4"/>
  <c r="D218" i="4"/>
  <c r="F218" i="4" s="1"/>
  <c r="D202" i="4"/>
  <c r="F202" i="4" s="1"/>
  <c r="D186" i="4"/>
  <c r="F186" i="4" s="1"/>
  <c r="D170" i="4"/>
  <c r="F170" i="4" s="1"/>
  <c r="D154" i="4"/>
  <c r="D138" i="4"/>
  <c r="F138" i="4" s="1"/>
  <c r="D122" i="4"/>
  <c r="F122" i="4" s="1"/>
  <c r="D106" i="4"/>
  <c r="F106" i="4" s="1"/>
  <c r="D90" i="4"/>
  <c r="D74" i="4"/>
  <c r="F74" i="4" s="1"/>
  <c r="D58" i="4"/>
  <c r="F58" i="4" s="1"/>
  <c r="D42" i="4"/>
  <c r="D26" i="4"/>
  <c r="D10" i="4"/>
  <c r="D530" i="4"/>
  <c r="F530" i="4" s="1"/>
  <c r="D466" i="4"/>
  <c r="F466" i="4" s="1"/>
  <c r="D386" i="4"/>
  <c r="F386" i="4" s="1"/>
  <c r="D306" i="4"/>
  <c r="D274" i="4"/>
  <c r="D210" i="4"/>
  <c r="F210" i="4" s="1"/>
  <c r="D130" i="4"/>
  <c r="F130" i="4" s="1"/>
  <c r="D66" i="4"/>
  <c r="F66" i="4" s="1"/>
  <c r="D853" i="4"/>
  <c r="F853" i="4" s="1"/>
  <c r="D813" i="4"/>
  <c r="D765" i="4"/>
  <c r="F765" i="4" s="1"/>
  <c r="D741" i="4"/>
  <c r="D701" i="4"/>
  <c r="F701" i="4" s="1"/>
  <c r="D641" i="4"/>
  <c r="F641" i="4" s="1"/>
  <c r="D577" i="4"/>
  <c r="F577" i="4" s="1"/>
  <c r="D497" i="4"/>
  <c r="F497" i="4" s="1"/>
  <c r="D385" i="4"/>
  <c r="D273" i="4"/>
  <c r="F273" i="4" s="1"/>
  <c r="D193" i="4"/>
  <c r="F193" i="4" s="1"/>
  <c r="D17" i="4"/>
  <c r="D828" i="4"/>
  <c r="D804" i="4"/>
  <c r="D819" i="4"/>
  <c r="F819" i="4" s="1"/>
  <c r="D771" i="4"/>
  <c r="D858" i="4"/>
  <c r="F858" i="4" s="1"/>
  <c r="D802" i="4"/>
  <c r="F802" i="4" s="1"/>
  <c r="D841" i="4"/>
  <c r="F841" i="4" s="1"/>
  <c r="D801" i="4"/>
  <c r="F801" i="4" s="1"/>
  <c r="D761" i="4"/>
  <c r="F761" i="4" s="1"/>
  <c r="D737" i="4"/>
  <c r="D721" i="4"/>
  <c r="F721" i="4" s="1"/>
  <c r="D705" i="4"/>
  <c r="F705" i="4" s="1"/>
  <c r="D697" i="4"/>
  <c r="D689" i="4"/>
  <c r="F689" i="4" s="1"/>
  <c r="D681" i="4"/>
  <c r="F681" i="4" s="1"/>
  <c r="D665" i="4"/>
  <c r="F665" i="4" s="1"/>
  <c r="D649" i="4"/>
  <c r="F649" i="4" s="1"/>
  <c r="D633" i="4"/>
  <c r="F633" i="4" s="1"/>
  <c r="D617" i="4"/>
  <c r="F617" i="4" s="1"/>
  <c r="D601" i="4"/>
  <c r="D585" i="4"/>
  <c r="F585" i="4" s="1"/>
  <c r="D569" i="4"/>
  <c r="F569" i="4" s="1"/>
  <c r="D553" i="4"/>
  <c r="F553" i="4" s="1"/>
  <c r="D537" i="4"/>
  <c r="F537" i="4" s="1"/>
  <c r="D521" i="4"/>
  <c r="F521" i="4" s="1"/>
  <c r="D505" i="4"/>
  <c r="F505" i="4" s="1"/>
  <c r="D489" i="4"/>
  <c r="F489" i="4" s="1"/>
  <c r="D473" i="4"/>
  <c r="F473" i="4" s="1"/>
  <c r="D457" i="4"/>
  <c r="F457" i="4" s="1"/>
  <c r="D441" i="4"/>
  <c r="F441" i="4" s="1"/>
  <c r="D425" i="4"/>
  <c r="D409" i="4"/>
  <c r="F409" i="4" s="1"/>
  <c r="D393" i="4"/>
  <c r="F393" i="4" s="1"/>
  <c r="D377" i="4"/>
  <c r="F377" i="4" s="1"/>
  <c r="D361" i="4"/>
  <c r="F361" i="4" s="1"/>
  <c r="D345" i="4"/>
  <c r="D329" i="4"/>
  <c r="F329" i="4" s="1"/>
  <c r="D313" i="4"/>
  <c r="F313" i="4" s="1"/>
  <c r="D297" i="4"/>
  <c r="D281" i="4"/>
  <c r="F281" i="4" s="1"/>
  <c r="D265" i="4"/>
  <c r="D249" i="4"/>
  <c r="F249" i="4" s="1"/>
  <c r="D233" i="4"/>
  <c r="D217" i="4"/>
  <c r="F217" i="4" s="1"/>
  <c r="D201" i="4"/>
  <c r="F201" i="4" s="1"/>
  <c r="D185" i="4"/>
  <c r="F185" i="4" s="1"/>
  <c r="D169" i="4"/>
  <c r="F169" i="4" s="1"/>
  <c r="D153" i="4"/>
  <c r="D137" i="4"/>
  <c r="F137" i="4" s="1"/>
  <c r="D121" i="4"/>
  <c r="F121" i="4" s="1"/>
  <c r="D105" i="4"/>
  <c r="F105" i="4" s="1"/>
  <c r="D89" i="4"/>
  <c r="F89" i="4" s="1"/>
  <c r="D73" i="4"/>
  <c r="D57" i="4"/>
  <c r="D41" i="4"/>
  <c r="F41" i="4" s="1"/>
  <c r="D25" i="4"/>
  <c r="D9" i="4"/>
  <c r="D514" i="4"/>
  <c r="F514" i="4" s="1"/>
  <c r="D434" i="4"/>
  <c r="F434" i="4" s="1"/>
  <c r="D370" i="4"/>
  <c r="F370" i="4" s="1"/>
  <c r="D290" i="4"/>
  <c r="F290" i="4" s="1"/>
  <c r="D178" i="4"/>
  <c r="F178" i="4" s="1"/>
  <c r="D18" i="4"/>
  <c r="D837" i="4"/>
  <c r="F837" i="4" s="1"/>
  <c r="D797" i="4"/>
  <c r="F797" i="4" s="1"/>
  <c r="D773" i="4"/>
  <c r="D717" i="4"/>
  <c r="F717" i="4" s="1"/>
  <c r="D673" i="4"/>
  <c r="F673" i="4" s="1"/>
  <c r="D593" i="4"/>
  <c r="F593" i="4" s="1"/>
  <c r="D529" i="4"/>
  <c r="F529" i="4" s="1"/>
  <c r="D481" i="4"/>
  <c r="F481" i="4" s="1"/>
  <c r="D417" i="4"/>
  <c r="F417" i="4" s="1"/>
  <c r="D321" i="4"/>
  <c r="F321" i="4" s="1"/>
  <c r="D241" i="4"/>
  <c r="F241" i="4" s="1"/>
  <c r="D161" i="4"/>
  <c r="F161" i="4" s="1"/>
  <c r="D49" i="4"/>
  <c r="D820" i="4"/>
  <c r="D835" i="4"/>
  <c r="D795" i="4"/>
  <c r="D755" i="4"/>
  <c r="D842" i="4"/>
  <c r="F842" i="4" s="1"/>
  <c r="D818" i="4"/>
  <c r="F818" i="4" s="1"/>
  <c r="D794" i="4"/>
  <c r="F794" i="4" s="1"/>
  <c r="D857" i="4"/>
  <c r="F857" i="4" s="1"/>
  <c r="D833" i="4"/>
  <c r="F833" i="4" s="1"/>
  <c r="D817" i="4"/>
  <c r="F817" i="4" s="1"/>
  <c r="D793" i="4"/>
  <c r="F793" i="4" s="1"/>
  <c r="D777" i="4"/>
  <c r="D753" i="4"/>
  <c r="F753" i="4" s="1"/>
  <c r="D713" i="4"/>
  <c r="F713" i="4" s="1"/>
  <c r="D840" i="4"/>
  <c r="F840" i="4" s="1"/>
  <c r="D832" i="4"/>
  <c r="F832" i="4" s="1"/>
  <c r="D816" i="4"/>
  <c r="F816" i="4" s="1"/>
  <c r="D792" i="4"/>
  <c r="D776" i="4"/>
  <c r="F776" i="4" s="1"/>
  <c r="D760" i="4"/>
  <c r="F760" i="4" s="1"/>
  <c r="D744" i="4"/>
  <c r="D728" i="4"/>
  <c r="F728" i="4" s="1"/>
  <c r="D712" i="4"/>
  <c r="F712" i="4" s="1"/>
  <c r="D696" i="4"/>
  <c r="F696" i="4" s="1"/>
  <c r="D680" i="4"/>
  <c r="F680" i="4" s="1"/>
  <c r="D648" i="4"/>
  <c r="F648" i="4" s="1"/>
  <c r="D632" i="4"/>
  <c r="F632" i="4" s="1"/>
  <c r="D600" i="4"/>
  <c r="F600" i="4" s="1"/>
  <c r="D584" i="4"/>
  <c r="F584" i="4" s="1"/>
  <c r="D568" i="4"/>
  <c r="F568" i="4" s="1"/>
  <c r="D552" i="4"/>
  <c r="F552" i="4" s="1"/>
  <c r="D536" i="4"/>
  <c r="F536" i="4" s="1"/>
  <c r="D520" i="4"/>
  <c r="F520" i="4" s="1"/>
  <c r="D504" i="4"/>
  <c r="F504" i="4" s="1"/>
  <c r="D488" i="4"/>
  <c r="F488" i="4" s="1"/>
  <c r="D472" i="4"/>
  <c r="F472" i="4" s="1"/>
  <c r="D456" i="4"/>
  <c r="F456" i="4" s="1"/>
  <c r="D440" i="4"/>
  <c r="F440" i="4" s="1"/>
  <c r="D424" i="4"/>
  <c r="F424" i="4" s="1"/>
  <c r="D408" i="4"/>
  <c r="F408" i="4" s="1"/>
  <c r="D392" i="4"/>
  <c r="F392" i="4" s="1"/>
  <c r="D376" i="4"/>
  <c r="F376" i="4" s="1"/>
  <c r="D360" i="4"/>
  <c r="F360" i="4" s="1"/>
  <c r="D344" i="4"/>
  <c r="F344" i="4" s="1"/>
  <c r="D328" i="4"/>
  <c r="F328" i="4" s="1"/>
  <c r="D312" i="4"/>
  <c r="F312" i="4" s="1"/>
  <c r="D296" i="4"/>
  <c r="F296" i="4" s="1"/>
  <c r="D280" i="4"/>
  <c r="F280" i="4" s="1"/>
  <c r="D264" i="4"/>
  <c r="F264" i="4" s="1"/>
  <c r="D248" i="4"/>
  <c r="F248" i="4" s="1"/>
  <c r="D232" i="4"/>
  <c r="F232" i="4" s="1"/>
  <c r="D216" i="4"/>
  <c r="F216" i="4" s="1"/>
  <c r="D200" i="4"/>
  <c r="F200" i="4" s="1"/>
  <c r="D184" i="4"/>
  <c r="F184" i="4" s="1"/>
  <c r="D168" i="4"/>
  <c r="F168" i="4" s="1"/>
  <c r="D152" i="4"/>
  <c r="F152" i="4" s="1"/>
  <c r="D136" i="4"/>
  <c r="F136" i="4" s="1"/>
  <c r="D120" i="4"/>
  <c r="F120" i="4" s="1"/>
  <c r="D104" i="4"/>
  <c r="F104" i="4" s="1"/>
  <c r="D88" i="4"/>
  <c r="F88" i="4" s="1"/>
  <c r="D72" i="4"/>
  <c r="F72" i="4" s="1"/>
  <c r="D56" i="4"/>
  <c r="F56" i="4" s="1"/>
  <c r="D40" i="4"/>
  <c r="F40" i="4" s="1"/>
  <c r="D24" i="4"/>
  <c r="F24" i="4" s="1"/>
  <c r="D8" i="4"/>
  <c r="F8" i="4" s="1"/>
  <c r="D546" i="4"/>
  <c r="D450" i="4"/>
  <c r="F450" i="4" s="1"/>
  <c r="D354" i="4"/>
  <c r="F354" i="4" s="1"/>
  <c r="D258" i="4"/>
  <c r="F258" i="4" s="1"/>
  <c r="D162" i="4"/>
  <c r="F162" i="4" s="1"/>
  <c r="D34" i="4"/>
  <c r="D829" i="4"/>
  <c r="F829" i="4" s="1"/>
  <c r="D789" i="4"/>
  <c r="D757" i="4"/>
  <c r="D725" i="4"/>
  <c r="D685" i="4"/>
  <c r="F685" i="4" s="1"/>
  <c r="D609" i="4"/>
  <c r="D513" i="4"/>
  <c r="F513" i="4" s="1"/>
  <c r="D433" i="4"/>
  <c r="F433" i="4" s="1"/>
  <c r="D401" i="4"/>
  <c r="F401" i="4" s="1"/>
  <c r="D337" i="4"/>
  <c r="F337" i="4" s="1"/>
  <c r="D257" i="4"/>
  <c r="F257" i="4" s="1"/>
  <c r="D145" i="4"/>
  <c r="F145" i="4" s="1"/>
  <c r="D81" i="4"/>
  <c r="D836" i="4"/>
  <c r="D788" i="4"/>
  <c r="D843" i="4"/>
  <c r="D803" i="4"/>
  <c r="F803" i="4" s="1"/>
  <c r="D747" i="4"/>
  <c r="D850" i="4"/>
  <c r="F850" i="4" s="1"/>
  <c r="D826" i="4"/>
  <c r="F826" i="4" s="1"/>
  <c r="D786" i="4"/>
  <c r="F786" i="4" s="1"/>
  <c r="D849" i="4"/>
  <c r="F849" i="4" s="1"/>
  <c r="D825" i="4"/>
  <c r="D809" i="4"/>
  <c r="F809" i="4" s="1"/>
  <c r="D785" i="4"/>
  <c r="F785" i="4" s="1"/>
  <c r="D769" i="4"/>
  <c r="F769" i="4" s="1"/>
  <c r="D745" i="4"/>
  <c r="F745" i="4" s="1"/>
  <c r="D729" i="4"/>
  <c r="F729" i="4" s="1"/>
  <c r="D856" i="4"/>
  <c r="F856" i="4" s="1"/>
  <c r="D848" i="4"/>
  <c r="D824" i="4"/>
  <c r="D808" i="4"/>
  <c r="F808" i="4" s="1"/>
  <c r="D800" i="4"/>
  <c r="F800" i="4" s="1"/>
  <c r="D784" i="4"/>
  <c r="F784" i="4" s="1"/>
  <c r="D768" i="4"/>
  <c r="F768" i="4" s="1"/>
  <c r="D752" i="4"/>
  <c r="D736" i="4"/>
  <c r="F736" i="4" s="1"/>
  <c r="D720" i="4"/>
  <c r="F720" i="4" s="1"/>
  <c r="D704" i="4"/>
  <c r="F704" i="4" s="1"/>
  <c r="D688" i="4"/>
  <c r="F688" i="4" s="1"/>
  <c r="D664" i="4"/>
  <c r="F664" i="4" s="1"/>
  <c r="D616" i="4"/>
  <c r="F616" i="4" s="1"/>
  <c r="D855" i="4"/>
  <c r="F855" i="4" s="1"/>
  <c r="D847" i="4"/>
  <c r="F847" i="4" s="1"/>
  <c r="D839" i="4"/>
  <c r="F839" i="4" s="1"/>
  <c r="D831" i="4"/>
  <c r="D823" i="4"/>
  <c r="F823" i="4" s="1"/>
  <c r="D815" i="4"/>
  <c r="F815" i="4" s="1"/>
  <c r="D807" i="4"/>
  <c r="F807" i="4" s="1"/>
  <c r="D799" i="4"/>
  <c r="F799" i="4" s="1"/>
  <c r="D791" i="4"/>
  <c r="F791" i="4" s="1"/>
  <c r="D783" i="4"/>
  <c r="D775" i="4"/>
  <c r="F775" i="4" s="1"/>
  <c r="D767" i="4"/>
  <c r="F767" i="4" s="1"/>
  <c r="D759" i="4"/>
  <c r="F759" i="4" s="1"/>
  <c r="D751" i="4"/>
  <c r="F751" i="4" s="1"/>
  <c r="D743" i="4"/>
  <c r="F743" i="4" s="1"/>
  <c r="D735" i="4"/>
  <c r="F735" i="4" s="1"/>
  <c r="D727" i="4"/>
  <c r="D719" i="4"/>
  <c r="F719" i="4" s="1"/>
  <c r="D711" i="4"/>
  <c r="F711" i="4" s="1"/>
  <c r="D703" i="4"/>
  <c r="D695" i="4"/>
  <c r="F695" i="4" s="1"/>
  <c r="D687" i="4"/>
  <c r="F687" i="4" s="1"/>
  <c r="D679" i="4"/>
  <c r="F679" i="4" s="1"/>
  <c r="D663" i="4"/>
  <c r="F663" i="4" s="1"/>
  <c r="D647" i="4"/>
  <c r="F647" i="4" s="1"/>
  <c r="D631" i="4"/>
  <c r="F631" i="4" s="1"/>
  <c r="D615" i="4"/>
  <c r="F615" i="4" s="1"/>
  <c r="D599" i="4"/>
  <c r="D583" i="4"/>
  <c r="F583" i="4" s="1"/>
  <c r="D567" i="4"/>
  <c r="F567" i="4" s="1"/>
  <c r="D551" i="4"/>
  <c r="F551" i="4" s="1"/>
  <c r="D535" i="4"/>
  <c r="F535" i="4" s="1"/>
  <c r="D519" i="4"/>
  <c r="F519" i="4" s="1"/>
  <c r="D503" i="4"/>
  <c r="F503" i="4" s="1"/>
  <c r="D487" i="4"/>
  <c r="F487" i="4" s="1"/>
  <c r="D471" i="4"/>
  <c r="F471" i="4" s="1"/>
  <c r="D455" i="4"/>
  <c r="F455" i="4" s="1"/>
  <c r="D439" i="4"/>
  <c r="F439" i="4" s="1"/>
  <c r="D423" i="4"/>
  <c r="F423" i="4" s="1"/>
  <c r="D407" i="4"/>
  <c r="F407" i="4" s="1"/>
  <c r="D391" i="4"/>
  <c r="F391" i="4" s="1"/>
  <c r="D375" i="4"/>
  <c r="F375" i="4" s="1"/>
  <c r="D359" i="4"/>
  <c r="F359" i="4" s="1"/>
  <c r="D343" i="4"/>
  <c r="F343" i="4" s="1"/>
  <c r="D327" i="4"/>
  <c r="F327" i="4" s="1"/>
  <c r="D311" i="4"/>
  <c r="F311" i="4" s="1"/>
  <c r="D295" i="4"/>
  <c r="F295" i="4" s="1"/>
  <c r="D279" i="4"/>
  <c r="F279" i="4" s="1"/>
  <c r="D263" i="4"/>
  <c r="F263" i="4" s="1"/>
  <c r="D247" i="4"/>
  <c r="F247" i="4" s="1"/>
  <c r="D231" i="4"/>
  <c r="F231" i="4" s="1"/>
  <c r="D215" i="4"/>
  <c r="F215" i="4" s="1"/>
  <c r="D199" i="4"/>
  <c r="F199" i="4" s="1"/>
  <c r="D183" i="4"/>
  <c r="F183" i="4" s="1"/>
  <c r="D167" i="4"/>
  <c r="F167" i="4" s="1"/>
  <c r="D151" i="4"/>
  <c r="F151" i="4" s="1"/>
  <c r="D135" i="4"/>
  <c r="F135" i="4" s="1"/>
  <c r="D119" i="4"/>
  <c r="F119" i="4" s="1"/>
  <c r="D103" i="4"/>
  <c r="F103" i="4" s="1"/>
  <c r="D87" i="4"/>
  <c r="D71" i="4"/>
  <c r="D55" i="4"/>
  <c r="F55" i="4" s="1"/>
  <c r="D39" i="4"/>
  <c r="D23" i="4"/>
  <c r="D7" i="4"/>
  <c r="L580" i="4" l="1"/>
  <c r="F69" i="4"/>
  <c r="I613" i="4"/>
  <c r="I191" i="4"/>
  <c r="I311" i="4"/>
  <c r="F581" i="4"/>
  <c r="I843" i="4"/>
  <c r="I589" i="4"/>
  <c r="I564" i="4"/>
  <c r="I221" i="4"/>
  <c r="I707" i="4"/>
  <c r="I451" i="4"/>
  <c r="I323" i="4"/>
  <c r="I67" i="4"/>
  <c r="I20" i="4"/>
  <c r="I745" i="4"/>
  <c r="I718" i="4"/>
  <c r="F410" i="4"/>
  <c r="F739" i="4"/>
  <c r="F11" i="4"/>
  <c r="I364" i="4"/>
  <c r="I591" i="4"/>
  <c r="I571" i="4"/>
  <c r="I498" i="4"/>
  <c r="I838" i="4"/>
  <c r="L194" i="4"/>
  <c r="L374" i="4"/>
  <c r="F804" i="4"/>
  <c r="F565" i="4"/>
  <c r="F16" i="4"/>
  <c r="I684" i="4"/>
  <c r="I341" i="4"/>
  <c r="I548" i="4"/>
  <c r="I205" i="4"/>
  <c r="I563" i="4"/>
  <c r="I729" i="4"/>
  <c r="L812" i="4"/>
  <c r="F744" i="4"/>
  <c r="F635" i="4"/>
  <c r="F507" i="4"/>
  <c r="F251" i="4"/>
  <c r="F123" i="4"/>
  <c r="I823" i="4"/>
  <c r="I207" i="4"/>
  <c r="I500" i="4"/>
  <c r="I4" i="4"/>
  <c r="I43" i="4"/>
  <c r="I849" i="4"/>
  <c r="I721" i="4"/>
  <c r="I694" i="4"/>
  <c r="F755" i="4"/>
  <c r="F812" i="4"/>
  <c r="F549" i="4"/>
  <c r="F627" i="4"/>
  <c r="F371" i="4"/>
  <c r="F243" i="4"/>
  <c r="I547" i="4"/>
  <c r="I474" i="4"/>
  <c r="I841" i="4"/>
  <c r="I814" i="4"/>
  <c r="I46" i="4"/>
  <c r="I705" i="4"/>
  <c r="F33" i="4"/>
  <c r="I825" i="4"/>
  <c r="I697" i="4"/>
  <c r="F820" i="4"/>
  <c r="F436" i="4"/>
  <c r="F308" i="4"/>
  <c r="F603" i="4"/>
  <c r="F347" i="4"/>
  <c r="F219" i="4"/>
  <c r="F772" i="4"/>
  <c r="I835" i="4"/>
  <c r="I575" i="4"/>
  <c r="I756" i="4"/>
  <c r="I103" i="4"/>
  <c r="I463" i="4"/>
  <c r="I754" i="4"/>
  <c r="I100" i="4"/>
  <c r="I524" i="4"/>
  <c r="I181" i="4"/>
  <c r="I738" i="4"/>
  <c r="I71" i="4"/>
  <c r="I523" i="4"/>
  <c r="I450" i="4"/>
  <c r="I817" i="4"/>
  <c r="I561" i="4"/>
  <c r="I433" i="4"/>
  <c r="I177" i="4"/>
  <c r="I544" i="4"/>
  <c r="I288" i="4"/>
  <c r="I160" i="4"/>
  <c r="I556" i="4"/>
  <c r="I743" i="4"/>
  <c r="I423" i="4"/>
  <c r="I84" i="4"/>
  <c r="I420" i="4"/>
  <c r="I643" i="4"/>
  <c r="I515" i="4"/>
  <c r="I259" i="4"/>
  <c r="I131" i="4"/>
  <c r="I186" i="4"/>
  <c r="I58" i="4"/>
  <c r="I681" i="4"/>
  <c r="F637" i="4"/>
  <c r="I533" i="4"/>
  <c r="L405" i="4"/>
  <c r="L483" i="4"/>
  <c r="F23" i="4"/>
  <c r="F697" i="4"/>
  <c r="F653" i="4"/>
  <c r="F798" i="4"/>
  <c r="I236" i="4"/>
  <c r="I767" i="4"/>
  <c r="I413" i="4"/>
  <c r="I826" i="4"/>
  <c r="I220" i="4"/>
  <c r="I395" i="4"/>
  <c r="I139" i="4"/>
  <c r="I66" i="4"/>
  <c r="I49" i="4"/>
  <c r="I32" i="4"/>
  <c r="I790" i="4"/>
  <c r="I810" i="4"/>
  <c r="I372" i="4"/>
  <c r="I397" i="4"/>
  <c r="I140" i="4"/>
  <c r="I517" i="4"/>
  <c r="I635" i="4"/>
  <c r="I690" i="4"/>
  <c r="I50" i="4"/>
  <c r="I801" i="4"/>
  <c r="I646" i="4"/>
  <c r="F825" i="4"/>
  <c r="F67" i="4"/>
  <c r="F852" i="4"/>
  <c r="I407" i="4"/>
  <c r="I172" i="4"/>
  <c r="I399" i="4"/>
  <c r="I692" i="4"/>
  <c r="I682" i="4"/>
  <c r="I426" i="4"/>
  <c r="I42" i="4"/>
  <c r="I793" i="4"/>
  <c r="I648" i="4"/>
  <c r="I766" i="4"/>
  <c r="I638" i="4"/>
  <c r="L545" i="4"/>
  <c r="L201" i="4"/>
  <c r="F443" i="4"/>
  <c r="F315" i="4"/>
  <c r="I492" i="4"/>
  <c r="I149" i="4"/>
  <c r="I356" i="4"/>
  <c r="I751" i="4"/>
  <c r="I133" i="4"/>
  <c r="I34" i="4"/>
  <c r="F563" i="4"/>
  <c r="F435" i="4"/>
  <c r="F179" i="4"/>
  <c r="F822" i="4"/>
  <c r="I771" i="4"/>
  <c r="I647" i="4"/>
  <c r="I154" i="4"/>
  <c r="I777" i="4"/>
  <c r="I649" i="4"/>
  <c r="I622" i="4"/>
  <c r="I108" i="4"/>
  <c r="I53" i="4"/>
  <c r="I402" i="4"/>
  <c r="I769" i="4"/>
  <c r="I650" i="4"/>
  <c r="F747" i="4"/>
  <c r="F789" i="4"/>
  <c r="F73" i="4"/>
  <c r="F628" i="4"/>
  <c r="F500" i="4"/>
  <c r="F244" i="4"/>
  <c r="F116" i="4"/>
  <c r="F539" i="4"/>
  <c r="F411" i="4"/>
  <c r="F155" i="4"/>
  <c r="F758" i="4"/>
  <c r="I215" i="4"/>
  <c r="I732" i="4"/>
  <c r="I405" i="4"/>
  <c r="I63" i="4"/>
  <c r="I6" i="4"/>
  <c r="I615" i="4"/>
  <c r="I16" i="4"/>
  <c r="I293" i="4"/>
  <c r="I612" i="4"/>
  <c r="I269" i="4"/>
  <c r="I693" i="4"/>
  <c r="I839" i="4"/>
  <c r="I722" i="4"/>
  <c r="I389" i="4"/>
  <c r="I715" i="4"/>
  <c r="I587" i="4"/>
  <c r="I331" i="4"/>
  <c r="I203" i="4"/>
  <c r="I642" i="4"/>
  <c r="I258" i="4"/>
  <c r="I753" i="4"/>
  <c r="I625" i="4"/>
  <c r="I369" i="4"/>
  <c r="I241" i="4"/>
  <c r="I11" i="4"/>
  <c r="I480" i="4"/>
  <c r="I352" i="4"/>
  <c r="I96" i="4"/>
  <c r="I598" i="4"/>
  <c r="L114" i="4"/>
  <c r="L767" i="4"/>
  <c r="L432" i="4"/>
  <c r="L804" i="4"/>
  <c r="L505" i="4"/>
  <c r="L433" i="4"/>
  <c r="L168" i="4"/>
  <c r="L566" i="4"/>
  <c r="L182" i="4"/>
  <c r="L477" i="4"/>
  <c r="L82" i="4"/>
  <c r="I799" i="4"/>
  <c r="I618" i="4"/>
  <c r="I114" i="4"/>
  <c r="I840" i="4"/>
  <c r="I672" i="4"/>
  <c r="I22" i="4"/>
  <c r="I178" i="4"/>
  <c r="I244" i="4"/>
  <c r="F71" i="4"/>
  <c r="F831" i="4"/>
  <c r="F49" i="4"/>
  <c r="F233" i="4"/>
  <c r="F737" i="4"/>
  <c r="F10" i="4"/>
  <c r="F682" i="4"/>
  <c r="F465" i="4"/>
  <c r="F805" i="4"/>
  <c r="F95" i="4"/>
  <c r="F27" i="4"/>
  <c r="F3" i="4"/>
  <c r="F684" i="4"/>
  <c r="F708" i="4"/>
  <c r="F732" i="4"/>
  <c r="F780" i="4"/>
  <c r="F774" i="4"/>
  <c r="I21" i="4"/>
  <c r="I796" i="4"/>
  <c r="I807" i="4"/>
  <c r="I829" i="4"/>
  <c r="I711" i="4"/>
  <c r="I724" i="4"/>
  <c r="I29" i="4"/>
  <c r="I787" i="4"/>
  <c r="I683" i="4"/>
  <c r="I59" i="4"/>
  <c r="I634" i="4"/>
  <c r="I514" i="4"/>
  <c r="I322" i="4"/>
  <c r="I226" i="4"/>
  <c r="I130" i="4"/>
  <c r="I106" i="4"/>
  <c r="I12" i="4"/>
  <c r="I673" i="4"/>
  <c r="I856" i="4"/>
  <c r="I784" i="4"/>
  <c r="I64" i="4"/>
  <c r="I854" i="4"/>
  <c r="I830" i="4"/>
  <c r="I782" i="4"/>
  <c r="I758" i="4"/>
  <c r="I710" i="4"/>
  <c r="I686" i="4"/>
  <c r="I62" i="4"/>
  <c r="L786" i="4"/>
  <c r="L785" i="4"/>
  <c r="L705" i="4"/>
  <c r="L704" i="4"/>
  <c r="L714" i="4"/>
  <c r="L724" i="4"/>
  <c r="L506" i="4"/>
  <c r="L314" i="4"/>
  <c r="L218" i="4"/>
  <c r="L24" i="4"/>
  <c r="L698" i="4"/>
  <c r="L634" i="4"/>
  <c r="L489" i="4"/>
  <c r="L600" i="4"/>
  <c r="L288" i="4"/>
  <c r="L439" i="4"/>
  <c r="L295" i="4"/>
  <c r="L175" i="4"/>
  <c r="L79" i="4"/>
  <c r="L494" i="4"/>
  <c r="L422" i="4"/>
  <c r="L237" i="4"/>
  <c r="L45" i="4"/>
  <c r="L388" i="4"/>
  <c r="F39" i="4"/>
  <c r="F788" i="4"/>
  <c r="F34" i="4"/>
  <c r="F773" i="4"/>
  <c r="F153" i="4"/>
  <c r="F345" i="4"/>
  <c r="F385" i="4"/>
  <c r="F26" i="4"/>
  <c r="F458" i="4"/>
  <c r="F845" i="4"/>
  <c r="F683" i="4"/>
  <c r="F707" i="4"/>
  <c r="F731" i="4"/>
  <c r="F46" i="4"/>
  <c r="F677" i="4"/>
  <c r="F629" i="4"/>
  <c r="F660" i="4"/>
  <c r="F612" i="4"/>
  <c r="F564" i="4"/>
  <c r="F540" i="4"/>
  <c r="F492" i="4"/>
  <c r="F468" i="4"/>
  <c r="F420" i="4"/>
  <c r="F372" i="4"/>
  <c r="F348" i="4"/>
  <c r="F300" i="4"/>
  <c r="F276" i="4"/>
  <c r="F228" i="4"/>
  <c r="F180" i="4"/>
  <c r="F156" i="4"/>
  <c r="F108" i="4"/>
  <c r="F667" i="4"/>
  <c r="F595" i="4"/>
  <c r="F571" i="4"/>
  <c r="F499" i="4"/>
  <c r="F475" i="4"/>
  <c r="F403" i="4"/>
  <c r="F379" i="4"/>
  <c r="F307" i="4"/>
  <c r="F283" i="4"/>
  <c r="F211" i="4"/>
  <c r="F187" i="4"/>
  <c r="F115" i="4"/>
  <c r="F91" i="4"/>
  <c r="F19" i="4"/>
  <c r="F716" i="4"/>
  <c r="F740" i="4"/>
  <c r="F610" i="4"/>
  <c r="I821" i="4"/>
  <c r="I701" i="4"/>
  <c r="I639" i="4"/>
  <c r="I511" i="4"/>
  <c r="I447" i="4"/>
  <c r="I319" i="4"/>
  <c r="I127" i="4"/>
  <c r="I660" i="4"/>
  <c r="I596" i="4"/>
  <c r="I404" i="4"/>
  <c r="I340" i="4"/>
  <c r="I276" i="4"/>
  <c r="I212" i="4"/>
  <c r="I636" i="4"/>
  <c r="I252" i="4"/>
  <c r="I124" i="4"/>
  <c r="I855" i="4"/>
  <c r="I779" i="4"/>
  <c r="I740" i="4"/>
  <c r="I631" i="4"/>
  <c r="I567" i="4"/>
  <c r="I439" i="4"/>
  <c r="I375" i="4"/>
  <c r="I247" i="4"/>
  <c r="I183" i="4"/>
  <c r="I55" i="4"/>
  <c r="I842" i="4"/>
  <c r="I803" i="4"/>
  <c r="I351" i="4"/>
  <c r="I159" i="4"/>
  <c r="I13" i="4"/>
  <c r="I788" i="4"/>
  <c r="I583" i="4"/>
  <c r="I519" i="4"/>
  <c r="I391" i="4"/>
  <c r="I327" i="4"/>
  <c r="I199" i="4"/>
  <c r="I135" i="4"/>
  <c r="I812" i="4"/>
  <c r="I559" i="4"/>
  <c r="I47" i="4"/>
  <c r="I651" i="4"/>
  <c r="I627" i="4"/>
  <c r="I603" i="4"/>
  <c r="I579" i="4"/>
  <c r="I459" i="4"/>
  <c r="I387" i="4"/>
  <c r="I267" i="4"/>
  <c r="I195" i="4"/>
  <c r="I75" i="4"/>
  <c r="I506" i="4"/>
  <c r="I482" i="4"/>
  <c r="I434" i="4"/>
  <c r="I410" i="4"/>
  <c r="I386" i="4"/>
  <c r="I362" i="4"/>
  <c r="I314" i="4"/>
  <c r="I290" i="4"/>
  <c r="I242" i="4"/>
  <c r="I218" i="4"/>
  <c r="I194" i="4"/>
  <c r="I170" i="4"/>
  <c r="I74" i="4"/>
  <c r="I857" i="4"/>
  <c r="I833" i="4"/>
  <c r="I809" i="4"/>
  <c r="I785" i="4"/>
  <c r="I761" i="4"/>
  <c r="I737" i="4"/>
  <c r="I713" i="4"/>
  <c r="I689" i="4"/>
  <c r="I617" i="4"/>
  <c r="I497" i="4"/>
  <c r="I425" i="4"/>
  <c r="I305" i="4"/>
  <c r="I233" i="4"/>
  <c r="I113" i="4"/>
  <c r="I41" i="4"/>
  <c r="I848" i="4"/>
  <c r="I824" i="4"/>
  <c r="I776" i="4"/>
  <c r="I704" i="4"/>
  <c r="I656" i="4"/>
  <c r="I608" i="4"/>
  <c r="L797" i="4"/>
  <c r="L796" i="4"/>
  <c r="L721" i="4"/>
  <c r="L795" i="4"/>
  <c r="L818" i="4"/>
  <c r="L779" i="4"/>
  <c r="L803" i="4"/>
  <c r="L852" i="4"/>
  <c r="L777" i="4"/>
  <c r="L826" i="4"/>
  <c r="L787" i="4"/>
  <c r="L322" i="4"/>
  <c r="L97" i="4"/>
  <c r="L651" i="4"/>
  <c r="L442" i="4"/>
  <c r="L250" i="4"/>
  <c r="L640" i="4"/>
  <c r="L50" i="4"/>
  <c r="L840" i="4"/>
  <c r="L768" i="4"/>
  <c r="L720" i="4"/>
  <c r="L15" i="4"/>
  <c r="L823" i="4"/>
  <c r="L751" i="4"/>
  <c r="L667" i="4"/>
  <c r="L586" i="4"/>
  <c r="L806" i="4"/>
  <c r="L678" i="4"/>
  <c r="L425" i="4"/>
  <c r="L536" i="4"/>
  <c r="L488" i="4"/>
  <c r="L440" i="4"/>
  <c r="L416" i="4"/>
  <c r="L392" i="4"/>
  <c r="L344" i="4"/>
  <c r="L272" i="4"/>
  <c r="L176" i="4"/>
  <c r="L104" i="4"/>
  <c r="L80" i="4"/>
  <c r="L543" i="4"/>
  <c r="L495" i="4"/>
  <c r="L375" i="4"/>
  <c r="L303" i="4"/>
  <c r="L255" i="4"/>
  <c r="L111" i="4"/>
  <c r="L39" i="4"/>
  <c r="L550" i="4"/>
  <c r="L502" i="4"/>
  <c r="L454" i="4"/>
  <c r="L166" i="4"/>
  <c r="L118" i="4"/>
  <c r="L70" i="4"/>
  <c r="L677" i="4"/>
  <c r="L605" i="4"/>
  <c r="L581" i="4"/>
  <c r="L389" i="4"/>
  <c r="L173" i="4"/>
  <c r="L660" i="4"/>
  <c r="L539" i="4"/>
  <c r="L419" i="4"/>
  <c r="L99" i="4"/>
  <c r="I536" i="4"/>
  <c r="I464" i="4"/>
  <c r="I416" i="4"/>
  <c r="I344" i="4"/>
  <c r="I272" i="4"/>
  <c r="I224" i="4"/>
  <c r="I152" i="4"/>
  <c r="I80" i="4"/>
  <c r="I846" i="4"/>
  <c r="I822" i="4"/>
  <c r="I774" i="4"/>
  <c r="I750" i="4"/>
  <c r="I726" i="4"/>
  <c r="I702" i="4"/>
  <c r="I654" i="4"/>
  <c r="L434" i="4"/>
  <c r="L810" i="4"/>
  <c r="L687" i="4"/>
  <c r="L28" i="4"/>
  <c r="L809" i="4"/>
  <c r="L686" i="4"/>
  <c r="L858" i="4"/>
  <c r="L741" i="4"/>
  <c r="L622" i="4"/>
  <c r="L258" i="4"/>
  <c r="L793" i="4"/>
  <c r="L754" i="4"/>
  <c r="L715" i="4"/>
  <c r="L659" i="4"/>
  <c r="L370" i="4"/>
  <c r="L778" i="4"/>
  <c r="L696" i="4"/>
  <c r="L10" i="4"/>
  <c r="L788" i="4"/>
  <c r="L749" i="4"/>
  <c r="L713" i="4"/>
  <c r="L723" i="4"/>
  <c r="L674" i="4"/>
  <c r="L642" i="4"/>
  <c r="L601" i="4"/>
  <c r="L225" i="4"/>
  <c r="L129" i="4"/>
  <c r="L570" i="4"/>
  <c r="L537" i="4"/>
  <c r="L848" i="4"/>
  <c r="L824" i="4"/>
  <c r="L776" i="4"/>
  <c r="L638" i="4"/>
  <c r="L209" i="4"/>
  <c r="L113" i="4"/>
  <c r="L23" i="4"/>
  <c r="L831" i="4"/>
  <c r="L759" i="4"/>
  <c r="L330" i="4"/>
  <c r="L42" i="4"/>
  <c r="L742" i="4"/>
  <c r="L656" i="4"/>
  <c r="L623" i="4"/>
  <c r="L265" i="4"/>
  <c r="L169" i="4"/>
  <c r="L592" i="4"/>
  <c r="L376" i="4"/>
  <c r="L280" i="4"/>
  <c r="L232" i="4"/>
  <c r="L136" i="4"/>
  <c r="L551" i="4"/>
  <c r="L503" i="4"/>
  <c r="L479" i="4"/>
  <c r="L431" i="4"/>
  <c r="L407" i="4"/>
  <c r="L359" i="4"/>
  <c r="L215" i="4"/>
  <c r="L510" i="4"/>
  <c r="L222" i="4"/>
  <c r="L174" i="4"/>
  <c r="L613" i="4"/>
  <c r="L421" i="4"/>
  <c r="L349" i="4"/>
  <c r="L301" i="4"/>
  <c r="L109" i="4"/>
  <c r="L524" i="4"/>
  <c r="L452" i="4"/>
  <c r="L428" i="4"/>
  <c r="L380" i="4"/>
  <c r="L547" i="4"/>
  <c r="L162" i="4"/>
  <c r="L465" i="4"/>
  <c r="L609" i="4"/>
  <c r="L362" i="4"/>
  <c r="L624" i="4"/>
  <c r="L496" i="4"/>
  <c r="L304" i="4"/>
  <c r="L119" i="4"/>
  <c r="L126" i="4"/>
  <c r="L62" i="4"/>
  <c r="L293" i="4"/>
  <c r="L229" i="4"/>
  <c r="L165" i="4"/>
  <c r="L101" i="4"/>
  <c r="L37" i="4"/>
  <c r="L652" i="4"/>
  <c r="L541" i="4"/>
  <c r="F421" i="4"/>
  <c r="F357" i="4"/>
  <c r="F293" i="4"/>
  <c r="F229" i="4"/>
  <c r="F165" i="4"/>
  <c r="F101" i="4"/>
  <c r="I501" i="4"/>
  <c r="I78" i="4"/>
  <c r="I237" i="4"/>
  <c r="I309" i="4"/>
  <c r="L763" i="4"/>
  <c r="L593" i="4"/>
  <c r="L65" i="4"/>
  <c r="L282" i="4"/>
  <c r="L662" i="4"/>
  <c r="L249" i="4"/>
  <c r="L177" i="4"/>
  <c r="L689" i="4"/>
  <c r="L74" i="4"/>
  <c r="L798" i="4"/>
  <c r="L734" i="4"/>
  <c r="L233" i="4"/>
  <c r="L616" i="4"/>
  <c r="L424" i="4"/>
  <c r="L296" i="4"/>
  <c r="L246" i="4"/>
  <c r="L54" i="4"/>
  <c r="L285" i="4"/>
  <c r="L367" i="4"/>
  <c r="L239" i="4"/>
  <c r="L438" i="4"/>
  <c r="L19" i="4"/>
  <c r="L221" i="4"/>
  <c r="L157" i="4"/>
  <c r="L93" i="4"/>
  <c r="L708" i="4"/>
  <c r="L644" i="4"/>
  <c r="L324" i="4"/>
  <c r="L260" i="4"/>
  <c r="L196" i="4"/>
  <c r="I629" i="4"/>
  <c r="I117" i="4"/>
  <c r="I51" i="4"/>
  <c r="L761" i="4"/>
  <c r="L844" i="4"/>
  <c r="L682" i="4"/>
  <c r="L789" i="4"/>
  <c r="L681" i="4"/>
  <c r="L707" i="4"/>
  <c r="L66" i="4"/>
  <c r="L289" i="4"/>
  <c r="L650" i="4"/>
  <c r="L679" i="4"/>
  <c r="L554" i="4"/>
  <c r="L854" i="4"/>
  <c r="L790" i="4"/>
  <c r="L726" i="4"/>
  <c r="L457" i="4"/>
  <c r="L352" i="4"/>
  <c r="L160" i="4"/>
  <c r="L615" i="4"/>
  <c r="L423" i="4"/>
  <c r="L167" i="4"/>
  <c r="L558" i="4"/>
  <c r="L366" i="4"/>
  <c r="L238" i="4"/>
  <c r="L661" i="4"/>
  <c r="L469" i="4"/>
  <c r="L572" i="4"/>
  <c r="L316" i="4"/>
  <c r="F703" i="4"/>
  <c r="F848" i="4"/>
  <c r="F609" i="4"/>
  <c r="F84" i="4"/>
  <c r="F726" i="4"/>
  <c r="I437" i="4"/>
  <c r="L29" i="4"/>
  <c r="L25" i="4"/>
  <c r="L610" i="4"/>
  <c r="L807" i="4"/>
  <c r="L743" i="4"/>
  <c r="L408" i="4"/>
  <c r="L88" i="4"/>
  <c r="L159" i="4"/>
  <c r="L589" i="4"/>
  <c r="F306" i="4"/>
  <c r="I245" i="4"/>
  <c r="L771" i="4"/>
  <c r="L716" i="4"/>
  <c r="L12" i="4"/>
  <c r="L210" i="4"/>
  <c r="L186" i="4"/>
  <c r="L337" i="4"/>
  <c r="L490" i="4"/>
  <c r="L87" i="4"/>
  <c r="L606" i="4"/>
  <c r="L453" i="4"/>
  <c r="F752" i="4"/>
  <c r="F297" i="4"/>
  <c r="F477" i="4"/>
  <c r="F413" i="4"/>
  <c r="F349" i="4"/>
  <c r="F285" i="4"/>
  <c r="F221" i="4"/>
  <c r="F157" i="4"/>
  <c r="F4" i="4"/>
  <c r="I7" i="4"/>
  <c r="L3" i="4"/>
  <c r="L853" i="4"/>
  <c r="L20" i="4"/>
  <c r="L643" i="4"/>
  <c r="L816" i="4"/>
  <c r="L752" i="4"/>
  <c r="L328" i="4"/>
  <c r="L72" i="4"/>
  <c r="F733" i="4"/>
  <c r="F338" i="4"/>
  <c r="L401" i="4"/>
  <c r="I578" i="4"/>
  <c r="I736" i="4"/>
  <c r="I662" i="4"/>
  <c r="F601" i="4"/>
  <c r="F771" i="4"/>
  <c r="I44" i="4"/>
  <c r="I444" i="4"/>
  <c r="I332" i="4"/>
  <c r="I827" i="4"/>
  <c r="I706" i="4"/>
  <c r="I367" i="4"/>
  <c r="I28" i="4"/>
  <c r="I378" i="4"/>
  <c r="I122" i="4"/>
  <c r="I728" i="4"/>
  <c r="I664" i="4"/>
  <c r="I590" i="4"/>
  <c r="I526" i="4"/>
  <c r="I462" i="4"/>
  <c r="I398" i="4"/>
  <c r="I334" i="4"/>
  <c r="I270" i="4"/>
  <c r="I206" i="4"/>
  <c r="I142" i="4"/>
  <c r="F843" i="4"/>
  <c r="F154" i="4"/>
  <c r="F651" i="4"/>
  <c r="F587" i="4"/>
  <c r="F523" i="4"/>
  <c r="F459" i="4"/>
  <c r="F395" i="4"/>
  <c r="F331" i="4"/>
  <c r="F267" i="4"/>
  <c r="F203" i="4"/>
  <c r="F139" i="4"/>
  <c r="I557" i="4"/>
  <c r="I834" i="4"/>
  <c r="I231" i="4"/>
  <c r="I844" i="4"/>
  <c r="I727" i="4"/>
  <c r="I228" i="4"/>
  <c r="I708" i="4"/>
  <c r="I687" i="4"/>
  <c r="I175" i="4"/>
  <c r="I699" i="4"/>
  <c r="I507" i="4"/>
  <c r="I443" i="4"/>
  <c r="I379" i="4"/>
  <c r="I315" i="4"/>
  <c r="I251" i="4"/>
  <c r="I187" i="4"/>
  <c r="I123" i="4"/>
  <c r="I626" i="4"/>
  <c r="I562" i="4"/>
  <c r="I370" i="4"/>
  <c r="I609" i="4"/>
  <c r="I545" i="4"/>
  <c r="I481" i="4"/>
  <c r="I417" i="4"/>
  <c r="I353" i="4"/>
  <c r="I289" i="4"/>
  <c r="I225" i="4"/>
  <c r="I161" i="4"/>
  <c r="I97" i="4"/>
  <c r="I720" i="4"/>
  <c r="I582" i="4"/>
  <c r="I518" i="4"/>
  <c r="I454" i="4"/>
  <c r="I390" i="4"/>
  <c r="I326" i="4"/>
  <c r="I262" i="4"/>
  <c r="I198" i="4"/>
  <c r="I134" i="4"/>
  <c r="I70" i="4"/>
  <c r="L5" i="4"/>
  <c r="L755" i="4"/>
  <c r="L697" i="4"/>
  <c r="L577" i="4"/>
  <c r="L321" i="4"/>
  <c r="L538" i="4"/>
  <c r="L6" i="4"/>
  <c r="L40" i="4"/>
  <c r="L559" i="4"/>
  <c r="L47" i="4"/>
  <c r="L310" i="4"/>
  <c r="L413" i="4"/>
  <c r="L516" i="4"/>
  <c r="F824" i="4"/>
  <c r="F42" i="4"/>
  <c r="F779" i="4"/>
  <c r="F15" i="4"/>
  <c r="F643" i="4"/>
  <c r="F579" i="4"/>
  <c r="F515" i="4"/>
  <c r="F451" i="4"/>
  <c r="F387" i="4"/>
  <c r="F323" i="4"/>
  <c r="F259" i="4"/>
  <c r="F195" i="4"/>
  <c r="F131" i="4"/>
  <c r="I716" i="4"/>
  <c r="I551" i="4"/>
  <c r="I39" i="4"/>
  <c r="I831" i="4"/>
  <c r="I229" i="4"/>
  <c r="I818" i="4"/>
  <c r="I14" i="4"/>
  <c r="I764" i="4"/>
  <c r="I287" i="4"/>
  <c r="I495" i="4"/>
  <c r="I156" i="4"/>
  <c r="I691" i="4"/>
  <c r="I435" i="4"/>
  <c r="I371" i="4"/>
  <c r="I307" i="4"/>
  <c r="I243" i="4"/>
  <c r="I179" i="4"/>
  <c r="I115" i="4"/>
  <c r="I554" i="4"/>
  <c r="I490" i="4"/>
  <c r="I298" i="4"/>
  <c r="I234" i="4"/>
  <c r="I665" i="4"/>
  <c r="I601" i="4"/>
  <c r="I537" i="4"/>
  <c r="I473" i="4"/>
  <c r="I409" i="4"/>
  <c r="I345" i="4"/>
  <c r="I281" i="4"/>
  <c r="I217" i="4"/>
  <c r="I153" i="4"/>
  <c r="I89" i="4"/>
  <c r="I25" i="4"/>
  <c r="I712" i="4"/>
  <c r="I584" i="4"/>
  <c r="I520" i="4"/>
  <c r="I456" i="4"/>
  <c r="I392" i="4"/>
  <c r="I328" i="4"/>
  <c r="I264" i="4"/>
  <c r="I200" i="4"/>
  <c r="I136" i="4"/>
  <c r="I72" i="4"/>
  <c r="I574" i="4"/>
  <c r="I510" i="4"/>
  <c r="I446" i="4"/>
  <c r="I382" i="4"/>
  <c r="I318" i="4"/>
  <c r="I254" i="4"/>
  <c r="I190" i="4"/>
  <c r="I126" i="4"/>
  <c r="L466" i="4"/>
  <c r="L663" i="4"/>
  <c r="L217" i="4"/>
  <c r="L626" i="4"/>
  <c r="L145" i="4"/>
  <c r="L298" i="4"/>
  <c r="L646" i="4"/>
  <c r="L608" i="4"/>
  <c r="L544" i="4"/>
  <c r="L224" i="4"/>
  <c r="L487" i="4"/>
  <c r="L231" i="4"/>
  <c r="L103" i="4"/>
  <c r="L430" i="4"/>
  <c r="L302" i="4"/>
  <c r="L110" i="4"/>
  <c r="L46" i="4"/>
  <c r="L597" i="4"/>
  <c r="L533" i="4"/>
  <c r="L341" i="4"/>
  <c r="L277" i="4"/>
  <c r="L213" i="4"/>
  <c r="L149" i="4"/>
  <c r="L85" i="4"/>
  <c r="L700" i="4"/>
  <c r="L636" i="4"/>
  <c r="L444" i="4"/>
  <c r="L252" i="4"/>
  <c r="L188" i="4"/>
  <c r="L124" i="4"/>
  <c r="L60" i="4"/>
  <c r="F87" i="4"/>
  <c r="F599" i="4"/>
  <c r="F836" i="4"/>
  <c r="F9" i="4"/>
  <c r="F265" i="4"/>
  <c r="F828" i="4"/>
  <c r="F274" i="4"/>
  <c r="F570" i="4"/>
  <c r="F31" i="4"/>
  <c r="F671" i="4"/>
  <c r="F70" i="4"/>
  <c r="F59" i="4"/>
  <c r="F32" i="4"/>
  <c r="F65" i="4"/>
  <c r="F194" i="4"/>
  <c r="I580" i="4"/>
  <c r="I783" i="4"/>
  <c r="I700" i="4"/>
  <c r="I532" i="4"/>
  <c r="I359" i="4"/>
  <c r="I819" i="4"/>
  <c r="I549" i="4"/>
  <c r="I380" i="4"/>
  <c r="I695" i="4"/>
  <c r="I853" i="4"/>
  <c r="I607" i="4"/>
  <c r="I268" i="4"/>
  <c r="I95" i="4"/>
  <c r="I669" i="4"/>
  <c r="I157" i="4"/>
  <c r="I773" i="4"/>
  <c r="I303" i="4"/>
  <c r="I619" i="4"/>
  <c r="I555" i="4"/>
  <c r="I491" i="4"/>
  <c r="I427" i="4"/>
  <c r="I363" i="4"/>
  <c r="I299" i="4"/>
  <c r="I235" i="4"/>
  <c r="I171" i="4"/>
  <c r="I107" i="4"/>
  <c r="I674" i="4"/>
  <c r="I610" i="4"/>
  <c r="I546" i="4"/>
  <c r="I418" i="4"/>
  <c r="I354" i="4"/>
  <c r="I162" i="4"/>
  <c r="I98" i="4"/>
  <c r="I657" i="4"/>
  <c r="I593" i="4"/>
  <c r="I529" i="4"/>
  <c r="I465" i="4"/>
  <c r="I401" i="4"/>
  <c r="I337" i="4"/>
  <c r="I273" i="4"/>
  <c r="I209" i="4"/>
  <c r="I145" i="4"/>
  <c r="I81" i="4"/>
  <c r="I640" i="4"/>
  <c r="I576" i="4"/>
  <c r="I512" i="4"/>
  <c r="I448" i="4"/>
  <c r="I384" i="4"/>
  <c r="I320" i="4"/>
  <c r="I256" i="4"/>
  <c r="I192" i="4"/>
  <c r="I128" i="4"/>
  <c r="I630" i="4"/>
  <c r="I566" i="4"/>
  <c r="I502" i="4"/>
  <c r="I438" i="4"/>
  <c r="I374" i="4"/>
  <c r="I310" i="4"/>
  <c r="I246" i="4"/>
  <c r="I182" i="4"/>
  <c r="I118" i="4"/>
  <c r="I54" i="4"/>
  <c r="L33" i="4"/>
  <c r="L772" i="4"/>
  <c r="L672" i="4"/>
  <c r="L781" i="4"/>
  <c r="L671" i="4"/>
  <c r="L833" i="4"/>
  <c r="L730" i="4"/>
  <c r="L26" i="4"/>
  <c r="L655" i="4"/>
  <c r="L841" i="4"/>
  <c r="L738" i="4"/>
  <c r="L338" i="4"/>
  <c r="L801" i="4"/>
  <c r="L664" i="4"/>
  <c r="L513" i="4"/>
  <c r="L257" i="4"/>
  <c r="L474" i="4"/>
  <c r="L441" i="4"/>
  <c r="L702" i="4"/>
  <c r="L369" i="4"/>
  <c r="L522" i="4"/>
  <c r="L846" i="4"/>
  <c r="L782" i="4"/>
  <c r="L718" i="4"/>
  <c r="L472" i="4"/>
  <c r="L216" i="4"/>
  <c r="L152" i="4"/>
  <c r="L607" i="4"/>
  <c r="L415" i="4"/>
  <c r="L351" i="4"/>
  <c r="L287" i="4"/>
  <c r="L223" i="4"/>
  <c r="L95" i="4"/>
  <c r="L486" i="4"/>
  <c r="L358" i="4"/>
  <c r="L294" i="4"/>
  <c r="L269" i="4"/>
  <c r="L811" i="4"/>
  <c r="L850" i="4"/>
  <c r="L178" i="4"/>
  <c r="L821" i="4"/>
  <c r="L820" i="4"/>
  <c r="L717" i="4"/>
  <c r="L769" i="4"/>
  <c r="L817" i="4"/>
  <c r="L98" i="4"/>
  <c r="L649" i="4"/>
  <c r="L837" i="4"/>
  <c r="L737" i="4"/>
  <c r="L58" i="4"/>
  <c r="L856" i="4"/>
  <c r="L792" i="4"/>
  <c r="L728" i="4"/>
  <c r="L699" i="4"/>
  <c r="L106" i="4"/>
  <c r="L666" i="4"/>
  <c r="L521" i="4"/>
  <c r="L560" i="4"/>
  <c r="L368" i="4"/>
  <c r="L240" i="4"/>
  <c r="L112" i="4"/>
  <c r="L48" i="4"/>
  <c r="L567" i="4"/>
  <c r="L311" i="4"/>
  <c r="L247" i="4"/>
  <c r="L183" i="4"/>
  <c r="L55" i="4"/>
  <c r="L574" i="4"/>
  <c r="L446" i="4"/>
  <c r="L382" i="4"/>
  <c r="L318" i="4"/>
  <c r="L254" i="4"/>
  <c r="L190" i="4"/>
  <c r="L549" i="4"/>
  <c r="L485" i="4"/>
  <c r="L357" i="4"/>
  <c r="L588" i="4"/>
  <c r="L460" i="4"/>
  <c r="L132" i="4"/>
  <c r="L68" i="4"/>
  <c r="L555" i="4"/>
  <c r="L491" i="4"/>
  <c r="L355" i="4"/>
  <c r="L291" i="4"/>
  <c r="L102" i="4"/>
  <c r="L38" i="4"/>
  <c r="L653" i="4"/>
  <c r="L461" i="4"/>
  <c r="L397" i="4"/>
  <c r="L333" i="4"/>
  <c r="L637" i="4"/>
  <c r="L205" i="4"/>
  <c r="L141" i="4"/>
  <c r="L77" i="4"/>
  <c r="L692" i="4"/>
  <c r="L628" i="4"/>
  <c r="L564" i="4"/>
  <c r="L500" i="4"/>
  <c r="L372" i="4"/>
  <c r="L308" i="4"/>
  <c r="L244" i="4"/>
  <c r="L180" i="4"/>
  <c r="L116" i="4"/>
  <c r="L52" i="4"/>
  <c r="F81" i="4"/>
  <c r="F777" i="4"/>
  <c r="F25" i="4"/>
  <c r="F17" i="4"/>
  <c r="F741" i="4"/>
  <c r="F787" i="4"/>
  <c r="F613" i="4"/>
  <c r="F485" i="4"/>
  <c r="F652" i="4"/>
  <c r="F588" i="4"/>
  <c r="F524" i="4"/>
  <c r="F460" i="4"/>
  <c r="F396" i="4"/>
  <c r="F332" i="4"/>
  <c r="F268" i="4"/>
  <c r="F204" i="4"/>
  <c r="F140" i="4"/>
  <c r="F51" i="4"/>
  <c r="F48" i="4"/>
  <c r="I733" i="4"/>
  <c r="I469" i="4"/>
  <c r="I300" i="4"/>
  <c r="I795" i="4"/>
  <c r="I679" i="4"/>
  <c r="I167" i="4"/>
  <c r="I698" i="4"/>
  <c r="I527" i="4"/>
  <c r="I357" i="4"/>
  <c r="I188" i="4"/>
  <c r="I791" i="4"/>
  <c r="I676" i="4"/>
  <c r="I164" i="4"/>
  <c r="I739" i="4"/>
  <c r="I588" i="4"/>
  <c r="I415" i="4"/>
  <c r="I76" i="4"/>
  <c r="I5" i="4"/>
  <c r="I477" i="4"/>
  <c r="I10" i="4"/>
  <c r="I762" i="4"/>
  <c r="I623" i="4"/>
  <c r="I111" i="4"/>
  <c r="I675" i="4"/>
  <c r="I611" i="4"/>
  <c r="I483" i="4"/>
  <c r="I419" i="4"/>
  <c r="I355" i="4"/>
  <c r="I291" i="4"/>
  <c r="I227" i="4"/>
  <c r="I163" i="4"/>
  <c r="I99" i="4"/>
  <c r="I35" i="4"/>
  <c r="I602" i="4"/>
  <c r="I346" i="4"/>
  <c r="I282" i="4"/>
  <c r="I90" i="4"/>
  <c r="I585" i="4"/>
  <c r="I521" i="4"/>
  <c r="I457" i="4"/>
  <c r="I393" i="4"/>
  <c r="I329" i="4"/>
  <c r="I265" i="4"/>
  <c r="I201" i="4"/>
  <c r="I137" i="4"/>
  <c r="I73" i="4"/>
  <c r="I760" i="4"/>
  <c r="I696" i="4"/>
  <c r="I632" i="4"/>
  <c r="I568" i="4"/>
  <c r="I504" i="4"/>
  <c r="I440" i="4"/>
  <c r="I376" i="4"/>
  <c r="I312" i="4"/>
  <c r="I248" i="4"/>
  <c r="I184" i="4"/>
  <c r="I120" i="4"/>
  <c r="I56" i="4"/>
  <c r="I558" i="4"/>
  <c r="I494" i="4"/>
  <c r="I430" i="4"/>
  <c r="I366" i="4"/>
  <c r="I302" i="4"/>
  <c r="I238" i="4"/>
  <c r="I174" i="4"/>
  <c r="I110" i="4"/>
  <c r="L639" i="4"/>
  <c r="L18" i="4"/>
  <c r="L633" i="4"/>
  <c r="L17" i="4"/>
  <c r="L770" i="4"/>
  <c r="L627" i="4"/>
  <c r="L819" i="4"/>
  <c r="L130" i="4"/>
  <c r="L765" i="4"/>
  <c r="L611" i="4"/>
  <c r="L764" i="4"/>
  <c r="L602" i="4"/>
  <c r="L827" i="4"/>
  <c r="L34" i="4"/>
  <c r="L654" i="4"/>
  <c r="L630" i="4"/>
  <c r="L153" i="4"/>
  <c r="L32" i="4"/>
  <c r="L690" i="4"/>
  <c r="L587" i="4"/>
  <c r="L81" i="4"/>
  <c r="L7" i="4"/>
  <c r="L799" i="4"/>
  <c r="L735" i="4"/>
  <c r="L657" i="4"/>
  <c r="L234" i="4"/>
  <c r="L838" i="4"/>
  <c r="L774" i="4"/>
  <c r="L710" i="4"/>
  <c r="L393" i="4"/>
  <c r="L137" i="4"/>
  <c r="L528" i="4"/>
  <c r="L464" i="4"/>
  <c r="L400" i="4"/>
  <c r="L336" i="4"/>
  <c r="L208" i="4"/>
  <c r="L144" i="4"/>
  <c r="L599" i="4"/>
  <c r="L535" i="4"/>
  <c r="L471" i="4"/>
  <c r="L343" i="4"/>
  <c r="L279" i="4"/>
  <c r="L151" i="4"/>
  <c r="L542" i="4"/>
  <c r="L478" i="4"/>
  <c r="L414" i="4"/>
  <c r="L350" i="4"/>
  <c r="L286" i="4"/>
  <c r="L158" i="4"/>
  <c r="L94" i="4"/>
  <c r="L709" i="4"/>
  <c r="L645" i="4"/>
  <c r="L517" i="4"/>
  <c r="L325" i="4"/>
  <c r="L261" i="4"/>
  <c r="L197" i="4"/>
  <c r="L133" i="4"/>
  <c r="L69" i="4"/>
  <c r="L684" i="4"/>
  <c r="L620" i="4"/>
  <c r="L492" i="4"/>
  <c r="F783" i="4"/>
  <c r="F725" i="4"/>
  <c r="F795" i="4"/>
  <c r="F18" i="4"/>
  <c r="F425" i="4"/>
  <c r="F90" i="4"/>
  <c r="F844" i="4"/>
  <c r="F693" i="4"/>
  <c r="F63" i="4"/>
  <c r="F811" i="4"/>
  <c r="F605" i="4"/>
  <c r="F644" i="4"/>
  <c r="F580" i="4"/>
  <c r="F516" i="4"/>
  <c r="F452" i="4"/>
  <c r="F388" i="4"/>
  <c r="F324" i="4"/>
  <c r="F260" i="4"/>
  <c r="F196" i="4"/>
  <c r="F132" i="4"/>
  <c r="F619" i="4"/>
  <c r="F555" i="4"/>
  <c r="F491" i="4"/>
  <c r="F427" i="4"/>
  <c r="F363" i="4"/>
  <c r="F299" i="4"/>
  <c r="F235" i="4"/>
  <c r="F171" i="4"/>
  <c r="F107" i="4"/>
  <c r="F43" i="4"/>
  <c r="F692" i="4"/>
  <c r="F756" i="4"/>
  <c r="F113" i="4"/>
  <c r="F657" i="4"/>
  <c r="F322" i="4"/>
  <c r="F846" i="4"/>
  <c r="I535" i="4"/>
  <c r="I836" i="4"/>
  <c r="I757" i="4"/>
  <c r="I620" i="4"/>
  <c r="I277" i="4"/>
  <c r="I781" i="4"/>
  <c r="I487" i="4"/>
  <c r="I148" i="4"/>
  <c r="I794" i="4"/>
  <c r="I677" i="4"/>
  <c r="I508" i="4"/>
  <c r="I335" i="4"/>
  <c r="I165" i="4"/>
  <c r="I653" i="4"/>
  <c r="I484" i="4"/>
  <c r="I141" i="4"/>
  <c r="I828" i="4"/>
  <c r="I725" i="4"/>
  <c r="I565" i="4"/>
  <c r="I223" i="4"/>
  <c r="I763" i="4"/>
  <c r="I628" i="4"/>
  <c r="I455" i="4"/>
  <c r="I285" i="4"/>
  <c r="I116" i="4"/>
  <c r="I851" i="4"/>
  <c r="I748" i="4"/>
  <c r="I604" i="4"/>
  <c r="I431" i="4"/>
  <c r="I92" i="4"/>
  <c r="I667" i="4"/>
  <c r="I539" i="4"/>
  <c r="I475" i="4"/>
  <c r="I411" i="4"/>
  <c r="I347" i="4"/>
  <c r="I283" i="4"/>
  <c r="I219" i="4"/>
  <c r="I155" i="4"/>
  <c r="I91" i="4"/>
  <c r="I27" i="4"/>
  <c r="I658" i="4"/>
  <c r="I594" i="4"/>
  <c r="I530" i="4"/>
  <c r="I466" i="4"/>
  <c r="I338" i="4"/>
  <c r="I274" i="4"/>
  <c r="I210" i="4"/>
  <c r="I146" i="4"/>
  <c r="I82" i="4"/>
  <c r="I641" i="4"/>
  <c r="I577" i="4"/>
  <c r="I513" i="4"/>
  <c r="I449" i="4"/>
  <c r="I385" i="4"/>
  <c r="I321" i="4"/>
  <c r="I257" i="4"/>
  <c r="I193" i="4"/>
  <c r="I129" i="4"/>
  <c r="I65" i="4"/>
  <c r="I816" i="4"/>
  <c r="I752" i="4"/>
  <c r="I688" i="4"/>
  <c r="I624" i="4"/>
  <c r="I560" i="4"/>
  <c r="I496" i="4"/>
  <c r="I432" i="4"/>
  <c r="I368" i="4"/>
  <c r="I304" i="4"/>
  <c r="I240" i="4"/>
  <c r="I176" i="4"/>
  <c r="I112" i="4"/>
  <c r="I48" i="4"/>
  <c r="I17" i="4"/>
  <c r="I806" i="4"/>
  <c r="I742" i="4"/>
  <c r="I678" i="4"/>
  <c r="I614" i="4"/>
  <c r="I550" i="4"/>
  <c r="I486" i="4"/>
  <c r="I422" i="4"/>
  <c r="I358" i="4"/>
  <c r="I294" i="4"/>
  <c r="I230" i="4"/>
  <c r="I166" i="4"/>
  <c r="I102" i="4"/>
  <c r="I38" i="4"/>
  <c r="L673" i="4"/>
  <c r="L4" i="4"/>
  <c r="L757" i="4"/>
  <c r="L546" i="4"/>
  <c r="L756" i="4"/>
  <c r="L530" i="4"/>
  <c r="L805" i="4"/>
  <c r="L703" i="4"/>
  <c r="L857" i="4"/>
  <c r="L753" i="4"/>
  <c r="L482" i="4"/>
  <c r="L813" i="4"/>
  <c r="L773" i="4"/>
  <c r="L449" i="4"/>
  <c r="L193" i="4"/>
  <c r="L631" i="4"/>
  <c r="L410" i="4"/>
  <c r="L154" i="4"/>
  <c r="L617" i="4"/>
  <c r="L377" i="4"/>
  <c r="L121" i="4"/>
  <c r="L680" i="4"/>
  <c r="L561" i="4"/>
  <c r="L305" i="4"/>
  <c r="L49" i="4"/>
  <c r="L855" i="4"/>
  <c r="L791" i="4"/>
  <c r="L727" i="4"/>
  <c r="L647" i="4"/>
  <c r="L458" i="4"/>
  <c r="L202" i="4"/>
  <c r="L830" i="4"/>
  <c r="L766" i="4"/>
  <c r="L603" i="4"/>
  <c r="L361" i="4"/>
  <c r="L105" i="4"/>
  <c r="L584" i="4"/>
  <c r="L520" i="4"/>
  <c r="L456" i="4"/>
  <c r="L264" i="4"/>
  <c r="L200" i="4"/>
  <c r="L591" i="4"/>
  <c r="L527" i="4"/>
  <c r="L463" i="4"/>
  <c r="L399" i="4"/>
  <c r="L335" i="4"/>
  <c r="L271" i="4"/>
  <c r="L207" i="4"/>
  <c r="L143" i="4"/>
  <c r="L598" i="4"/>
  <c r="L534" i="4"/>
  <c r="L470" i="4"/>
  <c r="L406" i="4"/>
  <c r="L342" i="4"/>
  <c r="L278" i="4"/>
  <c r="L214" i="4"/>
  <c r="L150" i="4"/>
  <c r="L86" i="4"/>
  <c r="L701" i="4"/>
  <c r="L445" i="4"/>
  <c r="L836" i="4"/>
  <c r="L722" i="4"/>
  <c r="L835" i="4"/>
  <c r="L732" i="4"/>
  <c r="L290" i="4"/>
  <c r="L834" i="4"/>
  <c r="L731" i="4"/>
  <c r="L274" i="4"/>
  <c r="L27" i="4"/>
  <c r="L780" i="4"/>
  <c r="L665" i="4"/>
  <c r="L829" i="4"/>
  <c r="L729" i="4"/>
  <c r="L242" i="4"/>
  <c r="L828" i="4"/>
  <c r="L725" i="4"/>
  <c r="L226" i="4"/>
  <c r="L675" i="4"/>
  <c r="L851" i="4"/>
  <c r="L748" i="4"/>
  <c r="L450" i="4"/>
  <c r="L619" i="4"/>
  <c r="L385" i="4"/>
  <c r="L595" i="4"/>
  <c r="L346" i="4"/>
  <c r="L90" i="4"/>
  <c r="L569" i="4"/>
  <c r="L313" i="4"/>
  <c r="L57" i="4"/>
  <c r="L8" i="4"/>
  <c r="L800" i="4"/>
  <c r="L736" i="4"/>
  <c r="L658" i="4"/>
  <c r="L497" i="4"/>
  <c r="L241" i="4"/>
  <c r="L839" i="4"/>
  <c r="L775" i="4"/>
  <c r="L711" i="4"/>
  <c r="L625" i="4"/>
  <c r="L394" i="4"/>
  <c r="L138" i="4"/>
  <c r="L22" i="4"/>
  <c r="L814" i="4"/>
  <c r="L750" i="4"/>
  <c r="L553" i="4"/>
  <c r="L297" i="4"/>
  <c r="L41" i="4"/>
  <c r="L568" i="4"/>
  <c r="L504" i="4"/>
  <c r="L312" i="4"/>
  <c r="L248" i="4"/>
  <c r="L184" i="4"/>
  <c r="L120" i="4"/>
  <c r="L56" i="4"/>
  <c r="L575" i="4"/>
  <c r="L511" i="4"/>
  <c r="L447" i="4"/>
  <c r="L383" i="4"/>
  <c r="L319" i="4"/>
  <c r="L191" i="4"/>
  <c r="L127" i="4"/>
  <c r="L63" i="4"/>
  <c r="L582" i="4"/>
  <c r="L518" i="4"/>
  <c r="L390" i="4"/>
  <c r="L326" i="4"/>
  <c r="L262" i="4"/>
  <c r="L198" i="4"/>
  <c r="L134" i="4"/>
  <c r="L685" i="4"/>
  <c r="L621" i="4"/>
  <c r="L557" i="4"/>
  <c r="L493" i="4"/>
  <c r="L429" i="4"/>
  <c r="L365" i="4"/>
  <c r="L596" i="4"/>
  <c r="L532" i="4"/>
  <c r="L468" i="4"/>
  <c r="L396" i="4"/>
  <c r="L427" i="4"/>
  <c r="L227" i="4"/>
  <c r="L163" i="4"/>
  <c r="L35" i="4"/>
  <c r="I850" i="4"/>
  <c r="L475" i="4"/>
  <c r="L364" i="4"/>
  <c r="L300" i="4"/>
  <c r="L236" i="4"/>
  <c r="L172" i="4"/>
  <c r="L573" i="4"/>
  <c r="L509" i="4"/>
  <c r="L164" i="4"/>
  <c r="L381" i="4"/>
  <c r="L317" i="4"/>
  <c r="L253" i="4"/>
  <c r="L189" i="4"/>
  <c r="L125" i="4"/>
  <c r="L61" i="4"/>
  <c r="L676" i="4"/>
  <c r="L612" i="4"/>
  <c r="L548" i="4"/>
  <c r="L484" i="4"/>
  <c r="L420" i="4"/>
  <c r="L356" i="4"/>
  <c r="L292" i="4"/>
  <c r="L228" i="4"/>
  <c r="F7" i="4"/>
  <c r="F727" i="4"/>
  <c r="F757" i="4"/>
  <c r="F546" i="4"/>
  <c r="F792" i="4"/>
  <c r="F835" i="4"/>
  <c r="F57" i="4"/>
  <c r="F813" i="4"/>
  <c r="F234" i="4"/>
  <c r="F362" i="4"/>
  <c r="F79" i="4"/>
  <c r="F851" i="4"/>
  <c r="F597" i="4"/>
  <c r="F533" i="4"/>
  <c r="F636" i="4"/>
  <c r="F572" i="4"/>
  <c r="F508" i="4"/>
  <c r="F444" i="4"/>
  <c r="F380" i="4"/>
  <c r="F316" i="4"/>
  <c r="F252" i="4"/>
  <c r="F188" i="4"/>
  <c r="F124" i="4"/>
  <c r="F60" i="4"/>
  <c r="F675" i="4"/>
  <c r="F611" i="4"/>
  <c r="F547" i="4"/>
  <c r="F483" i="4"/>
  <c r="F419" i="4"/>
  <c r="F355" i="4"/>
  <c r="F291" i="4"/>
  <c r="F227" i="4"/>
  <c r="F163" i="4"/>
  <c r="F99" i="4"/>
  <c r="F35" i="4"/>
  <c r="F80" i="4"/>
  <c r="F700" i="4"/>
  <c r="F764" i="4"/>
  <c r="F709" i="4"/>
  <c r="I45" i="4"/>
  <c r="I847" i="4"/>
  <c r="I746" i="4"/>
  <c r="I597" i="4"/>
  <c r="I428" i="4"/>
  <c r="I255" i="4"/>
  <c r="I85" i="4"/>
  <c r="I18" i="4"/>
  <c r="I770" i="4"/>
  <c r="I468" i="4"/>
  <c r="I295" i="4"/>
  <c r="I780" i="4"/>
  <c r="I655" i="4"/>
  <c r="I485" i="4"/>
  <c r="I316" i="4"/>
  <c r="I143" i="4"/>
  <c r="I15" i="4"/>
  <c r="I765" i="4"/>
  <c r="I461" i="4"/>
  <c r="I292" i="4"/>
  <c r="I815" i="4"/>
  <c r="I709" i="4"/>
  <c r="I543" i="4"/>
  <c r="I373" i="4"/>
  <c r="I204" i="4"/>
  <c r="I31" i="4"/>
  <c r="I749" i="4"/>
  <c r="I605" i="4"/>
  <c r="I263" i="4"/>
  <c r="I93" i="4"/>
  <c r="I837" i="4"/>
  <c r="I735" i="4"/>
  <c r="I581" i="4"/>
  <c r="I412" i="4"/>
  <c r="I239" i="4"/>
  <c r="I69" i="4"/>
  <c r="I723" i="4"/>
  <c r="I659" i="4"/>
  <c r="I595" i="4"/>
  <c r="I531" i="4"/>
  <c r="I467" i="4"/>
  <c r="I403" i="4"/>
  <c r="I339" i="4"/>
  <c r="I275" i="4"/>
  <c r="I211" i="4"/>
  <c r="I147" i="4"/>
  <c r="I83" i="4"/>
  <c r="I586" i="4"/>
  <c r="I522" i="4"/>
  <c r="I458" i="4"/>
  <c r="I394" i="4"/>
  <c r="I266" i="4"/>
  <c r="I202" i="4"/>
  <c r="I138" i="4"/>
  <c r="I633" i="4"/>
  <c r="I569" i="4"/>
  <c r="I505" i="4"/>
  <c r="I441" i="4"/>
  <c r="I377" i="4"/>
  <c r="I313" i="4"/>
  <c r="I249" i="4"/>
  <c r="I185" i="4"/>
  <c r="I121" i="4"/>
  <c r="I57" i="4"/>
  <c r="I19" i="4"/>
  <c r="I808" i="4"/>
  <c r="I744" i="4"/>
  <c r="I680" i="4"/>
  <c r="I616" i="4"/>
  <c r="I552" i="4"/>
  <c r="I488" i="4"/>
  <c r="I424" i="4"/>
  <c r="I360" i="4"/>
  <c r="I296" i="4"/>
  <c r="I232" i="4"/>
  <c r="I168" i="4"/>
  <c r="I104" i="4"/>
  <c r="I40" i="4"/>
  <c r="I9" i="4"/>
  <c r="I798" i="4"/>
  <c r="I734" i="4"/>
  <c r="I670" i="4"/>
  <c r="I606" i="4"/>
  <c r="I542" i="4"/>
  <c r="I478" i="4"/>
  <c r="I414" i="4"/>
  <c r="I350" i="4"/>
  <c r="I286" i="4"/>
  <c r="I222" i="4"/>
  <c r="I158" i="4"/>
  <c r="I94" i="4"/>
  <c r="I30" i="4"/>
  <c r="L706" i="4"/>
  <c r="L691" i="4"/>
  <c r="L825" i="4"/>
  <c r="L849" i="4"/>
  <c r="L746" i="4"/>
  <c r="L418" i="4"/>
  <c r="L845" i="4"/>
  <c r="L745" i="4"/>
  <c r="L402" i="4"/>
  <c r="L794" i="4"/>
  <c r="L683" i="4"/>
  <c r="L843" i="4"/>
  <c r="L740" i="4"/>
  <c r="L842" i="4"/>
  <c r="L739" i="4"/>
  <c r="L354" i="4"/>
  <c r="L802" i="4"/>
  <c r="L695" i="4"/>
  <c r="L9" i="4"/>
  <c r="L762" i="4"/>
  <c r="L578" i="4"/>
  <c r="L632" i="4"/>
  <c r="L417" i="4"/>
  <c r="L161" i="4"/>
  <c r="L618" i="4"/>
  <c r="L404" i="4"/>
  <c r="L332" i="4"/>
  <c r="L268" i="4"/>
  <c r="L204" i="4"/>
  <c r="L140" i="4"/>
  <c r="L363" i="4"/>
  <c r="L299" i="4"/>
  <c r="L235" i="4"/>
  <c r="L171" i="4"/>
  <c r="L107" i="4"/>
  <c r="L43" i="4"/>
  <c r="I759" i="4"/>
  <c r="L411" i="4"/>
  <c r="L347" i="4"/>
  <c r="L283" i="4"/>
  <c r="L219" i="4"/>
  <c r="L155" i="4"/>
  <c r="L91" i="4"/>
  <c r="D2" i="4"/>
  <c r="K2" i="4"/>
  <c r="J2" i="4"/>
  <c r="G2" i="4"/>
  <c r="I2" i="4" s="1"/>
  <c r="E2" i="4"/>
  <c r="L108" i="4"/>
  <c r="L44" i="4"/>
  <c r="L531" i="4"/>
  <c r="L467" i="4"/>
  <c r="L100" i="4"/>
  <c r="L36" i="4"/>
  <c r="L378" i="4"/>
  <c r="L122" i="4"/>
  <c r="L594" i="4"/>
  <c r="L345" i="4"/>
  <c r="L89" i="4"/>
  <c r="L16" i="4"/>
  <c r="L808" i="4"/>
  <c r="L744" i="4"/>
  <c r="L670" i="4"/>
  <c r="L529" i="4"/>
  <c r="L273" i="4"/>
  <c r="L847" i="4"/>
  <c r="L783" i="4"/>
  <c r="L719" i="4"/>
  <c r="L635" i="4"/>
  <c r="L426" i="4"/>
  <c r="L170" i="4"/>
  <c r="L30" i="4"/>
  <c r="L822" i="4"/>
  <c r="L758" i="4"/>
  <c r="L688" i="4"/>
  <c r="L585" i="4"/>
  <c r="L329" i="4"/>
  <c r="L73" i="4"/>
  <c r="L576" i="4"/>
  <c r="L512" i="4"/>
  <c r="L448" i="4"/>
  <c r="L384" i="4"/>
  <c r="L320" i="4"/>
  <c r="L256" i="4"/>
  <c r="L192" i="4"/>
  <c r="L128" i="4"/>
  <c r="L64" i="4"/>
  <c r="L583" i="4"/>
  <c r="L519" i="4"/>
  <c r="L455" i="4"/>
  <c r="L391" i="4"/>
  <c r="L327" i="4"/>
  <c r="L263" i="4"/>
  <c r="L199" i="4"/>
  <c r="L135" i="4"/>
  <c r="L71" i="4"/>
  <c r="L590" i="4"/>
  <c r="L526" i="4"/>
  <c r="L462" i="4"/>
  <c r="L398" i="4"/>
  <c r="L334" i="4"/>
  <c r="L270" i="4"/>
  <c r="L206" i="4"/>
  <c r="L142" i="4"/>
  <c r="L78" i="4"/>
  <c r="L693" i="4"/>
  <c r="L629" i="4"/>
  <c r="L565" i="4"/>
  <c r="L501" i="4"/>
  <c r="L437" i="4"/>
  <c r="L373" i="4"/>
  <c r="L309" i="4"/>
  <c r="L245" i="4"/>
  <c r="L181" i="4"/>
  <c r="L117" i="4"/>
  <c r="L53" i="4"/>
  <c r="L668" i="4"/>
  <c r="L604" i="4"/>
  <c r="L540" i="4"/>
  <c r="L476" i="4"/>
  <c r="L412" i="4"/>
  <c r="L348" i="4"/>
  <c r="L284" i="4"/>
  <c r="L220" i="4"/>
  <c r="L156" i="4"/>
  <c r="L92" i="4"/>
  <c r="L579" i="4"/>
  <c r="L515" i="4"/>
  <c r="L451" i="4"/>
  <c r="L387" i="4"/>
  <c r="L323" i="4"/>
  <c r="L259" i="4"/>
  <c r="L195" i="4"/>
  <c r="L131" i="4"/>
  <c r="L67" i="4"/>
  <c r="I260" i="4"/>
  <c r="I109" i="4"/>
  <c r="I132" i="4"/>
  <c r="I797" i="4"/>
  <c r="L340" i="4"/>
  <c r="L276" i="4"/>
  <c r="L212" i="4"/>
  <c r="L148" i="4"/>
  <c r="L84" i="4"/>
  <c r="L571" i="4"/>
  <c r="L507" i="4"/>
  <c r="L443" i="4"/>
  <c r="L379" i="4"/>
  <c r="L315" i="4"/>
  <c r="L251" i="4"/>
  <c r="L187" i="4"/>
  <c r="L123" i="4"/>
  <c r="L59" i="4"/>
  <c r="I429" i="4"/>
  <c r="I279" i="4"/>
  <c r="I301" i="4"/>
  <c r="I151" i="4"/>
  <c r="L76" i="4"/>
  <c r="L563" i="4"/>
  <c r="L499" i="4"/>
  <c r="L435" i="4"/>
  <c r="L371" i="4"/>
  <c r="L307" i="4"/>
  <c r="L243" i="4"/>
  <c r="L179" i="4"/>
  <c r="L115" i="4"/>
  <c r="L51" i="4"/>
  <c r="I599" i="4"/>
  <c r="I452" i="4"/>
  <c r="I471" i="4"/>
  <c r="I324" i="4"/>
  <c r="I516" i="4"/>
  <c r="I747" i="4"/>
  <c r="I621" i="4"/>
  <c r="I644" i="4"/>
  <c r="I493" i="4"/>
  <c r="I685" i="4"/>
  <c r="I365" i="4"/>
  <c r="I23" i="4"/>
  <c r="I772" i="4"/>
  <c r="I663" i="4"/>
  <c r="I703" i="4"/>
  <c r="I8" i="4"/>
  <c r="I811" i="4"/>
  <c r="I3" i="4"/>
  <c r="I196" i="4"/>
  <c r="I786" i="4"/>
  <c r="L403" i="4"/>
  <c r="L339" i="4"/>
  <c r="L275" i="4"/>
  <c r="L211" i="4"/>
  <c r="L147" i="4"/>
  <c r="L83" i="4"/>
  <c r="L523" i="4"/>
  <c r="L459" i="4"/>
  <c r="L395" i="4"/>
  <c r="L331" i="4"/>
  <c r="L267" i="4"/>
  <c r="L203" i="4"/>
  <c r="L139" i="4"/>
  <c r="L75" i="4"/>
  <c r="I87" i="4"/>
  <c r="I173" i="4"/>
  <c r="I343" i="4"/>
  <c r="L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tc={A48B7325-250D-43E2-A14A-7CCDF08BC7A2}</author>
    <author>tc={B8269A9A-B13E-4EB6-8A07-E3D70005C7B7}</author>
    <author>tc={97CEA5EF-287B-40CE-98A1-E0504F7FC5F8}</author>
    <author>tc={C1AD5F49-68CC-A142-9B13-D32559990417}</author>
    <author>tc={A041ACCC-14BC-FC4E-9CE1-AD88D4A8DCAB}</author>
    <author>tc={378BA444-3FC4-264B-AA5D-0B2A590551C4}</author>
    <author>tc={5A0CDC2C-64AE-BF41-8A4E-E7D7613303B9}</author>
  </authors>
  <commentList>
    <comment ref="A1" authorId="0" shapeId="0" xr:uid="{A48B7325-250D-43E2-A14A-7CCDF08BC7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</t>
      </text>
    </comment>
    <comment ref="M1" authorId="1" shapeId="0" xr:uid="{B8269A9A-B13E-4EB6-8A07-E3D70005C7B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</t>
      </text>
    </comment>
    <comment ref="N1" authorId="2" shapeId="0" xr:uid="{97CEA5EF-287B-40CE-98A1-E0504F7FC5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Boolean</t>
      </text>
    </comment>
    <comment ref="B14" authorId="3" shapeId="0" xr:uid="{C1AD5F49-68CC-A142-9B13-D3255999041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dorm is weird, it has a 25 and a 25a. I just reported the room 25 sq. ft. only</t>
      </text>
    </comment>
    <comment ref="B439" authorId="4" shapeId="0" xr:uid="{A041ACCC-14BC-FC4E-9CE1-AD88D4A8DCAB}">
      <text>
        <t>[Threaded comment]
Your version of Excel allows you to read this threaded comment; however, any edits to it will get removed if the file is opened in a newer version of Excel. Learn more: https://go.microsoft.com/fwlink/?linkid=870924
Comment:
    A weird dorm. Floorplan says this room is 27 sqft. I assume it is a typo and it is actually 127 ft.</t>
      </text>
    </comment>
    <comment ref="B682" authorId="5" shapeId="0" xr:uid="{378BA444-3FC4-264B-AA5D-0B2A590551C4}">
      <text>
        <t>[Threaded comment]
Your version of Excel allows you to read this threaded comment; however, any edits to it will get removed if the file is opened in a newer version of Excel. Learn more: https://go.microsoft.com/fwlink/?linkid=870924
Comment:
    Smiley A5 does not show up on the floorplan.
Reply:
    Just spoke with Scacco, he said 261</t>
      </text>
    </comment>
    <comment ref="B794" authorId="6" shapeId="0" xr:uid="{5A0CDC2C-64AE-BF41-8A4E-E7D76133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Walker - 731 does not show up on the floorplan, but I assume it is the room that is listed as 142 sqft on the floorplan.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<sst xmlns="http://schemas.openxmlformats.org/spreadsheetml/2006/main" count="11897" uniqueCount="1348">
  <si>
    <t>Individual Selection Time</t>
  </si>
  <si>
    <t>Group Selection Time</t>
  </si>
  <si>
    <t>Selection</t>
  </si>
  <si>
    <t>Mudd - 66</t>
  </si>
  <si>
    <t>Clark III - 224</t>
  </si>
  <si>
    <t>Smiley - 218</t>
  </si>
  <si>
    <t>Clark I - CL-I 116 - 116B</t>
  </si>
  <si>
    <t>Harwood - 106</t>
  </si>
  <si>
    <t>Clark III - 304</t>
  </si>
  <si>
    <t>Dialynas - DLNS 230 - 234</t>
  </si>
  <si>
    <t>Sontag - SNTG 130 - 132</t>
  </si>
  <si>
    <t>Sontag - SNTG 260 - 261</t>
  </si>
  <si>
    <t>Clark III - 315</t>
  </si>
  <si>
    <t>Dialynas - DLNS 320 - 323</t>
  </si>
  <si>
    <t>Smiley - 215</t>
  </si>
  <si>
    <t>Dialynas - DLNS 350 - 353</t>
  </si>
  <si>
    <t>Walker - WALK 738-739 - 738</t>
  </si>
  <si>
    <t>Dialynas - DLNS 220 - 224</t>
  </si>
  <si>
    <t>Clark I - CL-I 130 - 130B</t>
  </si>
  <si>
    <t>Walker - WALK 648-649 - 649</t>
  </si>
  <si>
    <t>Smiley - 211</t>
  </si>
  <si>
    <t>Clark III - 105</t>
  </si>
  <si>
    <t>Clark III - 103</t>
  </si>
  <si>
    <t>Sontag - SNTG 150 - 152</t>
  </si>
  <si>
    <t>Clark III - 101</t>
  </si>
  <si>
    <t>Harwood - 230</t>
  </si>
  <si>
    <t>Harwood - HAR 301-302 - 301</t>
  </si>
  <si>
    <t>Sontag - SNTG 320 - 324</t>
  </si>
  <si>
    <t>Harwood - 231</t>
  </si>
  <si>
    <t>Dialynas - DLNS 240 - 242</t>
  </si>
  <si>
    <t>Harwood - 238</t>
  </si>
  <si>
    <t>Dialynas - DLNS 130 - 131</t>
  </si>
  <si>
    <t>Blaisdell - 10</t>
  </si>
  <si>
    <t>Clark V - CL-V S6 - S06B</t>
  </si>
  <si>
    <t>Clark I - CL-I 200 - 200A</t>
  </si>
  <si>
    <t>Sontag - SNTG 110 - 111</t>
  </si>
  <si>
    <t>Clark I - CL-I 203 - 203C</t>
  </si>
  <si>
    <t>Lawry - LWRY B2 - B26</t>
  </si>
  <si>
    <t>Blaisdell - 17</t>
  </si>
  <si>
    <t>Sontag - SNTG 210 - 213</t>
  </si>
  <si>
    <t>Clark V - CL-V 463-466 - 464</t>
  </si>
  <si>
    <t>Harwood - 168</t>
  </si>
  <si>
    <t>Harwood - 185</t>
  </si>
  <si>
    <t>Harwood - HAR 301-302 - 302</t>
  </si>
  <si>
    <t>Clark I - CL-I 121 - 121A</t>
  </si>
  <si>
    <t>Clark I - CL-I 122 - 122B</t>
  </si>
  <si>
    <t>Clark V - CL-V S21 - S21B</t>
  </si>
  <si>
    <t>Harwood - 267</t>
  </si>
  <si>
    <t>Clark I - CL-I 119 - 119B</t>
  </si>
  <si>
    <t>Clark I - CL-I 218 - 218B</t>
  </si>
  <si>
    <t>Harwood - 283</t>
  </si>
  <si>
    <t>Harwood - HAR 342 344 345 347 - 347</t>
  </si>
  <si>
    <t>Clark V - CL-V 455-458 - 457</t>
  </si>
  <si>
    <t>Clark I - CL-I 208 - 208A</t>
  </si>
  <si>
    <t>Lawry - LWRY C1 - C15</t>
  </si>
  <si>
    <t>Harwood - FS HAR 378-379 - 378</t>
  </si>
  <si>
    <t>Clark V - CL-V 401-404 - 402</t>
  </si>
  <si>
    <t>Gibson - 401</t>
  </si>
  <si>
    <t>Clark V - CL-V 467-470 - 468</t>
  </si>
  <si>
    <t>Norton - 12</t>
  </si>
  <si>
    <t>Clark III - 225</t>
  </si>
  <si>
    <t>Sontag - SNTG 330 - 335</t>
  </si>
  <si>
    <t>Sontag - SNTG 260 - 264</t>
  </si>
  <si>
    <t>Walker - WALK 634 635 656 - 656</t>
  </si>
  <si>
    <t>Smiley - 203</t>
  </si>
  <si>
    <t>Clark I - CL-I 110 - 110A</t>
  </si>
  <si>
    <t>Clark I - CL-I 209 - 209A</t>
  </si>
  <si>
    <t>Clark I - CL-I 117 - 117B</t>
  </si>
  <si>
    <t>Harwood - 164</t>
  </si>
  <si>
    <t>Walker - WALK 646 647 653 - 647</t>
  </si>
  <si>
    <t>Lawry - LWRY B3 - B37</t>
  </si>
  <si>
    <t>Dialynas - DLNS 100 - 103</t>
  </si>
  <si>
    <t>Clark V - CL-V S1 - S01B</t>
  </si>
  <si>
    <t>Clark III - 116</t>
  </si>
  <si>
    <t>Clark I - CL-I 213 - 213B</t>
  </si>
  <si>
    <t>Dialynas - DLNS 200 - 204</t>
  </si>
  <si>
    <t>Clark III - 316</t>
  </si>
  <si>
    <t>Clark III - 217</t>
  </si>
  <si>
    <t>Clark V - CL-V 405-408 - 405</t>
  </si>
  <si>
    <t>Harwood - 170</t>
  </si>
  <si>
    <t>Sontag - SNTG 230 - 236</t>
  </si>
  <si>
    <t>Lawry - LWRY C2 - C21</t>
  </si>
  <si>
    <t>Mudd - MUDD 310-314 - 312</t>
  </si>
  <si>
    <t>Lawry - LWRY B3 - B32</t>
  </si>
  <si>
    <t>Harwood - 275</t>
  </si>
  <si>
    <t>Harwood - HAR 319 321 323 325 - 321</t>
  </si>
  <si>
    <t>Sontag - SNTG 320 - 321</t>
  </si>
  <si>
    <t>Clark I - CL-I 212 - 212B</t>
  </si>
  <si>
    <t>Harwood - HAR 226 228 - 226</t>
  </si>
  <si>
    <t>Clark I - CL-I 202 - 202B</t>
  </si>
  <si>
    <t>Mudd - MUDD 310-314 - 314</t>
  </si>
  <si>
    <t>Norton - 30</t>
  </si>
  <si>
    <t>Clark III - 306</t>
  </si>
  <si>
    <t>Smiley - A5</t>
  </si>
  <si>
    <t>Clark III - 106</t>
  </si>
  <si>
    <t>Sontag - SNTG 120 - 122</t>
  </si>
  <si>
    <t>Gibson - 403</t>
  </si>
  <si>
    <t>Harwood - 234</t>
  </si>
  <si>
    <t>Walker - FS WALK 601 602 - 602</t>
  </si>
  <si>
    <t>Walker - WALK 742-743 - 742</t>
  </si>
  <si>
    <t>Mudd - 61</t>
  </si>
  <si>
    <t>Lawry - LWRY A2 - A22</t>
  </si>
  <si>
    <t>Dialynas - DLNS 340 - 342</t>
  </si>
  <si>
    <t>Dialynas - DLNS 130 - 133</t>
  </si>
  <si>
    <t>Dialynas - DLNS 110 - 113</t>
  </si>
  <si>
    <t>Sontag - SNTG 110 - 112</t>
  </si>
  <si>
    <t>Gibson - 410</t>
  </si>
  <si>
    <t>Lawry - LWRY C2 - C27</t>
  </si>
  <si>
    <t>Lawry - LWRY A1 - A18</t>
  </si>
  <si>
    <t>Clark I - CL-I 107 - 107B</t>
  </si>
  <si>
    <t>Clark V - CL-V 455-458 - 456</t>
  </si>
  <si>
    <t>Smiley - 104</t>
  </si>
  <si>
    <t>Harwood - HAR 319 321 323 325 - 325</t>
  </si>
  <si>
    <t>Clark V - CL-V 405-408 - 408</t>
  </si>
  <si>
    <t>Clark III - 227</t>
  </si>
  <si>
    <t>Clark V - CL-V 451-454 - 452</t>
  </si>
  <si>
    <t>Clark I - CL-I 124 - 124A</t>
  </si>
  <si>
    <t>Smiley - 216</t>
  </si>
  <si>
    <t>Sontag - SNTG 250 - 253</t>
  </si>
  <si>
    <t>Sontag - SNTG 310 - 311</t>
  </si>
  <si>
    <t>Clark I - CL-I 219 - 219A</t>
  </si>
  <si>
    <t>Blaisdell - 8</t>
  </si>
  <si>
    <t>Harwood - FS HAR 11 13 15 17 - 13</t>
  </si>
  <si>
    <t>Clark V - CL-V 435-436 - 435</t>
  </si>
  <si>
    <t>Clark I - CL-I 212 - 212A</t>
  </si>
  <si>
    <t>Clark I - CL-I 104 - 104B</t>
  </si>
  <si>
    <t>Harwood - 245</t>
  </si>
  <si>
    <t>Clark I - CL-I 100 - 100A</t>
  </si>
  <si>
    <t>Walker - WALK 748-749 - 748</t>
  </si>
  <si>
    <t>Clark I - CL-I 106 - 106A</t>
  </si>
  <si>
    <t>Clark III - 112</t>
  </si>
  <si>
    <t>Walker - WALK 738-739 - 739</t>
  </si>
  <si>
    <t>Dialynas - DLNS 280 - 282</t>
  </si>
  <si>
    <t>Clark V - CL-V 417-420 - 417</t>
  </si>
  <si>
    <t>Clark III - 218</t>
  </si>
  <si>
    <t>Lawry - LWRY A2 - A24</t>
  </si>
  <si>
    <t>Harwood - 211</t>
  </si>
  <si>
    <t>Clark III - 222</t>
  </si>
  <si>
    <t>Walker - WALK 638 639 655 - 655</t>
  </si>
  <si>
    <t>Walker - WALK 734-735 - 734</t>
  </si>
  <si>
    <t>Harwood - 109</t>
  </si>
  <si>
    <t>Lawry - LWRY C2 - C24</t>
  </si>
  <si>
    <t>Clark I - CL-I 127 - 127A</t>
  </si>
  <si>
    <t>Clark I - CL-I 220 - 220B</t>
  </si>
  <si>
    <t>Harwood - 249</t>
  </si>
  <si>
    <t>Clark V - CL-V 435-436 - 436</t>
  </si>
  <si>
    <t>Harwood - 181</t>
  </si>
  <si>
    <t>Clark I - CL-I 214 - 214B</t>
  </si>
  <si>
    <t>Clark III - 114</t>
  </si>
  <si>
    <t>Smiley - 113</t>
  </si>
  <si>
    <t>Harwood - 274</t>
  </si>
  <si>
    <t>Clark I - CL-I 118 - 118A</t>
  </si>
  <si>
    <t>Clark I - CL-I 133 - 133A</t>
  </si>
  <si>
    <t>Harwood - 214</t>
  </si>
  <si>
    <t>Dialynas - DLNS 130 - 134</t>
  </si>
  <si>
    <t>Lawry - LWRY B3 - B33</t>
  </si>
  <si>
    <t>Walker - 704</t>
  </si>
  <si>
    <t>Harwood - 87</t>
  </si>
  <si>
    <t>Mudd - MUDD 310-314 - 311</t>
  </si>
  <si>
    <t>Lawry - LWRY C1 - C17</t>
  </si>
  <si>
    <t>Mudd - 65</t>
  </si>
  <si>
    <t>Walker - WALK 628-629 - 628</t>
  </si>
  <si>
    <t>Clark III - 319</t>
  </si>
  <si>
    <t>Walker - WALK 640-641 - 641</t>
  </si>
  <si>
    <t>Dialynas - DLNS 330 - 332</t>
  </si>
  <si>
    <t>Clark III - 216</t>
  </si>
  <si>
    <t>Clark I - CL-I 115 - 115B</t>
  </si>
  <si>
    <t>Clark I - CL-I 105 - 105A</t>
  </si>
  <si>
    <t>Sontag - SNTG 220 - 221</t>
  </si>
  <si>
    <t>Gibson - 408</t>
  </si>
  <si>
    <t>Clark III - 117</t>
  </si>
  <si>
    <t>Gibson - 404</t>
  </si>
  <si>
    <t>Clark I - CL-I 200 - 200B</t>
  </si>
  <si>
    <t>Harwood - HAR 226 228 - 228</t>
  </si>
  <si>
    <t>Mudd - 64</t>
  </si>
  <si>
    <t>Clark III - 303</t>
  </si>
  <si>
    <t>Smiley - 112</t>
  </si>
  <si>
    <t>Blaisdell - 25</t>
  </si>
  <si>
    <t>Norton - 25</t>
  </si>
  <si>
    <t>Clark III - 318</t>
  </si>
  <si>
    <t>Clark I - CL-I 101 - 101A</t>
  </si>
  <si>
    <t>Sontag - SNTG 140 - 141</t>
  </si>
  <si>
    <t>Clark I - CL-I 134 - 134A</t>
  </si>
  <si>
    <t>Norton - 3</t>
  </si>
  <si>
    <t>Dialynas - DLNS 350 - 351</t>
  </si>
  <si>
    <t>Dialynas - DLNS 250 - 254</t>
  </si>
  <si>
    <t>Dialynas - DLNS 110 - 116</t>
  </si>
  <si>
    <t>Clark III - 123</t>
  </si>
  <si>
    <t>Mudd - MUDD 310-314 - 313</t>
  </si>
  <si>
    <t>Harwood - 263</t>
  </si>
  <si>
    <t>Walker - WALK 624-625 - 624</t>
  </si>
  <si>
    <t>Clark V - CL-V 409-412 - 412</t>
  </si>
  <si>
    <t>Harwood - HAR 342 344 345 347 - 344</t>
  </si>
  <si>
    <t>Walker - 714</t>
  </si>
  <si>
    <t>Norton - 24</t>
  </si>
  <si>
    <t>Clark III - 311</t>
  </si>
  <si>
    <t>Clark V - CL-V 421-424 - 421</t>
  </si>
  <si>
    <t>Harwood - 178</t>
  </si>
  <si>
    <t>Clark V - CL-V S24 - S24A</t>
  </si>
  <si>
    <t>Harwood - 79</t>
  </si>
  <si>
    <t>Dialynas - DLNS 250 - 252</t>
  </si>
  <si>
    <t>Sontag - SNTG 260 - 265</t>
  </si>
  <si>
    <t>Sontag - SNTG 240 - 243</t>
  </si>
  <si>
    <t>Lawry - LWRY A1 - A15</t>
  </si>
  <si>
    <t>Walker - WALK 736-737 - 736</t>
  </si>
  <si>
    <t>Walker - WALK 632-633 - 632</t>
  </si>
  <si>
    <t>Clark I - 221</t>
  </si>
  <si>
    <t>Clark III - 309</t>
  </si>
  <si>
    <t>Clark V - CL-V 439-440 - 439</t>
  </si>
  <si>
    <t>Harwood - 279</t>
  </si>
  <si>
    <t>Blaisdell - BLSD 341-343 - 343</t>
  </si>
  <si>
    <t>Walker - WALK 746-747 - 747</t>
  </si>
  <si>
    <t>Harwood - 278</t>
  </si>
  <si>
    <t>Smiley - 107</t>
  </si>
  <si>
    <t>Clark I - CL-I 126 - 126A</t>
  </si>
  <si>
    <t>Clark I - CL-I 206 - 206B</t>
  </si>
  <si>
    <t>Clark I - CL-I 205 - 205A</t>
  </si>
  <si>
    <t>Gibson - 418</t>
  </si>
  <si>
    <t>Sontag - SNTG 230 - 235</t>
  </si>
  <si>
    <t>Clark V - CL-V 467-470 - 469</t>
  </si>
  <si>
    <t>Clark V - CL-V S6 - S06A</t>
  </si>
  <si>
    <t>Harwood - 84</t>
  </si>
  <si>
    <t>Smiley - 210</t>
  </si>
  <si>
    <t>Clark III - 102</t>
  </si>
  <si>
    <t>Smiley - 111</t>
  </si>
  <si>
    <t>Harwood - 102</t>
  </si>
  <si>
    <t>Clark III - 120</t>
  </si>
  <si>
    <t>Sontag - SNTG 150 - 154</t>
  </si>
  <si>
    <t>Clark I - CL-I 116 - 116A</t>
  </si>
  <si>
    <t>Lawry - LWRY A2 - A26</t>
  </si>
  <si>
    <t>Clark I - CL-I 207 - 207B</t>
  </si>
  <si>
    <t>Harwood - 201</t>
  </si>
  <si>
    <t>Gibson - 416</t>
  </si>
  <si>
    <t>Clark V - CL-V 467-470 - 467</t>
  </si>
  <si>
    <t>Harwood - 270</t>
  </si>
  <si>
    <t>Lawry - LWRY B2 - B23</t>
  </si>
  <si>
    <t>Clark I - CL-I 203 - 203A</t>
  </si>
  <si>
    <t>Smiley - 103</t>
  </si>
  <si>
    <t>Clark V - CL-V S1 - S01A</t>
  </si>
  <si>
    <t>Smiley - 219</t>
  </si>
  <si>
    <t>Dialynas - DLNS 220 - 222</t>
  </si>
  <si>
    <t>Clark I - CL-I 201 - 201A</t>
  </si>
  <si>
    <t>Clark V - CL-V 471-474 - 471</t>
  </si>
  <si>
    <t>Dialynas - DLNS 310 - 312</t>
  </si>
  <si>
    <t>Clark V - CL-V S25 - S25A</t>
  </si>
  <si>
    <t>Walker - 703</t>
  </si>
  <si>
    <t>Clark I - CL-I 216 - 216B</t>
  </si>
  <si>
    <t>Clark I - CL-I 216 - 216A</t>
  </si>
  <si>
    <t>Sontag - SNTG 260 - 262</t>
  </si>
  <si>
    <t>Clark I - 222</t>
  </si>
  <si>
    <t>Clark I - CL-I 110 - 110B</t>
  </si>
  <si>
    <t>Clark III - 115</t>
  </si>
  <si>
    <t>Lawry - LWRY B2 - B22</t>
  </si>
  <si>
    <t>Lawry - LWRY A1 - A16</t>
  </si>
  <si>
    <t>Clark V - CL-V S21 - S21A</t>
  </si>
  <si>
    <t>Clark III - 307</t>
  </si>
  <si>
    <t>Clark V - CL-V S22 - S22A</t>
  </si>
  <si>
    <t>Harwood - 202</t>
  </si>
  <si>
    <t>Walker - WALK 750-751 - 751</t>
  </si>
  <si>
    <t>Sontag - SNTG 230 - 231</t>
  </si>
  <si>
    <t>Walker - WALK 630 631 657 - 631</t>
  </si>
  <si>
    <t>Clark III - 220</t>
  </si>
  <si>
    <t>Clark III - 221</t>
  </si>
  <si>
    <t>Clark I - CL-I 118 - 118B</t>
  </si>
  <si>
    <t>Sontag - SNTG 210 - 211</t>
  </si>
  <si>
    <t>Clark I - CL-I 130 - 130A</t>
  </si>
  <si>
    <t>Blaisdell - 2</t>
  </si>
  <si>
    <t>Clark V - CL-V 428-430 - 430</t>
  </si>
  <si>
    <t>Clark III - 213</t>
  </si>
  <si>
    <t>Clark I - CL-I 125 - 125A</t>
  </si>
  <si>
    <t>Clark V - CL-V 428-430 - 429</t>
  </si>
  <si>
    <t>Dialynas - DLNS 310 - 313</t>
  </si>
  <si>
    <t>Harwood - 242</t>
  </si>
  <si>
    <t>Clark III - 206</t>
  </si>
  <si>
    <t>Clark III - 219</t>
  </si>
  <si>
    <t>Clark III - 215</t>
  </si>
  <si>
    <t>Clark V - CL-V 431-432 - 431</t>
  </si>
  <si>
    <t>Lawry - LWRY C1 - C16</t>
  </si>
  <si>
    <t>Clark V - CL-V 451-454 - 453</t>
  </si>
  <si>
    <t>Clark III - 302</t>
  </si>
  <si>
    <t>Clark V - CL-V 437-438 - 438</t>
  </si>
  <si>
    <t>Walker - WALK 740-741 - 741</t>
  </si>
  <si>
    <t>Clark I - CL-I 217 - 217B</t>
  </si>
  <si>
    <t>Clark III - 210</t>
  </si>
  <si>
    <t>Clark I - CL-I 117 - 117A</t>
  </si>
  <si>
    <t>Walker - WALK 603-604 - 603</t>
  </si>
  <si>
    <t>Clark I - CL-I 202 - 202A</t>
  </si>
  <si>
    <t>Mudd - 57</t>
  </si>
  <si>
    <t>Lawry - LWRY B2 - B28</t>
  </si>
  <si>
    <t>No Selection Time Issued</t>
  </si>
  <si>
    <t>Blaisdell - 19</t>
  </si>
  <si>
    <t>Smiley - 222</t>
  </si>
  <si>
    <t>Harwood - 171</t>
  </si>
  <si>
    <t>Sontag - SNTG 330 - 334</t>
  </si>
  <si>
    <t>Sontag - SNTG 110 - 114</t>
  </si>
  <si>
    <t>Sontag - SNTG 330 - 332</t>
  </si>
  <si>
    <t>Clark III - 113</t>
  </si>
  <si>
    <t>Gibson - 420</t>
  </si>
  <si>
    <t>Lawry - LWRY A1 - A12</t>
  </si>
  <si>
    <t>Walker - WALK 603-604 - 604</t>
  </si>
  <si>
    <t>Harwood - FS HAR 11 13 15 17 - 17</t>
  </si>
  <si>
    <t>Clark V - CL-V S3 - S03B</t>
  </si>
  <si>
    <t>Dialynas - DLNS 250 - 253</t>
  </si>
  <si>
    <t>Harwood - 101</t>
  </si>
  <si>
    <t>Harwood - FS HAR 378-379 - 379</t>
  </si>
  <si>
    <t>Harwood - HAR 342 344 345 347 - 342</t>
  </si>
  <si>
    <t>Harwood - 65</t>
  </si>
  <si>
    <t>Clark I - CL-I 109 - 109B</t>
  </si>
  <si>
    <t>Walker - WALK 630 631 657 - 630</t>
  </si>
  <si>
    <t>Clark III - 107</t>
  </si>
  <si>
    <t>Blaisdell - 12</t>
  </si>
  <si>
    <t>Clark I - CL-I 112 - 112B</t>
  </si>
  <si>
    <t>Clark I - CL-I 113 - 113B</t>
  </si>
  <si>
    <t>Clark V - CL-V S23 - S23B</t>
  </si>
  <si>
    <t>Clark V - CL-V 459-462 - 459</t>
  </si>
  <si>
    <t>Clark I - CL-I 100 - 100B</t>
  </si>
  <si>
    <t>Clark V - CL-V 405-408 - 407</t>
  </si>
  <si>
    <t>Dialynas - DLNS 340 - 343</t>
  </si>
  <si>
    <t>Harwood - 233</t>
  </si>
  <si>
    <t>Harwood - 264</t>
  </si>
  <si>
    <t>Clark V - CL-V S3 - S03A</t>
  </si>
  <si>
    <t>Sontag - SNTG 260 - 263</t>
  </si>
  <si>
    <t>Clark V - CL-V 417-420 - 418</t>
  </si>
  <si>
    <t>Harwood - 182</t>
  </si>
  <si>
    <t>Clark I - CL-I 120 - 120B</t>
  </si>
  <si>
    <t>Clark V - CL-V S22 - S22B</t>
  </si>
  <si>
    <t>Dialynas - DLNS 130 - 132</t>
  </si>
  <si>
    <t>Walker - 726</t>
  </si>
  <si>
    <t>Harwood - 9</t>
  </si>
  <si>
    <t>Clark I - CL-I 103 - 103A</t>
  </si>
  <si>
    <t>Walker - WALK 750-751 - 750</t>
  </si>
  <si>
    <t>Sontag - SNTG 240 - 242</t>
  </si>
  <si>
    <t>Dialynas - DLNS 280 - 286</t>
  </si>
  <si>
    <t>Harwood - 287</t>
  </si>
  <si>
    <t>Walker - 620</t>
  </si>
  <si>
    <t>Mudd - 59</t>
  </si>
  <si>
    <t>Clark V - CL-V 421-424 - 423</t>
  </si>
  <si>
    <t>Mudd - MUDD 310-314 - 310</t>
  </si>
  <si>
    <t>Sontag - SNTG 310 - 313</t>
  </si>
  <si>
    <t>Dialynas - DLNS 250 - 256</t>
  </si>
  <si>
    <t>Clark III - 320</t>
  </si>
  <si>
    <t>Lawry - LWRY B3 - B35</t>
  </si>
  <si>
    <t>Sontag - SNTG 330 - 336</t>
  </si>
  <si>
    <t>Harwood - 73</t>
  </si>
  <si>
    <t>Harwood - 116</t>
  </si>
  <si>
    <t>Harwood - HAR 319 321 323 325 - 319</t>
  </si>
  <si>
    <t>Clark III - 313</t>
  </si>
  <si>
    <t>Clark V - CL-V 471-474 - 473</t>
  </si>
  <si>
    <t>Clark I - CL-I 119 - 119A</t>
  </si>
  <si>
    <t>Walker - WALK 632-633 - 633</t>
  </si>
  <si>
    <t>Dialynas - DLNS 250 - 255</t>
  </si>
  <si>
    <t>Mudd - 53</t>
  </si>
  <si>
    <t>Clark III - 211</t>
  </si>
  <si>
    <t>Clark V - CL-V S2 - S02B</t>
  </si>
  <si>
    <t>Clark III - 209</t>
  </si>
  <si>
    <t>Clark I - CL-I 102 - 102B</t>
  </si>
  <si>
    <t>Clark III - 226</t>
  </si>
  <si>
    <t>Mudd - 62</t>
  </si>
  <si>
    <t>Clark I - CL-I 104 - 104A</t>
  </si>
  <si>
    <t>Lawry - LWRY A2 - A28</t>
  </si>
  <si>
    <t>Clark V - CL-V 459-462 - 460</t>
  </si>
  <si>
    <t>Harwood - 83</t>
  </si>
  <si>
    <t>Norton - 27</t>
  </si>
  <si>
    <t>Clark I - CL-I 122 - 122A</t>
  </si>
  <si>
    <t>Harwood - 210</t>
  </si>
  <si>
    <t>Dialynas - DLNS 310 - 314</t>
  </si>
  <si>
    <t>Smiley - 101</t>
  </si>
  <si>
    <t>Sontag - SNTG 160 - 163</t>
  </si>
  <si>
    <t>Clark III - 223</t>
  </si>
  <si>
    <t>Dialynas - DLNS 240 - 241</t>
  </si>
  <si>
    <t>Sontag - SNTG 210 - 212</t>
  </si>
  <si>
    <t>Walker - WALK 736-737 - 737</t>
  </si>
  <si>
    <t>Harwood - 69</t>
  </si>
  <si>
    <t>Lawry - LWRY C1 - C18</t>
  </si>
  <si>
    <t>Clark I - CL-I 219 - 219B</t>
  </si>
  <si>
    <t>Dialynas - DLNS 270 - 273</t>
  </si>
  <si>
    <t>Clark V - CL-V 443-444 - 443</t>
  </si>
  <si>
    <t>Clark V - CL-V 471-474 - 474</t>
  </si>
  <si>
    <t>Gibson - 411</t>
  </si>
  <si>
    <t>Clark V - CL-V S24 - S24B</t>
  </si>
  <si>
    <t>Clark III - 317</t>
  </si>
  <si>
    <t>Clark V - CL-V 443-444 - 444</t>
  </si>
  <si>
    <t>Clark I - CL-I 205 - 205B</t>
  </si>
  <si>
    <t>Gibson - 402</t>
  </si>
  <si>
    <t>Harwood - 77</t>
  </si>
  <si>
    <t>Lawry - LWRY B2 - B21</t>
  </si>
  <si>
    <t>Clark III - 111</t>
  </si>
  <si>
    <t>Clark I - CL-I 115 - 115A</t>
  </si>
  <si>
    <t>Walker - WALK 748-749 - 749</t>
  </si>
  <si>
    <t>Harwood - 120</t>
  </si>
  <si>
    <t>Harwood - 82</t>
  </si>
  <si>
    <t>Harwood - 280</t>
  </si>
  <si>
    <t>Dialynas - DLNS 100 - 104</t>
  </si>
  <si>
    <t>Clark I - CL-I 132 - 132B</t>
  </si>
  <si>
    <t>Lawry - LWRY C2 - C28</t>
  </si>
  <si>
    <t>Lawry - LWRY B3 - B34</t>
  </si>
  <si>
    <t>Dialynas - DLNS 280 - 284</t>
  </si>
  <si>
    <t>Clark I - CL-I 208 - 208B</t>
  </si>
  <si>
    <t>Dialynas - DLNS 280 - 285</t>
  </si>
  <si>
    <t>Walker - WALK 638 639 655 - 638</t>
  </si>
  <si>
    <t>Clark III - 214</t>
  </si>
  <si>
    <t>Clark I - CL-I 108 - 108B</t>
  </si>
  <si>
    <t>Clark V - CL-V 463-466 - 466</t>
  </si>
  <si>
    <t>Walker - WALK 740-741 - 740</t>
  </si>
  <si>
    <t>Clark I - CL-I 218 - 218A</t>
  </si>
  <si>
    <t>Walker - WALK 650 651 652 - 651</t>
  </si>
  <si>
    <t>Harwood - FS HAR 11 13 15 17 - 11</t>
  </si>
  <si>
    <t>Dialynas - DLNS 240 - 243</t>
  </si>
  <si>
    <t>Harwood - 281</t>
  </si>
  <si>
    <t>Dialynas - DLNS 220 - 223</t>
  </si>
  <si>
    <t>Blaisdell - 14</t>
  </si>
  <si>
    <t>Clark V - CL-V 455-458 - 455</t>
  </si>
  <si>
    <t>Clark III - 321</t>
  </si>
  <si>
    <t>Dialynas - DLNS 200 - 202</t>
  </si>
  <si>
    <t>Mudd - 51</t>
  </si>
  <si>
    <t>Sontag - SNTG 250 - 254</t>
  </si>
  <si>
    <t>Clark I - CL-I 102 - 102A</t>
  </si>
  <si>
    <t>Walker - WALK 638 639 655 - 639</t>
  </si>
  <si>
    <t>Clark V - CL-V 409-412 - 409</t>
  </si>
  <si>
    <t>Clark I - CL-I 134 - 134B</t>
  </si>
  <si>
    <t>Lawry - LWRY C1 - C13</t>
  </si>
  <si>
    <t>Clark V - CL-V S25 - S25B</t>
  </si>
  <si>
    <t>Dialynas - DLNS 100 - 101</t>
  </si>
  <si>
    <t>Lawry - LWRY B2 - B25</t>
  </si>
  <si>
    <t>Harwood - 262</t>
  </si>
  <si>
    <t>Walker - WALK 752-753 - 752</t>
  </si>
  <si>
    <t>Clark I - CL-I 107 - 107A</t>
  </si>
  <si>
    <t>Clark III - 301</t>
  </si>
  <si>
    <t>Clark V - CL-V 421-424 - 424</t>
  </si>
  <si>
    <t>Clark III - 203</t>
  </si>
  <si>
    <t>Walker - 730</t>
  </si>
  <si>
    <t>Sontag - SNTG 130 - 136</t>
  </si>
  <si>
    <t>Clark V - CL-V 459-462 - 461</t>
  </si>
  <si>
    <t>Walker - WALK 650 651 652 - 652</t>
  </si>
  <si>
    <t>Clark I - CL-I 114 - 114B</t>
  </si>
  <si>
    <t>Harwood - HAR 342 344 345 347 - 345</t>
  </si>
  <si>
    <t>Clark V - CL-V 417-420 - 419</t>
  </si>
  <si>
    <t>Harwood - 244</t>
  </si>
  <si>
    <t>Walker - 708</t>
  </si>
  <si>
    <t>Lawry - LWRY B2 - B27</t>
  </si>
  <si>
    <t>Walker - WALK 646 647 653 - 653</t>
  </si>
  <si>
    <t>Clark III - 121</t>
  </si>
  <si>
    <t>Walker - WALK 617-618 - 617</t>
  </si>
  <si>
    <t>Lawry - LWRY C2 - C25</t>
  </si>
  <si>
    <t>Sontag - SNTG 110 - 113</t>
  </si>
  <si>
    <t>Smiley - 102</t>
  </si>
  <si>
    <t>Dialynas - DLNS 320 - 322</t>
  </si>
  <si>
    <t>Dialynas - DLNS 110 - 111</t>
  </si>
  <si>
    <t>Lawry - LWRY B3 - B38</t>
  </si>
  <si>
    <t>Harwood - 163</t>
  </si>
  <si>
    <t>Sontag - SNTG 260 - 266</t>
  </si>
  <si>
    <t>Blaisdell - BLSD 341-343 - 342</t>
  </si>
  <si>
    <t>Lawry - LWRY C1 - C14</t>
  </si>
  <si>
    <t>Clark III - 322</t>
  </si>
  <si>
    <t>Walker - WALK 617-618 - 618</t>
  </si>
  <si>
    <t>Clark III - 201</t>
  </si>
  <si>
    <t>Dialynas - DLNS 230 - 233</t>
  </si>
  <si>
    <t>Harwood - 237</t>
  </si>
  <si>
    <t>Sontag - SNTG 140 - 142</t>
  </si>
  <si>
    <t>Smiley - 109</t>
  </si>
  <si>
    <t>Sontag - SNTG 220 - 224</t>
  </si>
  <si>
    <t>Clark III - 205</t>
  </si>
  <si>
    <t>Clark III - 310</t>
  </si>
  <si>
    <t>Harwood - 180</t>
  </si>
  <si>
    <t>Sontag - SNTG 160 - 164</t>
  </si>
  <si>
    <t>Walker - WALK 610-611 - 610</t>
  </si>
  <si>
    <t>Smiley - 204</t>
  </si>
  <si>
    <t>Smiley - 212</t>
  </si>
  <si>
    <t>Walker - WALK 634 635 656 - 634</t>
  </si>
  <si>
    <t>Clark I - CL-I 214 - 214A</t>
  </si>
  <si>
    <t>Walker - WALK 636-637 - 636</t>
  </si>
  <si>
    <t>Walker - WALK 636-637 - 637</t>
  </si>
  <si>
    <t>Clark III - 312</t>
  </si>
  <si>
    <t>Norton - 26</t>
  </si>
  <si>
    <t>Clark I - CL-I 129 - 129B</t>
  </si>
  <si>
    <t>Harwood - 239</t>
  </si>
  <si>
    <t>Smiley - 205</t>
  </si>
  <si>
    <t>Clark I - CL-I 120 - 120A</t>
  </si>
  <si>
    <t>Clark I - CL-I 211 - 211B</t>
  </si>
  <si>
    <t>Lawry - LWRY B3 - B31</t>
  </si>
  <si>
    <t>Harwood - 276</t>
  </si>
  <si>
    <t>Clark I - CL-I 129 - 129A</t>
  </si>
  <si>
    <t>Sontag - SNTG 130 - 131</t>
  </si>
  <si>
    <t>Walker - WALK 742-743 - 743</t>
  </si>
  <si>
    <t>Harwood - 217</t>
  </si>
  <si>
    <t>Dialynas - DLNS 200 - 201</t>
  </si>
  <si>
    <t>Blaisdell - 4</t>
  </si>
  <si>
    <t>Clark V - CL-V 409-412 - 411</t>
  </si>
  <si>
    <t>Harwood - 286</t>
  </si>
  <si>
    <t>Walker - FS WALK 601 602 - 601</t>
  </si>
  <si>
    <t>Blaisdell - 16</t>
  </si>
  <si>
    <t>Clark I - CL-I 101 - 101B</t>
  </si>
  <si>
    <t>Walker - 607</t>
  </si>
  <si>
    <t>Dialynas - DLNS 350 - 354</t>
  </si>
  <si>
    <t>Dialynas - DLNS 350 - 355</t>
  </si>
  <si>
    <t>Clark III - 305</t>
  </si>
  <si>
    <t>Clark V - CL-V 425-427 - 425</t>
  </si>
  <si>
    <t>Clark III - 122</t>
  </si>
  <si>
    <t>Clark I - CL-I 210 - 210B</t>
  </si>
  <si>
    <t>Lawry - LWRY B2 - B24</t>
  </si>
  <si>
    <t>Dialynas - DLNS 340 - 344</t>
  </si>
  <si>
    <t>Lawry - LWRY C1 - C12</t>
  </si>
  <si>
    <t>Clark I - CL-I 207 - 207A</t>
  </si>
  <si>
    <t>Dialynas - DLNS 350 - 356</t>
  </si>
  <si>
    <t>Walker - 609</t>
  </si>
  <si>
    <t>Harwood - 209</t>
  </si>
  <si>
    <t>Clark III - 323</t>
  </si>
  <si>
    <t>Lawry - LWRY A2 - A23</t>
  </si>
  <si>
    <t>Smiley - 214</t>
  </si>
  <si>
    <t>Smiley - 209</t>
  </si>
  <si>
    <t>Walker - WALK 626-627 - 626</t>
  </si>
  <si>
    <t>Blaisdell - 23</t>
  </si>
  <si>
    <t>Dialynas - DLNS 350 - 352</t>
  </si>
  <si>
    <t>Walker - WALK 650 651 652 - 650</t>
  </si>
  <si>
    <t>Smiley - 208</t>
  </si>
  <si>
    <t>Dialynas - DLNS 270 - 271</t>
  </si>
  <si>
    <t>Harwood - 81</t>
  </si>
  <si>
    <t>Norton - 15</t>
  </si>
  <si>
    <t>Smiley - 115</t>
  </si>
  <si>
    <t>Sontag - SNTG 330 - 331</t>
  </si>
  <si>
    <t>Walker - 612</t>
  </si>
  <si>
    <t>Walker - WALK 624-625 - 625</t>
  </si>
  <si>
    <t>Walker - WALK 640-641 - 640</t>
  </si>
  <si>
    <t>Clark III - 324</t>
  </si>
  <si>
    <t>Harwood - 241</t>
  </si>
  <si>
    <t>Smiley - 207</t>
  </si>
  <si>
    <t>Dialynas - DLNS 310 - 311</t>
  </si>
  <si>
    <t>Clark I - CL-I 217 - 217A</t>
  </si>
  <si>
    <t>Smiley - 220</t>
  </si>
  <si>
    <t>Clark V - CL-V 405-408 - 406</t>
  </si>
  <si>
    <t>Clark III - 308</t>
  </si>
  <si>
    <t>Clark V - CL-V S23 - S23A</t>
  </si>
  <si>
    <t>Harwood - FS HAR 11 13 15 17 - 15</t>
  </si>
  <si>
    <t>Sontag - SNTG 250 - 251</t>
  </si>
  <si>
    <t>Sontag - SNTG 220 - 223</t>
  </si>
  <si>
    <t>Dialynas - DLNS 320 - 324</t>
  </si>
  <si>
    <t>Walker - 613</t>
  </si>
  <si>
    <t>Walker - WALK 648-649 - 648</t>
  </si>
  <si>
    <t>Clark III - 100</t>
  </si>
  <si>
    <t>Sontag - SNTG 250 - 252</t>
  </si>
  <si>
    <t>Dialynas - DLNS 200 - 203</t>
  </si>
  <si>
    <t>Sontag - SNTG 240 - 244</t>
  </si>
  <si>
    <t>Clark III - 119</t>
  </si>
  <si>
    <t>Clark V - CL-V 421-424 - 422</t>
  </si>
  <si>
    <t>Lawry - LWRY A1 - A14</t>
  </si>
  <si>
    <t>Clark V - CL-V S2 - S02A</t>
  </si>
  <si>
    <t>Clark I - CL-I 105 - 105B</t>
  </si>
  <si>
    <t>Clark I - CL-I 108 - 108A</t>
  </si>
  <si>
    <t>Walker - WALK 628-629 - 629</t>
  </si>
  <si>
    <t>Clark V - CL-V 441-442 - 441</t>
  </si>
  <si>
    <t>Dialynas - DLNS 330 - 333</t>
  </si>
  <si>
    <t>Dialynas - DLNS 230 - 231</t>
  </si>
  <si>
    <t>Harwood - 85</t>
  </si>
  <si>
    <t>Walker - WALK 642 643 654 - 654</t>
  </si>
  <si>
    <t>Clark V - CL-V 401-404 - 403</t>
  </si>
  <si>
    <t>Clark I - CL-I 214 - 214C</t>
  </si>
  <si>
    <t>Sontag - SNTG 240 - 241</t>
  </si>
  <si>
    <t>Lawry - LWRY A1 - A13</t>
  </si>
  <si>
    <t>Harwood - 189</t>
  </si>
  <si>
    <t>Smiley - 221</t>
  </si>
  <si>
    <t>Sontag - SNTG 130 - 135</t>
  </si>
  <si>
    <t>Smiley - 217</t>
  </si>
  <si>
    <t>Sontag - SNTG 140 - 143</t>
  </si>
  <si>
    <t>Clark I - CL-I 209 - 209B</t>
  </si>
  <si>
    <t>Gibson - 419</t>
  </si>
  <si>
    <t>Sontag - SNTG 310 - 312</t>
  </si>
  <si>
    <t>Dialynas - DLNS 100 - 102</t>
  </si>
  <si>
    <t>Clark V - CL-V 425-427 - 426</t>
  </si>
  <si>
    <t>Harwood - 273</t>
  </si>
  <si>
    <t>Harwood - 213</t>
  </si>
  <si>
    <t>Dialynas - DLNS 270 - 274</t>
  </si>
  <si>
    <t>Dialynas - DLNS 240 - 244</t>
  </si>
  <si>
    <t>Harwood - 200</t>
  </si>
  <si>
    <t>Harwood - 284</t>
  </si>
  <si>
    <t>Gibson - 406</t>
  </si>
  <si>
    <t>Walker - WALK 646 647 653 - 646</t>
  </si>
  <si>
    <t>Lawry - LWRY C2 - C26</t>
  </si>
  <si>
    <t>Clark I - CL-I 206 - 206A</t>
  </si>
  <si>
    <t>Harwood - 117</t>
  </si>
  <si>
    <t>Clark V - CL-V 401-404 - 404</t>
  </si>
  <si>
    <t>Harwood - 236</t>
  </si>
  <si>
    <t>Walker - 608</t>
  </si>
  <si>
    <t>Dialynas - DLNS 320 - 321</t>
  </si>
  <si>
    <t>Walker - WALK 626-627 - 627</t>
  </si>
  <si>
    <t>Sontag - SNTG 320 - 323</t>
  </si>
  <si>
    <t>Smiley - 105</t>
  </si>
  <si>
    <t>Gibson - 413</t>
  </si>
  <si>
    <t>Clark I - CL-I 203 - 203B</t>
  </si>
  <si>
    <t>Clark V - CL-V S4 - S04A</t>
  </si>
  <si>
    <t>Clark V - CL-V S26 - S26B</t>
  </si>
  <si>
    <t>Walker - WALK 630 631 657 - 657</t>
  </si>
  <si>
    <t>Walker - 706</t>
  </si>
  <si>
    <t>Sontag - SNTG 160 - 165</t>
  </si>
  <si>
    <t>Sontag - SNTG 120 - 124</t>
  </si>
  <si>
    <t>Clark I - CL-I 133 - 133B</t>
  </si>
  <si>
    <t>Clark V - CL-V S26 - S26A</t>
  </si>
  <si>
    <t>Harwood - 219</t>
  </si>
  <si>
    <t>Clark V - CL-V 463-466 - 465</t>
  </si>
  <si>
    <t>Harwood - 147</t>
  </si>
  <si>
    <t>Dialynas - DLNS 230 - 232</t>
  </si>
  <si>
    <t>Clark I - CL-I 201 - 201B</t>
  </si>
  <si>
    <t>Clark V - CL-V 455-458 - 458</t>
  </si>
  <si>
    <t>Clark I - CL-I 109 - 109A</t>
  </si>
  <si>
    <t>Harwood - 272</t>
  </si>
  <si>
    <t>Sontag - SNTG 130 - 134</t>
  </si>
  <si>
    <t>Harwood - 86</t>
  </si>
  <si>
    <t>Lawry - LWRY A2 - A27</t>
  </si>
  <si>
    <t>Walker - WALK 610-611 - 611</t>
  </si>
  <si>
    <t>Clark V - CL-V 471-474 - 472</t>
  </si>
  <si>
    <t>Harwood - 216</t>
  </si>
  <si>
    <t>Clark V - CL-V 431-432 - 432</t>
  </si>
  <si>
    <t>Harwood - 243</t>
  </si>
  <si>
    <t>Clark III - 204</t>
  </si>
  <si>
    <t>Clark I - CL-I 213 - 213A</t>
  </si>
  <si>
    <t>Walker - WALK 734-735 - 735</t>
  </si>
  <si>
    <t>Walker - WALK 634 635 656 - 635</t>
  </si>
  <si>
    <t>Clark I - CL-I 125 - 125B</t>
  </si>
  <si>
    <t>Clark I - CL-I 211 - 211A</t>
  </si>
  <si>
    <t>Walker - WALK 644-645 - 644</t>
  </si>
  <si>
    <t>Blaisdell - 6</t>
  </si>
  <si>
    <t>Clark III - 314</t>
  </si>
  <si>
    <t>Clark I - CL-I 103 - 103B</t>
  </si>
  <si>
    <t>Harwood - 268</t>
  </si>
  <si>
    <t>Sontag - SNTG 120 - 121</t>
  </si>
  <si>
    <t>Sontag - SNTG 160 - 162</t>
  </si>
  <si>
    <t>Smiley - 213</t>
  </si>
  <si>
    <t>Sontag - SNTG 140 - 144</t>
  </si>
  <si>
    <t>Lawry - LWRY A1 - A11</t>
  </si>
  <si>
    <t>Harwood - 67</t>
  </si>
  <si>
    <t>Harwood - 282</t>
  </si>
  <si>
    <t>Harwood - 229</t>
  </si>
  <si>
    <t>Harwood - 75</t>
  </si>
  <si>
    <t>Smiley - 206</t>
  </si>
  <si>
    <t>Walker - 701</t>
  </si>
  <si>
    <t>Smiley - 108</t>
  </si>
  <si>
    <t>Smiley - 106</t>
  </si>
  <si>
    <t>Walker - WALK 746-747 - 746</t>
  </si>
  <si>
    <t>Clark V - CL-V 425-427 - 427</t>
  </si>
  <si>
    <t>Harwood - 71</t>
  </si>
  <si>
    <t>Clark V - CL-V 467-470 - 470</t>
  </si>
  <si>
    <t>Clark I - CL-I 127 - 127B</t>
  </si>
  <si>
    <t>Clark I - CL-I 210 - 210A</t>
  </si>
  <si>
    <t>Sontag - SNTG 210 - 214</t>
  </si>
  <si>
    <t>Harwood - HAR 319 321 323 325 - 323</t>
  </si>
  <si>
    <t>Walker - 615</t>
  </si>
  <si>
    <t>Smiley - 114</t>
  </si>
  <si>
    <t>Clark I - CL-I 121 - 121B</t>
  </si>
  <si>
    <t>Walker - WALK 644-645 - 645</t>
  </si>
  <si>
    <t>Clark V - CL-V 463-466 - 463</t>
  </si>
  <si>
    <t>Clark III - 300</t>
  </si>
  <si>
    <t>Lawry - LWRY C1 - C11</t>
  </si>
  <si>
    <t>Dialynas - DLNS 330 - 331</t>
  </si>
  <si>
    <t>Lawry - LWRY A2 - A25</t>
  </si>
  <si>
    <t>Clark I - CL-I 106 - 106B</t>
  </si>
  <si>
    <t>Harwood - 265</t>
  </si>
  <si>
    <t>Sontag - SNTG 320 - 322</t>
  </si>
  <si>
    <t>Clark V - CL-V 417-420 - 420</t>
  </si>
  <si>
    <t>Lawry - LWRY B3 - B36</t>
  </si>
  <si>
    <t>Sontag - SNTG 160 - 161</t>
  </si>
  <si>
    <t>Dialynas - DLNS 250 - 251</t>
  </si>
  <si>
    <t>Blaisdell - BLSD 341-343 - 341</t>
  </si>
  <si>
    <t>Sontag - SNTG 150 - 153</t>
  </si>
  <si>
    <t>Lawry - LWRY A1 - A17</t>
  </si>
  <si>
    <t>Norton - 29</t>
  </si>
  <si>
    <t>Gibson - 414</t>
  </si>
  <si>
    <t>Walker - 718</t>
  </si>
  <si>
    <t>Blaisdell - 3</t>
  </si>
  <si>
    <t>Sontag - SNTG 230 - 234</t>
  </si>
  <si>
    <t>Harwood - 251</t>
  </si>
  <si>
    <t>Harwood - 271</t>
  </si>
  <si>
    <t>Clark I - CL-I 126 - 126B</t>
  </si>
  <si>
    <t>Harwood - 80</t>
  </si>
  <si>
    <t>Sontag - SNTG 310 - 314</t>
  </si>
  <si>
    <t>Clark I - CL-I 112 - 112A</t>
  </si>
  <si>
    <t>Clark V - CL-V 433-434 - 433</t>
  </si>
  <si>
    <t>Dialynas - DLNS 220 - 221</t>
  </si>
  <si>
    <t>Clark V - CL-V 439-440 - 440</t>
  </si>
  <si>
    <t>Walker - 614</t>
  </si>
  <si>
    <t>Sontag - SNTG 130 - 133</t>
  </si>
  <si>
    <t>Clark V - CL-V 451-454 - 451</t>
  </si>
  <si>
    <t>Norton - 7</t>
  </si>
  <si>
    <t>Walker - WALK 752-753 - 753</t>
  </si>
  <si>
    <t>Lawry - LWRY A2 - A21</t>
  </si>
  <si>
    <t>Harwood - 110</t>
  </si>
  <si>
    <t>Gibson - 421</t>
  </si>
  <si>
    <t>Dialynas - DLNS 280 - 283</t>
  </si>
  <si>
    <t>Clark V - CL-V 433-434 - 434</t>
  </si>
  <si>
    <t>Sontag - SNTG 160 - 166</t>
  </si>
  <si>
    <t>Walker - 623</t>
  </si>
  <si>
    <t>Clark V - CL-V S4 - S04B</t>
  </si>
  <si>
    <t>Clark V - CL-V 437-438 - 437</t>
  </si>
  <si>
    <t>Harwood - 240</t>
  </si>
  <si>
    <t>Clark I - CL-I 220 - 220A</t>
  </si>
  <si>
    <t>Clark V - CL-V 409-412 - 410</t>
  </si>
  <si>
    <t>Sontag - SNTG 150 - 151</t>
  </si>
  <si>
    <t>Clark V - CL-V 428-430 - 428</t>
  </si>
  <si>
    <t>Walker - 716</t>
  </si>
  <si>
    <t>Dialynas - DLNS 110 - 112</t>
  </si>
  <si>
    <t>Walker - WALK 642 643 654 - 642</t>
  </si>
  <si>
    <t>Clark I - CL-I 113 - 113A</t>
  </si>
  <si>
    <t>Sontag - SNTG 220 - 222</t>
  </si>
  <si>
    <t>Harwood - 285</t>
  </si>
  <si>
    <t>Clark III - 200</t>
  </si>
  <si>
    <t>Clark III - 202</t>
  </si>
  <si>
    <t>Dialynas - DLNS 270 - 272</t>
  </si>
  <si>
    <t>Harwood - 232</t>
  </si>
  <si>
    <t>Dialynas - DLNS 340 - 341</t>
  </si>
  <si>
    <t>Lawry - LWRY C2 - C23</t>
  </si>
  <si>
    <t>Sontag - SNTG 120 - 123</t>
  </si>
  <si>
    <t>Dialynas - DLNS 280 - 281</t>
  </si>
  <si>
    <t>Clark I - CL-I 124 - 124B</t>
  </si>
  <si>
    <t>Sontag - SNTG 330 - 333</t>
  </si>
  <si>
    <t>Clark I - CL-I 132 - 132A</t>
  </si>
  <si>
    <t>Lawry - LWRY C2 - C22</t>
  </si>
  <si>
    <t>Clark V - CL-V 401-404 - 401</t>
  </si>
  <si>
    <t>Sontag - SNTG 230 - 232</t>
  </si>
  <si>
    <t>Harwood - 277</t>
  </si>
  <si>
    <t>Clark V - CL-V 459-462 - 462</t>
  </si>
  <si>
    <t>Sontag - SNTG 230 - 233</t>
  </si>
  <si>
    <t>Clark V - CL-V 441-442 - 442</t>
  </si>
  <si>
    <t>Smiley - 110</t>
  </si>
  <si>
    <t>Dialynas - DLNS 330 - 334</t>
  </si>
  <si>
    <t>Clark III - 104</t>
  </si>
  <si>
    <t>Clark I - CL-I 114 - 114A</t>
  </si>
  <si>
    <t>Clark V - CL-V 451-454 - 454</t>
  </si>
  <si>
    <t>Harwood - 187</t>
  </si>
  <si>
    <t>Harwood - 208</t>
  </si>
  <si>
    <t>Walker - WALK 642 643 654 - 643</t>
  </si>
  <si>
    <t>Walker - 616</t>
  </si>
  <si>
    <t>Harwood - 204</t>
  </si>
  <si>
    <t>Clark V - CL-V 413-416 - 416</t>
  </si>
  <si>
    <t>Blaisdell - 111</t>
  </si>
  <si>
    <t>Walker - 717</t>
  </si>
  <si>
    <t>Lawry - LWRY A3 - A32</t>
  </si>
  <si>
    <t>Walker - 715</t>
  </si>
  <si>
    <t>Gibson - 415</t>
  </si>
  <si>
    <t>Mudd - 264</t>
  </si>
  <si>
    <t>Norton - 11</t>
  </si>
  <si>
    <t>Norton - 19</t>
  </si>
  <si>
    <t>Lawry - LWRY C3 - C35</t>
  </si>
  <si>
    <t>Norton - 21</t>
  </si>
  <si>
    <t>Lawry - LWRY A3 - A31</t>
  </si>
  <si>
    <t>Lawry - LWRY A3 - A34</t>
  </si>
  <si>
    <t>Dialynas - DLNS 120 - 122</t>
  </si>
  <si>
    <t>Clark I - CL-I 123 - 123A</t>
  </si>
  <si>
    <t>Walker - 720</t>
  </si>
  <si>
    <t>Norton - 34</t>
  </si>
  <si>
    <t>Norton - 13</t>
  </si>
  <si>
    <t>Gibson - 417</t>
  </si>
  <si>
    <t>Norton - 10</t>
  </si>
  <si>
    <t>Gibson - 409</t>
  </si>
  <si>
    <t>Dialynas - DLNS 120 - 124</t>
  </si>
  <si>
    <t>Lawry - LWRY C3 - C36</t>
  </si>
  <si>
    <t>Walker - 711</t>
  </si>
  <si>
    <t>Lawry - LWRY C3 - C37</t>
  </si>
  <si>
    <t>Mudd - 251</t>
  </si>
  <si>
    <t>Lawry - LWRY A3 - A35</t>
  </si>
  <si>
    <t>Dialynas - DLNS 120 - 123</t>
  </si>
  <si>
    <t>Walker - 731</t>
  </si>
  <si>
    <t>Lawry - LWRY A3 - A36</t>
  </si>
  <si>
    <t>Gibson - 405</t>
  </si>
  <si>
    <t>Clark V - CL-V 413-416 - 414</t>
  </si>
  <si>
    <t>Lawry - LWRY A3 - A38</t>
  </si>
  <si>
    <t>Clark V - CL-V 413-416 - 415</t>
  </si>
  <si>
    <t>Clark V - CL-V 413-416 - 413</t>
  </si>
  <si>
    <t>Lawry - LWRY C3 - C33</t>
  </si>
  <si>
    <t>Blaisdell - 233</t>
  </si>
  <si>
    <t>Norton - 31</t>
  </si>
  <si>
    <t>Clark I - CL-I 123 - 123B</t>
  </si>
  <si>
    <t>Lawry - LWRY C3 - C32</t>
  </si>
  <si>
    <t>Smiley - 201</t>
  </si>
  <si>
    <t>Lawry - LWRY C3 - C31</t>
  </si>
  <si>
    <t>Norton - 18</t>
  </si>
  <si>
    <t>Norton - 16</t>
  </si>
  <si>
    <t>Clark V - CL-V 445-446 - 445</t>
  </si>
  <si>
    <t>Lawry - LWRY C3 - C38</t>
  </si>
  <si>
    <t>Lawry - LWRY C3 - C34</t>
  </si>
  <si>
    <t>Clark III - 325</t>
  </si>
  <si>
    <t>Clark V - CL-V 445-446 - 446</t>
  </si>
  <si>
    <t>Dialynas - DLNS 120 - 121</t>
  </si>
  <si>
    <t>Norton - 14</t>
  </si>
  <si>
    <t>Norton - 20</t>
  </si>
  <si>
    <t>Lawry - LWRY A3 - A33</t>
  </si>
  <si>
    <t>Norton - 8</t>
  </si>
  <si>
    <t>Mudd - 266</t>
  </si>
  <si>
    <t>Blaisdell - 212</t>
  </si>
  <si>
    <t>Harwood - 172</t>
  </si>
  <si>
    <t>Blaisdell - 243</t>
  </si>
  <si>
    <t>Harwood - 177</t>
  </si>
  <si>
    <t>Harwood - 247</t>
  </si>
  <si>
    <t>Blaisdell - 242</t>
  </si>
  <si>
    <t>Harwood - 144</t>
  </si>
  <si>
    <t>Mudd - 151</t>
  </si>
  <si>
    <t>Mudd - 150</t>
  </si>
  <si>
    <t>Mudd - 290</t>
  </si>
  <si>
    <t>Mudd - 265</t>
  </si>
  <si>
    <t>Lawry - LWRY A3 - A37</t>
  </si>
  <si>
    <t>Harwood - 142</t>
  </si>
  <si>
    <t>Harwood - 175</t>
  </si>
  <si>
    <t>Blaisdell - 120</t>
  </si>
  <si>
    <t>Harwood - 174</t>
  </si>
  <si>
    <t>Mudd - 153</t>
  </si>
  <si>
    <t>Mudd - 171</t>
  </si>
  <si>
    <t>Harwood - 179</t>
  </si>
  <si>
    <t>Harwood - 145</t>
  </si>
  <si>
    <t>Harwood - 114</t>
  </si>
  <si>
    <t>Harwood - 176</t>
  </si>
  <si>
    <t>Walker - WALK 744-745 - 744</t>
  </si>
  <si>
    <t>Walker - WALK 744-745 - 745</t>
  </si>
  <si>
    <t>Clark III - 212</t>
  </si>
  <si>
    <t>Gibson - 407</t>
  </si>
  <si>
    <t>Harwood - 104</t>
  </si>
  <si>
    <t>Harwood - 111</t>
  </si>
  <si>
    <t>Harwood - 113</t>
  </si>
  <si>
    <t>Harwood - 119</t>
  </si>
  <si>
    <t>Harwood - 167</t>
  </si>
  <si>
    <t>Harwood - 173</t>
  </si>
  <si>
    <t>Harwood - 183</t>
  </si>
  <si>
    <t>Mudd - 250</t>
  </si>
  <si>
    <t>Mudd - 252</t>
  </si>
  <si>
    <t>Mudd - 253</t>
  </si>
  <si>
    <t>Mudd - 254</t>
  </si>
  <si>
    <t>Mudd - 255</t>
  </si>
  <si>
    <t>Mudd - 256</t>
  </si>
  <si>
    <t>Mudd - 257</t>
  </si>
  <si>
    <t>Mudd - 258</t>
  </si>
  <si>
    <t>Mudd - 259</t>
  </si>
  <si>
    <t>Mudd - 260</t>
  </si>
  <si>
    <t>Mudd - 261</t>
  </si>
  <si>
    <t>Mudd - 262</t>
  </si>
  <si>
    <t>Mudd - 263</t>
  </si>
  <si>
    <t>Mudd - 267</t>
  </si>
  <si>
    <t>Norton - 17</t>
  </si>
  <si>
    <t>Norton - 2</t>
  </si>
  <si>
    <t>Norton - 22</t>
  </si>
  <si>
    <t>Norton - 23</t>
  </si>
  <si>
    <t>Norton - 28</t>
  </si>
  <si>
    <t>Norton - 32</t>
  </si>
  <si>
    <t>Norton - 33</t>
  </si>
  <si>
    <t>Norton - 4</t>
  </si>
  <si>
    <t>Norton - 5</t>
  </si>
  <si>
    <t>Norton - 6</t>
  </si>
  <si>
    <t>Walker - 605</t>
  </si>
  <si>
    <t>Walker - 619</t>
  </si>
  <si>
    <t>Walker - 621</t>
  </si>
  <si>
    <t>Walker - 622</t>
  </si>
  <si>
    <t>Walker - 702</t>
  </si>
  <si>
    <t>Walker - 705</t>
  </si>
  <si>
    <t>Walker - 709</t>
  </si>
  <si>
    <t>Walker - 710</t>
  </si>
  <si>
    <t>Walker - 712</t>
  </si>
  <si>
    <t>Walker - 719</t>
  </si>
  <si>
    <t>Walker - 722</t>
  </si>
  <si>
    <t>Walker - 723</t>
  </si>
  <si>
    <t>Walker - 724</t>
  </si>
  <si>
    <t>Walker - 725</t>
  </si>
  <si>
    <t>Walker - 727</t>
  </si>
  <si>
    <t>Walker - 728</t>
  </si>
  <si>
    <t>Walker - 729</t>
  </si>
  <si>
    <t>Walker - 732</t>
  </si>
  <si>
    <t>Walker - 733</t>
  </si>
  <si>
    <t>Dorm Name</t>
  </si>
  <si>
    <t>Square Footage of Unique Dorms</t>
  </si>
  <si>
    <t>Unique Dorms</t>
  </si>
  <si>
    <t>Selection Time (Individual) 2023</t>
  </si>
  <si>
    <t>Selection Time (Group) 2023</t>
  </si>
  <si>
    <t>2023 Selection Time</t>
  </si>
  <si>
    <t>Selection Time (Individual) 2024</t>
  </si>
  <si>
    <t>Selection Time (Group) 2024</t>
  </si>
  <si>
    <t>2024 Selection Time</t>
  </si>
  <si>
    <t>Selection Time (Individual) 2025</t>
  </si>
  <si>
    <t>Selection Time (Group) 2025</t>
  </si>
  <si>
    <t>2025 Selection Time</t>
  </si>
  <si>
    <t>Occupancy</t>
  </si>
  <si>
    <t>AC</t>
  </si>
  <si>
    <t>Sontag</t>
  </si>
  <si>
    <t>Single (Suited)</t>
  </si>
  <si>
    <t>Clark V</t>
  </si>
  <si>
    <t>S02A</t>
  </si>
  <si>
    <t>S03A</t>
  </si>
  <si>
    <t>S04A</t>
  </si>
  <si>
    <t>S05B</t>
  </si>
  <si>
    <t>S03B</t>
  </si>
  <si>
    <t>S04B</t>
  </si>
  <si>
    <t>S01B</t>
  </si>
  <si>
    <t>Double (Suited)</t>
  </si>
  <si>
    <t>S01A</t>
  </si>
  <si>
    <t>S06A</t>
  </si>
  <si>
    <t>S02B</t>
  </si>
  <si>
    <t>S06B</t>
  </si>
  <si>
    <t>S05A</t>
  </si>
  <si>
    <t>S26B</t>
  </si>
  <si>
    <t>S25A</t>
  </si>
  <si>
    <t>S23A</t>
  </si>
  <si>
    <t>S26A</t>
  </si>
  <si>
    <t>S21B</t>
  </si>
  <si>
    <t>S23B</t>
  </si>
  <si>
    <t>S22B</t>
  </si>
  <si>
    <t>S25B</t>
  </si>
  <si>
    <t>S24A</t>
  </si>
  <si>
    <t>S21A</t>
  </si>
  <si>
    <t>S24B</t>
  </si>
  <si>
    <t>S22A</t>
  </si>
  <si>
    <t>Wig</t>
  </si>
  <si>
    <t>Single</t>
  </si>
  <si>
    <t>Double</t>
  </si>
  <si>
    <t>100A</t>
  </si>
  <si>
    <t>100B</t>
  </si>
  <si>
    <t>Single (Private Bath)</t>
  </si>
  <si>
    <t>Triple</t>
  </si>
  <si>
    <t>Mudd</t>
  </si>
  <si>
    <t>269A</t>
  </si>
  <si>
    <t>291A</t>
  </si>
  <si>
    <t>Lawry</t>
  </si>
  <si>
    <t>C38</t>
  </si>
  <si>
    <t>B33</t>
  </si>
  <si>
    <t>A38</t>
  </si>
  <si>
    <t>C33</t>
  </si>
  <si>
    <t>C37</t>
  </si>
  <si>
    <t>C31</t>
  </si>
  <si>
    <t>A31</t>
  </si>
  <si>
    <t>C36</t>
  </si>
  <si>
    <t>A36</t>
  </si>
  <si>
    <t>B31</t>
  </si>
  <si>
    <t>C34</t>
  </si>
  <si>
    <t>B35</t>
  </si>
  <si>
    <t>B37</t>
  </si>
  <si>
    <t>B34</t>
  </si>
  <si>
    <t>A32</t>
  </si>
  <si>
    <t>A34</t>
  </si>
  <si>
    <t>B32</t>
  </si>
  <si>
    <t>B38</t>
  </si>
  <si>
    <t>A33</t>
  </si>
  <si>
    <t>A37</t>
  </si>
  <si>
    <t>C32</t>
  </si>
  <si>
    <t>A35</t>
  </si>
  <si>
    <t>B36</t>
  </si>
  <si>
    <t>C35</t>
  </si>
  <si>
    <t>C23</t>
  </si>
  <si>
    <t>C28</t>
  </si>
  <si>
    <t>C22</t>
  </si>
  <si>
    <t>A28</t>
  </si>
  <si>
    <t>A24</t>
  </si>
  <si>
    <t>A25</t>
  </si>
  <si>
    <t>B25</t>
  </si>
  <si>
    <t>B24</t>
  </si>
  <si>
    <t>B21</t>
  </si>
  <si>
    <t>A27</t>
  </si>
  <si>
    <t>C26</t>
  </si>
  <si>
    <t>C24</t>
  </si>
  <si>
    <t>B27</t>
  </si>
  <si>
    <t>A22</t>
  </si>
  <si>
    <t>B28</t>
  </si>
  <si>
    <t>B23</t>
  </si>
  <si>
    <t>C25</t>
  </si>
  <si>
    <t>A23</t>
  </si>
  <si>
    <t>A26</t>
  </si>
  <si>
    <t>C21</t>
  </si>
  <si>
    <t>B26</t>
  </si>
  <si>
    <t>C27</t>
  </si>
  <si>
    <t>A21</t>
  </si>
  <si>
    <t>B22</t>
  </si>
  <si>
    <t>B16</t>
  </si>
  <si>
    <t>A14</t>
  </si>
  <si>
    <t>B15</t>
  </si>
  <si>
    <t>C13</t>
  </si>
  <si>
    <t>C15</t>
  </si>
  <si>
    <t>B14</t>
  </si>
  <si>
    <t>C11</t>
  </si>
  <si>
    <t>B12</t>
  </si>
  <si>
    <t>A18</t>
  </si>
  <si>
    <t>C12</t>
  </si>
  <si>
    <t>A11</t>
  </si>
  <si>
    <t>C17</t>
  </si>
  <si>
    <t>A16</t>
  </si>
  <si>
    <t>B13</t>
  </si>
  <si>
    <t>C16</t>
  </si>
  <si>
    <t>C14</t>
  </si>
  <si>
    <t>B18</t>
  </si>
  <si>
    <t>A15</t>
  </si>
  <si>
    <t>A17</t>
  </si>
  <si>
    <t>A13</t>
  </si>
  <si>
    <t>A12</t>
  </si>
  <si>
    <t>B11</t>
  </si>
  <si>
    <t>C18</t>
  </si>
  <si>
    <t>Clark I</t>
  </si>
  <si>
    <t>118A</t>
  </si>
  <si>
    <t>101A</t>
  </si>
  <si>
    <t>113B</t>
  </si>
  <si>
    <t>130B</t>
  </si>
  <si>
    <t>108B</t>
  </si>
  <si>
    <t>115B</t>
  </si>
  <si>
    <t>108A</t>
  </si>
  <si>
    <t>125A</t>
  </si>
  <si>
    <t>104B</t>
  </si>
  <si>
    <t>116A</t>
  </si>
  <si>
    <t>102A</t>
  </si>
  <si>
    <t>113A</t>
  </si>
  <si>
    <t>116B</t>
  </si>
  <si>
    <t>112B</t>
  </si>
  <si>
    <t>132A</t>
  </si>
  <si>
    <t>120A</t>
  </si>
  <si>
    <t>121B</t>
  </si>
  <si>
    <t>133A</t>
  </si>
  <si>
    <t>103B</t>
  </si>
  <si>
    <t>124B</t>
  </si>
  <si>
    <t>101B</t>
  </si>
  <si>
    <t>105B</t>
  </si>
  <si>
    <t>124A</t>
  </si>
  <si>
    <t>133B</t>
  </si>
  <si>
    <t>114B</t>
  </si>
  <si>
    <t>121A</t>
  </si>
  <si>
    <t>105A</t>
  </si>
  <si>
    <t>103A</t>
  </si>
  <si>
    <t>114A</t>
  </si>
  <si>
    <t>123A</t>
  </si>
  <si>
    <t>117A</t>
  </si>
  <si>
    <t>118B</t>
  </si>
  <si>
    <t>109A</t>
  </si>
  <si>
    <t>127B</t>
  </si>
  <si>
    <t>110A</t>
  </si>
  <si>
    <t>119B</t>
  </si>
  <si>
    <t>120B</t>
  </si>
  <si>
    <t>122A</t>
  </si>
  <si>
    <t>129A</t>
  </si>
  <si>
    <t>110B</t>
  </si>
  <si>
    <t>126B</t>
  </si>
  <si>
    <t>119A</t>
  </si>
  <si>
    <t>131A</t>
  </si>
  <si>
    <t>127A</t>
  </si>
  <si>
    <t>134A</t>
  </si>
  <si>
    <t>107B</t>
  </si>
  <si>
    <t>112A</t>
  </si>
  <si>
    <t>130A</t>
  </si>
  <si>
    <t>125B</t>
  </si>
  <si>
    <t>102B</t>
  </si>
  <si>
    <t>134B</t>
  </si>
  <si>
    <t>131B</t>
  </si>
  <si>
    <t>126A</t>
  </si>
  <si>
    <t>106A</t>
  </si>
  <si>
    <t>107A</t>
  </si>
  <si>
    <t>104A</t>
  </si>
  <si>
    <t>111A</t>
  </si>
  <si>
    <t>122B</t>
  </si>
  <si>
    <t>129B</t>
  </si>
  <si>
    <t>109B</t>
  </si>
  <si>
    <t>106B</t>
  </si>
  <si>
    <t>111B</t>
  </si>
  <si>
    <t>117B</t>
  </si>
  <si>
    <t>132B</t>
  </si>
  <si>
    <t>123B</t>
  </si>
  <si>
    <t>115A</t>
  </si>
  <si>
    <t>219A</t>
  </si>
  <si>
    <t>210B</t>
  </si>
  <si>
    <t>200A</t>
  </si>
  <si>
    <t>207B</t>
  </si>
  <si>
    <t>217A</t>
  </si>
  <si>
    <t>205A</t>
  </si>
  <si>
    <t>209A</t>
  </si>
  <si>
    <t>219B</t>
  </si>
  <si>
    <t>210A</t>
  </si>
  <si>
    <t>217B</t>
  </si>
  <si>
    <t>202B</t>
  </si>
  <si>
    <t>207A</t>
  </si>
  <si>
    <t>213A</t>
  </si>
  <si>
    <t>220A</t>
  </si>
  <si>
    <t>218A</t>
  </si>
  <si>
    <t>208A</t>
  </si>
  <si>
    <t>220B</t>
  </si>
  <si>
    <t>213B</t>
  </si>
  <si>
    <t>206B</t>
  </si>
  <si>
    <t>203C</t>
  </si>
  <si>
    <t>206A</t>
  </si>
  <si>
    <t>203A</t>
  </si>
  <si>
    <t>201A</t>
  </si>
  <si>
    <t>214C</t>
  </si>
  <si>
    <t>216B</t>
  </si>
  <si>
    <t>208B</t>
  </si>
  <si>
    <t>212B</t>
  </si>
  <si>
    <t>205B</t>
  </si>
  <si>
    <t>212A</t>
  </si>
  <si>
    <t>211A</t>
  </si>
  <si>
    <t>203B</t>
  </si>
  <si>
    <t>200B</t>
  </si>
  <si>
    <t>202A</t>
  </si>
  <si>
    <t>211B</t>
  </si>
  <si>
    <t>216A</t>
  </si>
  <si>
    <t>214A</t>
  </si>
  <si>
    <t>218B</t>
  </si>
  <si>
    <t>201B</t>
  </si>
  <si>
    <t>214B</t>
  </si>
  <si>
    <t>209B</t>
  </si>
  <si>
    <t>Oldenborg</t>
  </si>
  <si>
    <t>Blaisdell</t>
  </si>
  <si>
    <t>L-1</t>
  </si>
  <si>
    <t>L-2</t>
  </si>
  <si>
    <t>Lyon</t>
  </si>
  <si>
    <t>A1</t>
  </si>
  <si>
    <t>Norton</t>
  </si>
  <si>
    <t>Harwood</t>
  </si>
  <si>
    <t>Smiley</t>
  </si>
  <si>
    <t>A5</t>
  </si>
  <si>
    <t>Gibson</t>
  </si>
  <si>
    <t>Clark III</t>
  </si>
  <si>
    <t>Walker</t>
  </si>
  <si>
    <t>Dialynas</t>
  </si>
  <si>
    <t>Building Name</t>
  </si>
  <si>
    <t>Room Number</t>
  </si>
  <si>
    <t>Square Footage</t>
  </si>
  <si>
    <t>Room Type</t>
  </si>
  <si>
    <t>Level</t>
  </si>
  <si>
    <t>Hall / Suite</t>
  </si>
  <si>
    <t>Occupancy(Overflow)</t>
  </si>
  <si>
    <t>1 (0)</t>
  </si>
  <si>
    <t>2 (0)</t>
  </si>
  <si>
    <t>3 (0)</t>
  </si>
  <si>
    <t>BLSD 116</t>
  </si>
  <si>
    <t>BLSD 130-131</t>
  </si>
  <si>
    <t>BLSD 230-231</t>
  </si>
  <si>
    <t>BLSD 341-343</t>
  </si>
  <si>
    <t>G</t>
  </si>
  <si>
    <t>CL-I 100</t>
  </si>
  <si>
    <t>CL-I 101</t>
  </si>
  <si>
    <t>CL-I 102</t>
  </si>
  <si>
    <t>CL-I 103</t>
  </si>
  <si>
    <t>CL-I 104</t>
  </si>
  <si>
    <t>CL-I 105</t>
  </si>
  <si>
    <t>CL-I 106</t>
  </si>
  <si>
    <t>CL-I 107</t>
  </si>
  <si>
    <t>CL-I 108</t>
  </si>
  <si>
    <t>CL-I 109</t>
  </si>
  <si>
    <t>CL-I 110</t>
  </si>
  <si>
    <t>CL-I 111</t>
  </si>
  <si>
    <t>CL-I 112</t>
  </si>
  <si>
    <t>CL-I 113</t>
  </si>
  <si>
    <t>CL-I 114</t>
  </si>
  <si>
    <t>CL-I 115</t>
  </si>
  <si>
    <t>CL-I 116</t>
  </si>
  <si>
    <t>CL-I 117</t>
  </si>
  <si>
    <t>CL-I 118</t>
  </si>
  <si>
    <t>CL-I 119</t>
  </si>
  <si>
    <t>CL-I 120</t>
  </si>
  <si>
    <t>CL-I 121</t>
  </si>
  <si>
    <t>CL-I 122</t>
  </si>
  <si>
    <t>CL-I 123</t>
  </si>
  <si>
    <t>CL-I 124</t>
  </si>
  <si>
    <t>CL-I 125</t>
  </si>
  <si>
    <t>CL-I 126</t>
  </si>
  <si>
    <t>CL-I 127</t>
  </si>
  <si>
    <t>CL-I 129</t>
  </si>
  <si>
    <t>CL-I 130</t>
  </si>
  <si>
    <t>CL-I 131</t>
  </si>
  <si>
    <t>CL-I 132</t>
  </si>
  <si>
    <t>CL-I 133</t>
  </si>
  <si>
    <t>CL-I 134</t>
  </si>
  <si>
    <t>CL-I 200</t>
  </si>
  <si>
    <t>CL-I 201</t>
  </si>
  <si>
    <t>CL-I 202</t>
  </si>
  <si>
    <t>CL-I 203</t>
  </si>
  <si>
    <t>1 (1)</t>
  </si>
  <si>
    <t>CL-I 205</t>
  </si>
  <si>
    <t>CL-I 206</t>
  </si>
  <si>
    <t>CL-I 207</t>
  </si>
  <si>
    <t>CL-I 208</t>
  </si>
  <si>
    <t>CL-I 209</t>
  </si>
  <si>
    <t>CL-I 210</t>
  </si>
  <si>
    <t>CL-I 211</t>
  </si>
  <si>
    <t>CL-I 212</t>
  </si>
  <si>
    <t>CL-I 213</t>
  </si>
  <si>
    <t>CL-I 214</t>
  </si>
  <si>
    <t>CL-I 216</t>
  </si>
  <si>
    <t>CL-I 217</t>
  </si>
  <si>
    <t>CL-I 218</t>
  </si>
  <si>
    <t>CL-I 219</t>
  </si>
  <si>
    <t>CL-I 220</t>
  </si>
  <si>
    <t>2 (1)</t>
  </si>
  <si>
    <t>CL-III 207-208</t>
  </si>
  <si>
    <t>CL-V 401-404</t>
  </si>
  <si>
    <t>CL-V 405-408</t>
  </si>
  <si>
    <t>CL-V 409-412</t>
  </si>
  <si>
    <t>CL-V 413-416</t>
  </si>
  <si>
    <t>CL-V 417-420</t>
  </si>
  <si>
    <t>CL-V 421-424</t>
  </si>
  <si>
    <t>CL-V 425-427</t>
  </si>
  <si>
    <t>CL-V 428-430</t>
  </si>
  <si>
    <t>CL-V 431-432</t>
  </si>
  <si>
    <t>CL-V 433-434</t>
  </si>
  <si>
    <t>CL-V 435-436</t>
  </si>
  <si>
    <t>CL-V 437-438</t>
  </si>
  <si>
    <t>CL-V 439-440</t>
  </si>
  <si>
    <t>CL-V 441-442</t>
  </si>
  <si>
    <t>CL-V 443-444</t>
  </si>
  <si>
    <t>CL-V 445-446</t>
  </si>
  <si>
    <t>CL-V S1</t>
  </si>
  <si>
    <t>CL-V S2</t>
  </si>
  <si>
    <t>CL-V S3</t>
  </si>
  <si>
    <t>CL-V S4</t>
  </si>
  <si>
    <t>CL-V S5</t>
  </si>
  <si>
    <t>CL-V S6</t>
  </si>
  <si>
    <t>CL-V 451-454</t>
  </si>
  <si>
    <t>CL-V 455-458</t>
  </si>
  <si>
    <t>CL-V 459-462</t>
  </si>
  <si>
    <t>CL-V 463-466</t>
  </si>
  <si>
    <t>CL-V 467-470</t>
  </si>
  <si>
    <t>CL-V 471-474</t>
  </si>
  <si>
    <t>CL-V S21</t>
  </si>
  <si>
    <t>CL-V S22</t>
  </si>
  <si>
    <t>CL-V S23</t>
  </si>
  <si>
    <t>CL-V S24</t>
  </si>
  <si>
    <t>CL-V S25</t>
  </si>
  <si>
    <t>CL-V S26</t>
  </si>
  <si>
    <t>DLNS 100</t>
  </si>
  <si>
    <t>DLNS 110</t>
  </si>
  <si>
    <t>DLNS 120</t>
  </si>
  <si>
    <t>DLNS 130</t>
  </si>
  <si>
    <t>DLNS 200</t>
  </si>
  <si>
    <t>DLNS 220</t>
  </si>
  <si>
    <t>DLNS 230</t>
  </si>
  <si>
    <t>DLNS 240</t>
  </si>
  <si>
    <t>DLNS 250</t>
  </si>
  <si>
    <t>DLNS 260</t>
  </si>
  <si>
    <t>DLNS 270</t>
  </si>
  <si>
    <t>DLNS 280</t>
  </si>
  <si>
    <t>DLNS 300</t>
  </si>
  <si>
    <t>DLNS 310</t>
  </si>
  <si>
    <t>DLNS 320</t>
  </si>
  <si>
    <t>DLNS 330</t>
  </si>
  <si>
    <t>DLNS 340</t>
  </si>
  <si>
    <t>DLNS 350</t>
  </si>
  <si>
    <t>HAR 123 125</t>
  </si>
  <si>
    <t>0 (0)</t>
  </si>
  <si>
    <t>HAR 223 225 227</t>
  </si>
  <si>
    <t>HAR 226 228</t>
  </si>
  <si>
    <t>HAR 253 255 257 259</t>
  </si>
  <si>
    <t>HAR 301-302</t>
  </si>
  <si>
    <t>HAR 319 321 323 325</t>
  </si>
  <si>
    <t>HAR 342 344 345 347</t>
  </si>
  <si>
    <t>FS HAR 378-379</t>
  </si>
  <si>
    <t>FS HAR 1 2 3 5 7</t>
  </si>
  <si>
    <t>FS HAR 11 13 15 17</t>
  </si>
  <si>
    <t>LWRY A1</t>
  </si>
  <si>
    <t>LWRY B1</t>
  </si>
  <si>
    <t>LWRY C1</t>
  </si>
  <si>
    <t>LWRY A2</t>
  </si>
  <si>
    <t>LWRY B2</t>
  </si>
  <si>
    <t>LWRY C2</t>
  </si>
  <si>
    <t>LWRY A3</t>
  </si>
  <si>
    <t>LWRY B3</t>
  </si>
  <si>
    <t>LWRY C3</t>
  </si>
  <si>
    <t>1 (2)</t>
  </si>
  <si>
    <t>MUDD 310-314</t>
  </si>
  <si>
    <t>OLD 101-102</t>
  </si>
  <si>
    <t>OLD 103 &amp; 105</t>
  </si>
  <si>
    <t>OLD 104 &amp; 106</t>
  </si>
  <si>
    <t>OLD 107 &amp; 109</t>
  </si>
  <si>
    <t>OLD 108 &amp; 110</t>
  </si>
  <si>
    <t>OLD 111 &amp; 113</t>
  </si>
  <si>
    <t>OLD 115 &amp; 117</t>
  </si>
  <si>
    <t>OLD 122 &amp; 124</t>
  </si>
  <si>
    <t>OLD 123 &amp; 125</t>
  </si>
  <si>
    <t>OLD 126 &amp; 128</t>
  </si>
  <si>
    <t>OLD 127 &amp; 129</t>
  </si>
  <si>
    <t>OLD 138 &amp; 140</t>
  </si>
  <si>
    <t>OLD 139 &amp; 141</t>
  </si>
  <si>
    <t>OLD 142 &amp; 144</t>
  </si>
  <si>
    <t>OLD 143  &amp; 145</t>
  </si>
  <si>
    <t>OLD 147 &amp; 149</t>
  </si>
  <si>
    <t>OLD 151 &amp; 153</t>
  </si>
  <si>
    <t>OLD 155 &amp; 157</t>
  </si>
  <si>
    <t>OLD 159 &amp; 161</t>
  </si>
  <si>
    <t>OLD 160 &amp; 162</t>
  </si>
  <si>
    <t>OLD 163 &amp; 165</t>
  </si>
  <si>
    <t>OLD 164 &amp; 166</t>
  </si>
  <si>
    <t>OLD 168 &amp; 167</t>
  </si>
  <si>
    <t>OLD 201-202</t>
  </si>
  <si>
    <t>OLD 203 &amp; 205</t>
  </si>
  <si>
    <t>OLD 204 &amp; 206</t>
  </si>
  <si>
    <t>OLD 207 &amp; 209</t>
  </si>
  <si>
    <t>OLD 208 &amp; 210</t>
  </si>
  <si>
    <t>OLD 211 &amp; 213</t>
  </si>
  <si>
    <t>OLD 215 &amp; 217</t>
  </si>
  <si>
    <t>OLD 222 &amp; 224</t>
  </si>
  <si>
    <t>OLD 223 &amp; 225</t>
  </si>
  <si>
    <t>OLD 226 &amp; 228</t>
  </si>
  <si>
    <t>OLD 227 &amp; 229</t>
  </si>
  <si>
    <t>OLD 238 &amp; 240</t>
  </si>
  <si>
    <t>OLD 239 &amp; 241</t>
  </si>
  <si>
    <t>OLD 242 &amp; 244</t>
  </si>
  <si>
    <t>OLD 243 &amp; 245</t>
  </si>
  <si>
    <t>OLD 251 &amp; 253</t>
  </si>
  <si>
    <t>OLD 255 &amp; 257</t>
  </si>
  <si>
    <t>OLD 259 &amp; 261</t>
  </si>
  <si>
    <t>OLD 260 &amp; 262</t>
  </si>
  <si>
    <t>OLD 263 &amp; 265</t>
  </si>
  <si>
    <t>OLD 264 &amp; 266</t>
  </si>
  <si>
    <t>OLD 267-268</t>
  </si>
  <si>
    <t>OLD 301-302</t>
  </si>
  <si>
    <t>OLD 303 &amp; 305</t>
  </si>
  <si>
    <t>OLD 307 &amp; 309</t>
  </si>
  <si>
    <t>OLD 359 &amp; 361</t>
  </si>
  <si>
    <t>OLD 363 &amp; 365</t>
  </si>
  <si>
    <t>OLD 367-368</t>
  </si>
  <si>
    <t>SNTG 110</t>
  </si>
  <si>
    <t>SNTG 120</t>
  </si>
  <si>
    <t>SNTG 130</t>
  </si>
  <si>
    <t>SNTG 140</t>
  </si>
  <si>
    <t>SNTG 150</t>
  </si>
  <si>
    <t>SNTG 160</t>
  </si>
  <si>
    <t>SNTG 200</t>
  </si>
  <si>
    <t>SNTG 210</t>
  </si>
  <si>
    <t>SNTG 220</t>
  </si>
  <si>
    <t>SNTG 230</t>
  </si>
  <si>
    <t>SNTG 240</t>
  </si>
  <si>
    <t>SNTG 250</t>
  </si>
  <si>
    <t>SNTG 260</t>
  </si>
  <si>
    <t>SNTG 300</t>
  </si>
  <si>
    <t>SNTG 310</t>
  </si>
  <si>
    <t>SNTG 320</t>
  </si>
  <si>
    <t>SNTG 330</t>
  </si>
  <si>
    <t>FS WALK 601 602</t>
  </si>
  <si>
    <t>WALK 603-604</t>
  </si>
  <si>
    <t>WALK 610-611</t>
  </si>
  <si>
    <t>WALK 617-618</t>
  </si>
  <si>
    <t>WALK 624-625</t>
  </si>
  <si>
    <t>WALK 626-627</t>
  </si>
  <si>
    <t>WALK 628-629</t>
  </si>
  <si>
    <t>WALK 630 631 657</t>
  </si>
  <si>
    <t>WALK 632-633</t>
  </si>
  <si>
    <t>WALK 634 635 656</t>
  </si>
  <si>
    <t>WALK 636-637</t>
  </si>
  <si>
    <t>WALK 638 639 655</t>
  </si>
  <si>
    <t>WALK 640-641</t>
  </si>
  <si>
    <t>WALK 642 643 654</t>
  </si>
  <si>
    <t>WALK 644-645</t>
  </si>
  <si>
    <t>WALK 646 647 653</t>
  </si>
  <si>
    <t>WALK 648-649</t>
  </si>
  <si>
    <t>WALK 650 651 652</t>
  </si>
  <si>
    <t>WALK 734-735</t>
  </si>
  <si>
    <t>WALK 736-737</t>
  </si>
  <si>
    <t>WALK 738-739</t>
  </si>
  <si>
    <t>WALK 740-741</t>
  </si>
  <si>
    <t>WALK 742-743</t>
  </si>
  <si>
    <t>WALK 744-745</t>
  </si>
  <si>
    <t>WALK 746-747</t>
  </si>
  <si>
    <t>WALK 748-749</t>
  </si>
  <si>
    <t>WALK 750-751</t>
  </si>
  <si>
    <t>WALK 752-753</t>
  </si>
  <si>
    <t>Wig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</si>
</sst>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mmm\ d\,\ yyyy\ h:mm\ AM/PM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F3F76"/>
      <name val="Aptos Narrow"/>
      <family val="2"/>
      <scheme val="minor"/>
    </font>
    <font>
      <sz val="12"/>
      <color rgb="FF3F3F76"/>
      <name val="Times New Roman"/>
      <family val="1"/>
    </font>
    <font>
      <b/>
      <sz val="12"/>
      <color rgb="FF3F3F7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20">
    <xf numFmtId="0" fontId="0" fillId="0" borderId="0" xfId="0"/>
    <xf numFmtId="164" fontId="0" fillId="0" borderId="0" xfId="0" applyNumberFormat="1"/>
    <xf numFmtId="0" fontId="2" fillId="0" borderId="0" xfId="0" applyFont="1"/>
    <xf numFmtId="165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2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0" fontId="4" fillId="2" borderId="1" xfId="1" applyFont="1"/>
    <xf numFmtId="165" fontId="4" fillId="2" borderId="1" xfId="1" applyNumberFormat="1" applyFont="1"/>
    <xf numFmtId="165" fontId="4" fillId="2" borderId="1" xfId="1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2" borderId="1" xfId="1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3" xfId="1" applyFont="1" applyBorder="1" applyAlignment="1">
      <alignment horizontal="left"/>
    </xf>
    <xf numFmtId="165" fontId="4" fillId="2" borderId="3" xfId="1" applyNumberFormat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165" fontId="5" fillId="2" borderId="2" xfId="1" applyNumberFormat="1" applyFont="1" applyBorder="1" applyAlignment="1">
      <alignment horizontal="left"/>
    </xf>
    <xf numFmtId="0" fontId="5" fillId="2" borderId="2" xfId="1" applyFont="1" applyBorder="1" applyAlignment="1">
      <alignment horizontal="left"/>
    </xf>
    <xf numFmtId="165" fontId="4" fillId="2" borderId="2" xfId="1" applyNumberFormat="1" applyFont="1" applyBorder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u Vo" id="{77781186-32AB-6943-9DAD-5CE6A6205C83}" userId="S::pqvo2024@mymail.pomona.edu::9548f09f-d6e1-44af-894d-392caab51819" providerId="AD"/>
  <person displayName="Ronnie Ho" id="{E4C445DC-673B-6C42-8616-F34F0693198A}" userId="S::yhqs2024@mymail.pomona.edu::cef44d4f-1403-4965-8161-294b4312ed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19T04:49:58.41" personId="{77781186-32AB-6943-9DAD-5CE6A6205C83}" id="{A48B7325-250D-43E2-A14A-7CCDF08BC7A2}">
    <text>String</text>
  </threadedComment>
  <threadedComment ref="M1" dT="2026-04-19T04:49:39.83" personId="{77781186-32AB-6943-9DAD-5CE6A6205C83}" id="{B8269A9A-B13E-4EB6-8A07-E3D70005C7B7}">
    <text>Int</text>
  </threadedComment>
  <threadedComment ref="N1" dT="2026-04-19T04:49:29.48" personId="{77781186-32AB-6943-9DAD-5CE6A6205C83}" id="{97CEA5EF-287B-40CE-98A1-E0504F7FC5F8}">
    <text>Boolean</text>
  </threadedComment>
  <threadedComment ref="B14" dT="2026-04-19T16:28:33.89" personId="{E4C445DC-673B-6C42-8616-F34F0693198A}" id="{C1AD5F49-68CC-A142-9B13-D32559990417}">
    <text>This dorm is weird, it has a 25 and a 25a. I just reported the room 25 sq. ft. only</text>
  </threadedComment>
  <threadedComment ref="B439" dT="2026-04-19T17:06:24.07" personId="{E4C445DC-673B-6C42-8616-F34F0693198A}" id="{A041ACCC-14BC-FC4E-9CE1-AD88D4A8DCAB}">
    <text>A weird dorm. Floorplan says this room is 27 sqft. I assume it is a typo and it is actually 127 ft.</text>
  </threadedComment>
  <threadedComment ref="B682" dT="2026-04-19T17:44:41.06" personId="{E4C445DC-673B-6C42-8616-F34F0693198A}" id="{378BA444-3FC4-264B-AA5D-0B2A590551C4}">
    <text>Smiley A5 does not show up on the floorplan.</text>
  </threadedComment>
  <threadedComment ref="B682" dT="2026-04-22T20:32:44.25" personId="{E4C445DC-673B-6C42-8616-F34F0693198A}" id="{380F665D-BA12-D145-8BE6-65D9F12A86ED}" parentId="{378BA444-3FC4-264B-AA5D-0B2A590551C4}">
    <text>Just spoke with Scacco, he said 261</text>
  </threadedComment>
  <threadedComment ref="B794" dT="2026-04-19T17:55:46.97" personId="{E4C445DC-673B-6C42-8616-F34F0693198A}" id="{5A0CDC2C-64AE-BF41-8A4E-E7D7613303B9}">
    <text>Walker - 731 does not show up on the floorplan, but I assume it is the room that is listed as 142 sqft on the floorplan.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E6C4-9564-40F9-9F9D-2C7C87057C77}">
  <dimension ref="A1:C870"/>
  <sheetViews>
    <sheetView workbookViewId="0">
      <selection activeCell="C5" sqref="C5"/>
    </sheetView>
  </sheetViews>
  <sheetFormatPr defaultColWidth="8.85546875" defaultRowHeight="15" x14ac:dyDescent="0.25"/>
  <cols>
    <col min="1" max="2" width="23.42578125" bestFit="1" customWidth="1"/>
    <col min="3" max="3" width="3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45029.75</v>
      </c>
      <c r="B2" s="1">
        <v>45027.708333333001</v>
      </c>
      <c r="C2" t="s">
        <v>3</v>
      </c>
    </row>
    <row r="3" spans="1:3" x14ac:dyDescent="0.25">
      <c r="A3" s="1">
        <v>45028.787499999999</v>
      </c>
      <c r="B3" s="1">
        <v>45027.708333333001</v>
      </c>
      <c r="C3" t="s">
        <v>4</v>
      </c>
    </row>
    <row r="4" spans="1:3" x14ac:dyDescent="0.25">
      <c r="A4" s="1">
        <v>45028.785416667</v>
      </c>
      <c r="B4" s="1">
        <v>45027.708333333001</v>
      </c>
      <c r="C4" t="s">
        <v>5</v>
      </c>
    </row>
    <row r="5" spans="1:3" x14ac:dyDescent="0.25">
      <c r="A5" s="1">
        <v>45028.720833332998</v>
      </c>
      <c r="B5" s="1">
        <v>45027.708333333001</v>
      </c>
      <c r="C5" t="s">
        <v>6</v>
      </c>
    </row>
    <row r="6" spans="1:3" x14ac:dyDescent="0.25">
      <c r="A6" s="1">
        <v>45029.714583333</v>
      </c>
      <c r="B6" s="1">
        <v>45027.708333333001</v>
      </c>
      <c r="C6" t="s">
        <v>7</v>
      </c>
    </row>
    <row r="7" spans="1:3" x14ac:dyDescent="0.25">
      <c r="A7" s="1">
        <v>45027.760416666999</v>
      </c>
      <c r="B7" s="1">
        <v>45027.708333333001</v>
      </c>
      <c r="C7" t="s">
        <v>8</v>
      </c>
    </row>
    <row r="8" spans="1:3" x14ac:dyDescent="0.25">
      <c r="A8" s="1">
        <v>45027.852083332997</v>
      </c>
      <c r="B8" s="1">
        <v>45027.708333333001</v>
      </c>
      <c r="C8" t="s">
        <v>9</v>
      </c>
    </row>
    <row r="9" spans="1:3" x14ac:dyDescent="0.25">
      <c r="A9" s="1">
        <v>45027.78125</v>
      </c>
      <c r="B9" s="1">
        <v>45027.708333333001</v>
      </c>
      <c r="C9" t="s">
        <v>10</v>
      </c>
    </row>
    <row r="10" spans="1:3" x14ac:dyDescent="0.25">
      <c r="A10" s="1">
        <v>45027.727083332997</v>
      </c>
      <c r="B10" s="1">
        <v>45027.708333333001</v>
      </c>
      <c r="C10" t="s">
        <v>11</v>
      </c>
    </row>
    <row r="11" spans="1:3" x14ac:dyDescent="0.25">
      <c r="A11" s="1">
        <v>45028.854166666999</v>
      </c>
      <c r="B11" s="1">
        <v>45027.708333333001</v>
      </c>
      <c r="C11" t="s">
        <v>12</v>
      </c>
    </row>
    <row r="12" spans="1:3" x14ac:dyDescent="0.25">
      <c r="A12" s="1">
        <v>45027.835416667003</v>
      </c>
      <c r="B12" s="1">
        <v>45027.708333333001</v>
      </c>
      <c r="C12" t="s">
        <v>13</v>
      </c>
    </row>
    <row r="13" spans="1:3" x14ac:dyDescent="0.25">
      <c r="A13" s="1">
        <v>45030.372916667002</v>
      </c>
      <c r="B13" s="1">
        <v>45027.708333333001</v>
      </c>
    </row>
    <row r="14" spans="1:3" x14ac:dyDescent="0.25">
      <c r="A14" s="1">
        <v>45028.789583332997</v>
      </c>
      <c r="B14" s="1">
        <v>45027.708333333001</v>
      </c>
      <c r="C14" t="s">
        <v>14</v>
      </c>
    </row>
    <row r="15" spans="1:3" x14ac:dyDescent="0.25">
      <c r="A15" s="1">
        <v>45027.768750000003</v>
      </c>
      <c r="B15" s="1">
        <v>45027.708333333001</v>
      </c>
      <c r="C15" t="s">
        <v>15</v>
      </c>
    </row>
    <row r="16" spans="1:3" x14ac:dyDescent="0.25">
      <c r="A16" s="1">
        <v>45028.800000000003</v>
      </c>
      <c r="B16" s="1">
        <v>45027.708333333001</v>
      </c>
      <c r="C16" t="s">
        <v>16</v>
      </c>
    </row>
    <row r="17" spans="1:3" x14ac:dyDescent="0.25">
      <c r="A17" s="1">
        <v>45027.720833332998</v>
      </c>
      <c r="B17" s="1">
        <v>45027.708333333001</v>
      </c>
      <c r="C17" t="s">
        <v>17</v>
      </c>
    </row>
    <row r="18" spans="1:3" x14ac:dyDescent="0.25">
      <c r="A18" s="1">
        <v>45028.727083332997</v>
      </c>
      <c r="B18" s="1">
        <v>45027.708333333001</v>
      </c>
      <c r="C18" t="s">
        <v>18</v>
      </c>
    </row>
    <row r="19" spans="1:3" x14ac:dyDescent="0.25">
      <c r="A19" s="1">
        <v>45028.795833333003</v>
      </c>
      <c r="B19" s="1">
        <v>45027.708333333001</v>
      </c>
      <c r="C19" t="s">
        <v>19</v>
      </c>
    </row>
    <row r="20" spans="1:3" x14ac:dyDescent="0.25">
      <c r="A20" s="1">
        <v>45028.775000000001</v>
      </c>
      <c r="B20" s="1">
        <v>45027.708333333001</v>
      </c>
      <c r="C20" t="s">
        <v>20</v>
      </c>
    </row>
    <row r="21" spans="1:3" x14ac:dyDescent="0.25">
      <c r="A21" s="1">
        <v>45027.872916667002</v>
      </c>
      <c r="B21" s="1">
        <v>45027.708333333001</v>
      </c>
      <c r="C21" t="s">
        <v>21</v>
      </c>
    </row>
    <row r="22" spans="1:3" x14ac:dyDescent="0.25">
      <c r="A22" s="1">
        <v>45027.797916666997</v>
      </c>
      <c r="B22" s="1">
        <v>45027.710416667003</v>
      </c>
      <c r="C22" t="s">
        <v>22</v>
      </c>
    </row>
    <row r="23" spans="1:3" x14ac:dyDescent="0.25">
      <c r="A23" s="1">
        <v>45027.795833333003</v>
      </c>
      <c r="B23" s="1">
        <v>45027.710416667003</v>
      </c>
      <c r="C23" t="s">
        <v>23</v>
      </c>
    </row>
    <row r="24" spans="1:3" x14ac:dyDescent="0.25">
      <c r="A24" s="1">
        <v>45028.75</v>
      </c>
      <c r="B24" s="1">
        <v>45027.710416667003</v>
      </c>
      <c r="C24" t="s">
        <v>24</v>
      </c>
    </row>
    <row r="25" spans="1:3" x14ac:dyDescent="0.25">
      <c r="A25" s="1">
        <v>45029.770833333001</v>
      </c>
      <c r="B25" s="1">
        <v>45027.710416667003</v>
      </c>
      <c r="C25" t="s">
        <v>25</v>
      </c>
    </row>
    <row r="26" spans="1:3" x14ac:dyDescent="0.25">
      <c r="A26" s="1">
        <v>45029.712500000001</v>
      </c>
      <c r="B26" s="1">
        <v>45027.710416667003</v>
      </c>
      <c r="C26" t="s">
        <v>26</v>
      </c>
    </row>
    <row r="27" spans="1:3" x14ac:dyDescent="0.25">
      <c r="A27" s="1">
        <v>45027.712500000001</v>
      </c>
      <c r="B27" s="1">
        <v>45027.710416667003</v>
      </c>
      <c r="C27" t="s">
        <v>27</v>
      </c>
    </row>
    <row r="28" spans="1:3" x14ac:dyDescent="0.25">
      <c r="A28" s="1">
        <v>45029.712500000001</v>
      </c>
      <c r="B28" s="1">
        <v>45027.710416667003</v>
      </c>
      <c r="C28" t="s">
        <v>28</v>
      </c>
    </row>
    <row r="29" spans="1:3" x14ac:dyDescent="0.25">
      <c r="A29" s="1">
        <v>45028.816666667</v>
      </c>
      <c r="B29" s="1">
        <v>45027.710416667003</v>
      </c>
      <c r="C29" t="s">
        <v>29</v>
      </c>
    </row>
    <row r="30" spans="1:3" x14ac:dyDescent="0.25">
      <c r="A30" s="1">
        <v>45029.756249999999</v>
      </c>
      <c r="B30" s="1">
        <v>45027.710416667003</v>
      </c>
      <c r="C30" t="s">
        <v>30</v>
      </c>
    </row>
    <row r="31" spans="1:3" x14ac:dyDescent="0.25">
      <c r="A31" s="1">
        <v>45027.720833332998</v>
      </c>
      <c r="B31" s="1">
        <v>45027.710416667003</v>
      </c>
      <c r="C31" t="s">
        <v>31</v>
      </c>
    </row>
    <row r="32" spans="1:3" x14ac:dyDescent="0.25">
      <c r="A32" s="1">
        <v>45029.837500000001</v>
      </c>
      <c r="B32" s="1">
        <v>45027.710416667003</v>
      </c>
      <c r="C32" t="s">
        <v>32</v>
      </c>
    </row>
    <row r="33" spans="1:3" x14ac:dyDescent="0.25">
      <c r="A33" s="1">
        <v>45027.835416667003</v>
      </c>
      <c r="B33" s="1">
        <v>45027.710416667003</v>
      </c>
      <c r="C33" t="s">
        <v>33</v>
      </c>
    </row>
    <row r="34" spans="1:3" x14ac:dyDescent="0.25">
      <c r="A34" s="1">
        <v>45027.787499999999</v>
      </c>
      <c r="B34" s="1">
        <v>45027.710416667003</v>
      </c>
      <c r="C34" t="s">
        <v>34</v>
      </c>
    </row>
    <row r="35" spans="1:3" x14ac:dyDescent="0.25">
      <c r="A35" s="1">
        <v>45027.839583333</v>
      </c>
      <c r="B35" s="1">
        <v>45027.710416667003</v>
      </c>
      <c r="C35" t="s">
        <v>35</v>
      </c>
    </row>
    <row r="36" spans="1:3" x14ac:dyDescent="0.25">
      <c r="A36" s="1">
        <v>45028.783333332998</v>
      </c>
      <c r="B36" s="1">
        <v>45027.710416667003</v>
      </c>
      <c r="C36" t="s">
        <v>36</v>
      </c>
    </row>
    <row r="37" spans="1:3" x14ac:dyDescent="0.25">
      <c r="A37" s="1">
        <v>45029.802083333001</v>
      </c>
      <c r="B37" s="1">
        <v>45027.710416667003</v>
      </c>
      <c r="C37" t="s">
        <v>37</v>
      </c>
    </row>
    <row r="38" spans="1:3" x14ac:dyDescent="0.25">
      <c r="A38" s="1">
        <v>45029.833333333001</v>
      </c>
      <c r="B38" s="1">
        <v>45027.710416667003</v>
      </c>
      <c r="C38" t="s">
        <v>38</v>
      </c>
    </row>
    <row r="39" spans="1:3" x14ac:dyDescent="0.25">
      <c r="A39" s="1">
        <v>45027.854166666999</v>
      </c>
      <c r="B39" s="1">
        <v>45027.710416667003</v>
      </c>
      <c r="C39" t="s">
        <v>39</v>
      </c>
    </row>
    <row r="40" spans="1:3" x14ac:dyDescent="0.25">
      <c r="A40" s="1">
        <v>45027.766666666997</v>
      </c>
      <c r="B40" s="1">
        <v>45027.712500000001</v>
      </c>
      <c r="C40" t="s">
        <v>40</v>
      </c>
    </row>
    <row r="41" spans="1:3" x14ac:dyDescent="0.25">
      <c r="A41" s="1">
        <v>45029.758333332997</v>
      </c>
      <c r="B41" s="1">
        <v>45027.712500000001</v>
      </c>
      <c r="C41" t="s">
        <v>41</v>
      </c>
    </row>
    <row r="42" spans="1:3" x14ac:dyDescent="0.25">
      <c r="A42" s="1">
        <v>45029.743750000001</v>
      </c>
      <c r="B42" s="1">
        <v>45027.712500000001</v>
      </c>
      <c r="C42" t="s">
        <v>42</v>
      </c>
    </row>
    <row r="43" spans="1:3" x14ac:dyDescent="0.25">
      <c r="A43" s="1">
        <v>45029.760416666999</v>
      </c>
      <c r="B43" s="1">
        <v>45027.712500000001</v>
      </c>
      <c r="C43" t="s">
        <v>43</v>
      </c>
    </row>
    <row r="44" spans="1:3" x14ac:dyDescent="0.25">
      <c r="A44" s="1">
        <v>45027.864583333001</v>
      </c>
      <c r="B44" s="1">
        <v>45027.712500000001</v>
      </c>
      <c r="C44" t="s">
        <v>44</v>
      </c>
    </row>
    <row r="45" spans="1:3" x14ac:dyDescent="0.25">
      <c r="A45" s="1">
        <v>45028.800000000003</v>
      </c>
      <c r="B45" s="1">
        <v>45027.712500000001</v>
      </c>
      <c r="C45" t="s">
        <v>45</v>
      </c>
    </row>
    <row r="46" spans="1:3" x14ac:dyDescent="0.25">
      <c r="A46" s="1">
        <v>45028.745833333</v>
      </c>
      <c r="B46" s="1">
        <v>45027.712500000001</v>
      </c>
      <c r="C46" t="s">
        <v>46</v>
      </c>
    </row>
    <row r="47" spans="1:3" x14ac:dyDescent="0.25">
      <c r="A47" s="1">
        <v>45029.785416667</v>
      </c>
      <c r="B47" s="1">
        <v>45027.712500000001</v>
      </c>
      <c r="C47" t="s">
        <v>47</v>
      </c>
    </row>
    <row r="48" spans="1:3" x14ac:dyDescent="0.25">
      <c r="A48" s="1">
        <v>45028.729166666999</v>
      </c>
      <c r="B48" s="1">
        <v>45027.712500000001</v>
      </c>
      <c r="C48" t="s">
        <v>48</v>
      </c>
    </row>
    <row r="49" spans="1:3" x14ac:dyDescent="0.25">
      <c r="A49" s="1">
        <v>45027.9</v>
      </c>
      <c r="B49" s="1">
        <v>45027.712500000001</v>
      </c>
      <c r="C49" t="s">
        <v>49</v>
      </c>
    </row>
    <row r="50" spans="1:3" x14ac:dyDescent="0.25">
      <c r="A50" s="1">
        <v>45029.8</v>
      </c>
      <c r="B50" s="1">
        <v>45027.712500000001</v>
      </c>
      <c r="C50" t="s">
        <v>50</v>
      </c>
    </row>
    <row r="51" spans="1:3" x14ac:dyDescent="0.25">
      <c r="A51" s="1">
        <v>45029.806250000001</v>
      </c>
      <c r="B51" s="1">
        <v>45027.712500000001</v>
      </c>
      <c r="C51" t="s">
        <v>51</v>
      </c>
    </row>
    <row r="52" spans="1:3" x14ac:dyDescent="0.25">
      <c r="A52" s="1">
        <v>45027.783333332998</v>
      </c>
      <c r="B52" s="1">
        <v>45027.712500000001</v>
      </c>
      <c r="C52" t="s">
        <v>52</v>
      </c>
    </row>
    <row r="53" spans="1:3" x14ac:dyDescent="0.25">
      <c r="A53" s="1">
        <v>45027.75</v>
      </c>
      <c r="B53" s="1">
        <v>45027.712500000001</v>
      </c>
      <c r="C53" t="s">
        <v>53</v>
      </c>
    </row>
    <row r="54" spans="1:3" x14ac:dyDescent="0.25">
      <c r="A54" s="1">
        <v>45027.818749999999</v>
      </c>
      <c r="B54" s="1">
        <v>45027.712500000001</v>
      </c>
      <c r="C54" t="s">
        <v>54</v>
      </c>
    </row>
    <row r="55" spans="1:3" x14ac:dyDescent="0.25">
      <c r="A55" s="1">
        <v>45029.712500000001</v>
      </c>
      <c r="B55" s="1">
        <v>45027.712500000001</v>
      </c>
      <c r="C55" t="s">
        <v>55</v>
      </c>
    </row>
    <row r="56" spans="1:3" x14ac:dyDescent="0.25">
      <c r="A56" s="1">
        <v>45027.727083332997</v>
      </c>
      <c r="B56" s="1">
        <v>45027.712500000001</v>
      </c>
      <c r="C56" t="s">
        <v>56</v>
      </c>
    </row>
    <row r="57" spans="1:3" x14ac:dyDescent="0.25">
      <c r="A57" s="1">
        <v>45029.804166667003</v>
      </c>
      <c r="B57" s="1">
        <v>45027.712500000001</v>
      </c>
      <c r="C57" t="s">
        <v>57</v>
      </c>
    </row>
    <row r="58" spans="1:3" x14ac:dyDescent="0.25">
      <c r="A58" s="1">
        <v>45027.902083333</v>
      </c>
      <c r="B58" s="1">
        <v>45027.712500000001</v>
      </c>
      <c r="C58" t="s">
        <v>58</v>
      </c>
    </row>
    <row r="59" spans="1:3" x14ac:dyDescent="0.25">
      <c r="A59" s="1">
        <v>45028.724999999999</v>
      </c>
      <c r="B59" s="1">
        <v>45027.712500000001</v>
      </c>
      <c r="C59" t="s">
        <v>59</v>
      </c>
    </row>
    <row r="60" spans="1:3" x14ac:dyDescent="0.25">
      <c r="A60" s="1">
        <v>45029.850694444001</v>
      </c>
      <c r="B60" s="1">
        <v>45027.712500000001</v>
      </c>
    </row>
    <row r="61" spans="1:3" x14ac:dyDescent="0.25">
      <c r="A61" s="1">
        <v>45027.8125</v>
      </c>
      <c r="B61" s="1">
        <v>45027.712500000001</v>
      </c>
      <c r="C61" t="s">
        <v>60</v>
      </c>
    </row>
    <row r="62" spans="1:3" x14ac:dyDescent="0.25">
      <c r="A62" s="1">
        <v>45027.769444443999</v>
      </c>
      <c r="B62" s="1">
        <v>45027.712500000001</v>
      </c>
      <c r="C62" t="s">
        <v>61</v>
      </c>
    </row>
    <row r="63" spans="1:3" x14ac:dyDescent="0.25">
      <c r="A63" s="1">
        <v>45027.90625</v>
      </c>
      <c r="B63" s="1">
        <v>45027.712500000001</v>
      </c>
      <c r="C63" t="s">
        <v>62</v>
      </c>
    </row>
    <row r="64" spans="1:3" x14ac:dyDescent="0.25">
      <c r="A64" s="1">
        <v>45028.712500000001</v>
      </c>
      <c r="B64" s="1">
        <v>45027.714583333</v>
      </c>
      <c r="C64" t="s">
        <v>63</v>
      </c>
    </row>
    <row r="65" spans="1:3" x14ac:dyDescent="0.25">
      <c r="A65" s="1">
        <v>45028.791666666999</v>
      </c>
      <c r="B65" s="1">
        <v>45027.714583333</v>
      </c>
      <c r="C65" t="s">
        <v>64</v>
      </c>
    </row>
    <row r="66" spans="1:3" x14ac:dyDescent="0.25">
      <c r="A66" s="1">
        <v>45028.822916666999</v>
      </c>
      <c r="B66" s="1">
        <v>45027.714583333</v>
      </c>
      <c r="C66" t="s">
        <v>65</v>
      </c>
    </row>
    <row r="67" spans="1:3" x14ac:dyDescent="0.25">
      <c r="A67" s="1">
        <v>45027.816666667</v>
      </c>
      <c r="B67" s="1">
        <v>45027.714583333</v>
      </c>
      <c r="C67" t="s">
        <v>66</v>
      </c>
    </row>
    <row r="68" spans="1:3" x14ac:dyDescent="0.25">
      <c r="A68" s="1">
        <v>45030.372916667002</v>
      </c>
      <c r="B68" s="1">
        <v>45027.714583333</v>
      </c>
    </row>
    <row r="69" spans="1:3" x14ac:dyDescent="0.25">
      <c r="A69" s="1">
        <v>45029.837500000001</v>
      </c>
      <c r="B69" s="1">
        <v>45027.714583333</v>
      </c>
    </row>
    <row r="70" spans="1:3" x14ac:dyDescent="0.25">
      <c r="A70" s="1">
        <v>45027.8</v>
      </c>
      <c r="B70" s="1">
        <v>45027.714583333</v>
      </c>
      <c r="C70" t="s">
        <v>67</v>
      </c>
    </row>
    <row r="71" spans="1:3" x14ac:dyDescent="0.25">
      <c r="A71" s="1">
        <v>45030.372916667002</v>
      </c>
      <c r="B71" s="1">
        <v>45027.714583333</v>
      </c>
    </row>
    <row r="72" spans="1:3" x14ac:dyDescent="0.25">
      <c r="A72" s="1">
        <v>45029.716666667002</v>
      </c>
      <c r="B72" s="1">
        <v>45027.714583333</v>
      </c>
      <c r="C72" t="s">
        <v>68</v>
      </c>
    </row>
    <row r="73" spans="1:3" x14ac:dyDescent="0.25">
      <c r="A73" s="1">
        <v>45028.833333333001</v>
      </c>
      <c r="B73" s="1">
        <v>45027.714583333</v>
      </c>
      <c r="C73" t="s">
        <v>69</v>
      </c>
    </row>
    <row r="74" spans="1:3" x14ac:dyDescent="0.25">
      <c r="A74" s="1">
        <v>45028.766666666997</v>
      </c>
      <c r="B74" s="1">
        <v>45027.714583333</v>
      </c>
      <c r="C74" t="s">
        <v>70</v>
      </c>
    </row>
    <row r="75" spans="1:3" x14ac:dyDescent="0.25">
      <c r="A75" s="1">
        <v>45027.818749999999</v>
      </c>
      <c r="B75" s="1">
        <v>45027.714583333</v>
      </c>
      <c r="C75" t="s">
        <v>71</v>
      </c>
    </row>
    <row r="76" spans="1:3" x14ac:dyDescent="0.25">
      <c r="A76" s="1">
        <v>45027.737500000003</v>
      </c>
      <c r="B76" s="1">
        <v>45027.714583333</v>
      </c>
      <c r="C76" t="s">
        <v>72</v>
      </c>
    </row>
    <row r="77" spans="1:3" x14ac:dyDescent="0.25">
      <c r="A77" s="1">
        <v>45028.777083333</v>
      </c>
      <c r="B77" s="1">
        <v>45027.714583333</v>
      </c>
      <c r="C77" t="s">
        <v>73</v>
      </c>
    </row>
    <row r="78" spans="1:3" x14ac:dyDescent="0.25">
      <c r="A78" s="1">
        <v>45028.747916667002</v>
      </c>
      <c r="B78" s="1">
        <v>45027.714583333</v>
      </c>
      <c r="C78" t="s">
        <v>74</v>
      </c>
    </row>
    <row r="79" spans="1:3" x14ac:dyDescent="0.25">
      <c r="A79" s="1">
        <v>45027.864583333001</v>
      </c>
      <c r="B79" s="1">
        <v>45027.714583333</v>
      </c>
      <c r="C79" t="s">
        <v>75</v>
      </c>
    </row>
    <row r="80" spans="1:3" x14ac:dyDescent="0.25">
      <c r="A80" s="1">
        <v>45027.795833333003</v>
      </c>
      <c r="B80" s="1">
        <v>45027.714583333</v>
      </c>
      <c r="C80" t="s">
        <v>76</v>
      </c>
    </row>
    <row r="81" spans="1:3" x14ac:dyDescent="0.25">
      <c r="A81" s="1">
        <v>45027.802083333001</v>
      </c>
      <c r="B81" s="1">
        <v>45027.714583333</v>
      </c>
      <c r="C81" t="s">
        <v>77</v>
      </c>
    </row>
    <row r="82" spans="1:3" x14ac:dyDescent="0.25">
      <c r="A82" s="1">
        <v>45028.814583332998</v>
      </c>
      <c r="B82" s="1">
        <v>45027.714583333</v>
      </c>
      <c r="C82" t="s">
        <v>78</v>
      </c>
    </row>
    <row r="83" spans="1:3" x14ac:dyDescent="0.25">
      <c r="A83" s="1">
        <v>45029.760416666999</v>
      </c>
      <c r="B83" s="1">
        <v>45027.714583333</v>
      </c>
      <c r="C83" t="s">
        <v>79</v>
      </c>
    </row>
    <row r="84" spans="1:3" x14ac:dyDescent="0.25">
      <c r="A84" s="1">
        <v>45027.766666666997</v>
      </c>
      <c r="B84" s="1">
        <v>45027.716666667002</v>
      </c>
      <c r="C84" t="s">
        <v>80</v>
      </c>
    </row>
    <row r="85" spans="1:3" x14ac:dyDescent="0.25">
      <c r="A85" s="1">
        <v>45027.802083333001</v>
      </c>
      <c r="B85" s="1">
        <v>45027.716666667002</v>
      </c>
      <c r="C85" t="s">
        <v>81</v>
      </c>
    </row>
    <row r="86" spans="1:3" x14ac:dyDescent="0.25">
      <c r="A86" s="1">
        <v>45029.797916666997</v>
      </c>
      <c r="B86" s="1">
        <v>45027.716666667002</v>
      </c>
      <c r="C86" t="s">
        <v>82</v>
      </c>
    </row>
    <row r="87" spans="1:3" x14ac:dyDescent="0.25">
      <c r="A87" s="1">
        <v>45028.777083333</v>
      </c>
      <c r="B87" s="1">
        <v>45027.716666667002</v>
      </c>
      <c r="C87" t="s">
        <v>83</v>
      </c>
    </row>
    <row r="88" spans="1:3" x14ac:dyDescent="0.25">
      <c r="A88" s="1">
        <v>45029.754166667</v>
      </c>
      <c r="B88" s="1">
        <v>45027.716666667002</v>
      </c>
      <c r="C88" t="s">
        <v>84</v>
      </c>
    </row>
    <row r="89" spans="1:3" x14ac:dyDescent="0.25">
      <c r="A89" s="1">
        <v>45029.837500000001</v>
      </c>
      <c r="B89" s="1">
        <v>45027.716666667002</v>
      </c>
      <c r="C89" t="s">
        <v>85</v>
      </c>
    </row>
    <row r="90" spans="1:3" x14ac:dyDescent="0.25">
      <c r="A90" s="1">
        <v>45027.879166667</v>
      </c>
      <c r="B90" s="1">
        <v>45027.716666667002</v>
      </c>
      <c r="C90" t="s">
        <v>86</v>
      </c>
    </row>
    <row r="91" spans="1:3" x14ac:dyDescent="0.25">
      <c r="A91" s="1">
        <v>45027.845833332998</v>
      </c>
      <c r="B91" s="1">
        <v>45027.716666667002</v>
      </c>
      <c r="C91" t="s">
        <v>87</v>
      </c>
    </row>
    <row r="92" spans="1:3" x14ac:dyDescent="0.25">
      <c r="A92" s="1">
        <v>45029.789583332997</v>
      </c>
      <c r="B92" s="1">
        <v>45027.716666667002</v>
      </c>
      <c r="C92" t="s">
        <v>88</v>
      </c>
    </row>
    <row r="93" spans="1:3" x14ac:dyDescent="0.25">
      <c r="A93" s="1">
        <v>45027.90625</v>
      </c>
      <c r="B93" s="1">
        <v>45027.716666667002</v>
      </c>
      <c r="C93" t="s">
        <v>89</v>
      </c>
    </row>
    <row r="94" spans="1:3" x14ac:dyDescent="0.25">
      <c r="A94" s="1">
        <v>45029.8125</v>
      </c>
      <c r="B94" s="1">
        <v>45027.716666667002</v>
      </c>
      <c r="C94" t="s">
        <v>90</v>
      </c>
    </row>
    <row r="95" spans="1:3" x14ac:dyDescent="0.25">
      <c r="A95" s="1">
        <v>45028.727083332997</v>
      </c>
      <c r="B95" s="1">
        <v>45027.716666667002</v>
      </c>
      <c r="C95" t="s">
        <v>91</v>
      </c>
    </row>
    <row r="96" spans="1:3" x14ac:dyDescent="0.25">
      <c r="A96" s="1">
        <v>45027.877083332998</v>
      </c>
      <c r="B96" s="1">
        <v>45027.716666667002</v>
      </c>
      <c r="C96" t="s">
        <v>92</v>
      </c>
    </row>
    <row r="97" spans="1:3" x14ac:dyDescent="0.25">
      <c r="A97" s="1">
        <v>45029.787499999999</v>
      </c>
      <c r="B97" s="1">
        <v>45027.716666667002</v>
      </c>
      <c r="C97" t="s">
        <v>93</v>
      </c>
    </row>
    <row r="98" spans="1:3" x14ac:dyDescent="0.25">
      <c r="A98" s="1">
        <v>45027.90625</v>
      </c>
      <c r="B98" s="1">
        <v>45027.716666667002</v>
      </c>
      <c r="C98" t="s">
        <v>94</v>
      </c>
    </row>
    <row r="99" spans="1:3" x14ac:dyDescent="0.25">
      <c r="A99" s="1">
        <v>45027.768750000003</v>
      </c>
      <c r="B99" s="1">
        <v>45027.716666667002</v>
      </c>
      <c r="C99" t="s">
        <v>95</v>
      </c>
    </row>
    <row r="100" spans="1:3" x14ac:dyDescent="0.25">
      <c r="A100" s="1">
        <v>45029.802083333001</v>
      </c>
      <c r="B100" s="1">
        <v>45027.71875</v>
      </c>
      <c r="C100" t="s">
        <v>96</v>
      </c>
    </row>
    <row r="101" spans="1:3" x14ac:dyDescent="0.25">
      <c r="A101" s="1">
        <v>45029.8</v>
      </c>
      <c r="B101" s="1">
        <v>45027.71875</v>
      </c>
      <c r="C101" t="s">
        <v>97</v>
      </c>
    </row>
    <row r="102" spans="1:3" x14ac:dyDescent="0.25">
      <c r="A102" s="1">
        <v>45028.795833333003</v>
      </c>
      <c r="B102" s="1">
        <v>45027.71875</v>
      </c>
      <c r="C102" t="s">
        <v>98</v>
      </c>
    </row>
    <row r="103" spans="1:3" x14ac:dyDescent="0.25">
      <c r="A103" s="1">
        <v>45027.866666667003</v>
      </c>
      <c r="B103" s="1">
        <v>45027.71875</v>
      </c>
      <c r="C103" t="s">
        <v>99</v>
      </c>
    </row>
    <row r="104" spans="1:3" x14ac:dyDescent="0.25">
      <c r="A104" s="1">
        <v>45030.373611110997</v>
      </c>
      <c r="B104" s="1">
        <v>45027.71875</v>
      </c>
    </row>
    <row r="105" spans="1:3" x14ac:dyDescent="0.25">
      <c r="A105" s="1">
        <v>45029.737500000003</v>
      </c>
      <c r="B105" s="1">
        <v>45027.71875</v>
      </c>
      <c r="C105" t="s">
        <v>100</v>
      </c>
    </row>
    <row r="106" spans="1:3" x14ac:dyDescent="0.25">
      <c r="A106" s="1">
        <v>45027.872916667002</v>
      </c>
      <c r="B106" s="1">
        <v>45027.71875</v>
      </c>
      <c r="C106" t="s">
        <v>101</v>
      </c>
    </row>
    <row r="107" spans="1:3" x14ac:dyDescent="0.25">
      <c r="A107" s="1">
        <v>45027.879166667</v>
      </c>
      <c r="B107" s="1">
        <v>45027.71875</v>
      </c>
      <c r="C107" t="s">
        <v>102</v>
      </c>
    </row>
    <row r="108" spans="1:3" x14ac:dyDescent="0.25">
      <c r="A108" s="1">
        <v>45027.889583333003</v>
      </c>
      <c r="B108" s="1">
        <v>45027.71875</v>
      </c>
      <c r="C108" t="s">
        <v>103</v>
      </c>
    </row>
    <row r="109" spans="1:3" x14ac:dyDescent="0.25">
      <c r="A109" s="1">
        <v>45027.71875</v>
      </c>
      <c r="B109" s="1">
        <v>45027.71875</v>
      </c>
      <c r="C109" t="s">
        <v>104</v>
      </c>
    </row>
    <row r="110" spans="1:3" x14ac:dyDescent="0.25">
      <c r="A110" s="1">
        <v>45027.722916667</v>
      </c>
      <c r="B110" s="1">
        <v>45027.71875</v>
      </c>
      <c r="C110" t="s">
        <v>105</v>
      </c>
    </row>
    <row r="111" spans="1:3" x14ac:dyDescent="0.25">
      <c r="A111" s="1">
        <v>45029.841666667002</v>
      </c>
      <c r="B111" s="1">
        <v>45027.71875</v>
      </c>
      <c r="C111" t="s">
        <v>106</v>
      </c>
    </row>
    <row r="112" spans="1:3" x14ac:dyDescent="0.25">
      <c r="A112" s="1">
        <v>45027.90625</v>
      </c>
      <c r="B112" s="1">
        <v>45027.720833332998</v>
      </c>
      <c r="C112" t="s">
        <v>107</v>
      </c>
    </row>
    <row r="113" spans="1:3" x14ac:dyDescent="0.25">
      <c r="A113" s="1">
        <v>45029.816666667</v>
      </c>
      <c r="B113" s="1">
        <v>45027.720833332998</v>
      </c>
      <c r="C113" t="s">
        <v>100</v>
      </c>
    </row>
    <row r="114" spans="1:3" x14ac:dyDescent="0.25">
      <c r="A114" s="1">
        <v>45027.783333332998</v>
      </c>
      <c r="B114" s="1">
        <v>45027.720833332998</v>
      </c>
      <c r="C114" t="s">
        <v>108</v>
      </c>
    </row>
    <row r="115" spans="1:3" x14ac:dyDescent="0.25">
      <c r="A115" s="1">
        <v>45030.373611110997</v>
      </c>
      <c r="B115" s="1">
        <v>45027.720833332998</v>
      </c>
    </row>
    <row r="116" spans="1:3" x14ac:dyDescent="0.25">
      <c r="A116" s="1">
        <v>45028.793749999997</v>
      </c>
      <c r="B116" s="1">
        <v>45027.720833332998</v>
      </c>
      <c r="C116" t="s">
        <v>109</v>
      </c>
    </row>
    <row r="117" spans="1:3" x14ac:dyDescent="0.25">
      <c r="A117" s="1">
        <v>45027.741666667003</v>
      </c>
      <c r="B117" s="1">
        <v>45027.720833332998</v>
      </c>
      <c r="C117" t="s">
        <v>110</v>
      </c>
    </row>
    <row r="118" spans="1:3" x14ac:dyDescent="0.25">
      <c r="A118" s="1">
        <v>45029.818749999999</v>
      </c>
      <c r="B118" s="1">
        <v>45027.720833332998</v>
      </c>
    </row>
    <row r="119" spans="1:3" x14ac:dyDescent="0.25">
      <c r="A119" s="1">
        <v>45028.768750000003</v>
      </c>
      <c r="B119" s="1">
        <v>45027.720833332998</v>
      </c>
      <c r="C119" t="s">
        <v>111</v>
      </c>
    </row>
    <row r="120" spans="1:3" x14ac:dyDescent="0.25">
      <c r="A120" s="1">
        <v>45029.854166666999</v>
      </c>
      <c r="B120" s="1">
        <v>45027.720833332998</v>
      </c>
      <c r="C120" t="s">
        <v>112</v>
      </c>
    </row>
    <row r="121" spans="1:3" x14ac:dyDescent="0.25">
      <c r="A121" s="1">
        <v>45027.866666667003</v>
      </c>
      <c r="B121" s="1">
        <v>45027.720833332998</v>
      </c>
      <c r="C121" t="s">
        <v>113</v>
      </c>
    </row>
    <row r="122" spans="1:3" x14ac:dyDescent="0.25">
      <c r="A122" s="1">
        <v>45027.779166667002</v>
      </c>
      <c r="B122" s="1">
        <v>45027.720833332998</v>
      </c>
      <c r="C122" t="s">
        <v>114</v>
      </c>
    </row>
    <row r="123" spans="1:3" x14ac:dyDescent="0.25">
      <c r="A123" s="1">
        <v>45028.710416667003</v>
      </c>
      <c r="B123" s="1">
        <v>45027.720833332998</v>
      </c>
      <c r="C123" t="s">
        <v>115</v>
      </c>
    </row>
    <row r="124" spans="1:3" x14ac:dyDescent="0.25">
      <c r="A124" s="1">
        <v>45028.708333333001</v>
      </c>
      <c r="B124" s="1">
        <v>45027.720833332998</v>
      </c>
      <c r="C124" t="s">
        <v>116</v>
      </c>
    </row>
    <row r="125" spans="1:3" x14ac:dyDescent="0.25">
      <c r="A125" s="1">
        <v>45028.760416666999</v>
      </c>
      <c r="B125" s="1">
        <v>45027.720833332998</v>
      </c>
      <c r="C125" t="s">
        <v>117</v>
      </c>
    </row>
    <row r="126" spans="1:3" x14ac:dyDescent="0.25">
      <c r="A126" s="1">
        <v>45027.708333333001</v>
      </c>
      <c r="B126" s="1">
        <v>45027.720833332998</v>
      </c>
      <c r="C126" t="s">
        <v>118</v>
      </c>
    </row>
    <row r="127" spans="1:3" x14ac:dyDescent="0.25">
      <c r="A127" s="1">
        <v>45027.710416667003</v>
      </c>
      <c r="B127" s="1">
        <v>45027.720833332998</v>
      </c>
      <c r="C127" t="s">
        <v>119</v>
      </c>
    </row>
    <row r="128" spans="1:3" x14ac:dyDescent="0.25">
      <c r="A128" s="1">
        <v>45027.90625</v>
      </c>
      <c r="B128" s="1">
        <v>45027.722916667</v>
      </c>
      <c r="C128" t="s">
        <v>120</v>
      </c>
    </row>
    <row r="129" spans="1:3" x14ac:dyDescent="0.25">
      <c r="A129" s="1">
        <v>45029.822916666999</v>
      </c>
      <c r="B129" s="1">
        <v>45027.722916667</v>
      </c>
      <c r="C129" t="s">
        <v>121</v>
      </c>
    </row>
    <row r="130" spans="1:3" x14ac:dyDescent="0.25">
      <c r="A130" s="1">
        <v>45029.708333333001</v>
      </c>
      <c r="B130" s="1">
        <v>45027.722916667</v>
      </c>
      <c r="C130" t="s">
        <v>122</v>
      </c>
    </row>
    <row r="131" spans="1:3" x14ac:dyDescent="0.25">
      <c r="A131" s="1">
        <v>45027.762499999997</v>
      </c>
      <c r="B131" s="1">
        <v>45027.722916667</v>
      </c>
      <c r="C131" t="s">
        <v>123</v>
      </c>
    </row>
    <row r="132" spans="1:3" x14ac:dyDescent="0.25">
      <c r="A132" s="1">
        <v>45027.84375</v>
      </c>
      <c r="B132" s="1">
        <v>45027.722916667</v>
      </c>
      <c r="C132" t="s">
        <v>124</v>
      </c>
    </row>
    <row r="133" spans="1:3" x14ac:dyDescent="0.25">
      <c r="A133" s="1">
        <v>45028.770833333001</v>
      </c>
      <c r="B133" s="1">
        <v>45027.722916667</v>
      </c>
      <c r="C133" t="s">
        <v>125</v>
      </c>
    </row>
    <row r="134" spans="1:3" x14ac:dyDescent="0.25">
      <c r="A134" s="1">
        <v>45029.735416666997</v>
      </c>
      <c r="B134" s="1">
        <v>45027.722916667</v>
      </c>
      <c r="C134" t="s">
        <v>126</v>
      </c>
    </row>
    <row r="135" spans="1:3" x14ac:dyDescent="0.25">
      <c r="A135" s="1">
        <v>45028.818749999999</v>
      </c>
      <c r="B135" s="1">
        <v>45027.722916667</v>
      </c>
      <c r="C135" t="s">
        <v>127</v>
      </c>
    </row>
    <row r="136" spans="1:3" x14ac:dyDescent="0.25">
      <c r="A136" s="1">
        <v>45028.729166666999</v>
      </c>
      <c r="B136" s="1">
        <v>45027.722916667</v>
      </c>
      <c r="C136" t="s">
        <v>128</v>
      </c>
    </row>
    <row r="137" spans="1:3" x14ac:dyDescent="0.25">
      <c r="A137" s="1">
        <v>45028.772916667003</v>
      </c>
      <c r="B137" s="1">
        <v>45027.722916667</v>
      </c>
      <c r="C137" t="s">
        <v>129</v>
      </c>
    </row>
    <row r="138" spans="1:3" x14ac:dyDescent="0.25">
      <c r="A138" s="1">
        <v>45028.8125</v>
      </c>
      <c r="B138" s="1">
        <v>45027.722916667</v>
      </c>
      <c r="C138" t="s">
        <v>130</v>
      </c>
    </row>
    <row r="139" spans="1:3" x14ac:dyDescent="0.25">
      <c r="A139" s="1">
        <v>45028.729166666999</v>
      </c>
      <c r="B139" s="1">
        <v>45027.722916667</v>
      </c>
      <c r="C139" t="s">
        <v>131</v>
      </c>
    </row>
    <row r="140" spans="1:3" x14ac:dyDescent="0.25">
      <c r="A140" s="1">
        <v>45027.839583333</v>
      </c>
      <c r="B140" s="1">
        <v>45027.724999999999</v>
      </c>
      <c r="C140" t="s">
        <v>132</v>
      </c>
    </row>
    <row r="141" spans="1:3" x14ac:dyDescent="0.25">
      <c r="A141" s="1">
        <v>45027.837500000001</v>
      </c>
      <c r="B141" s="1">
        <v>45027.724999999999</v>
      </c>
      <c r="C141" t="s">
        <v>133</v>
      </c>
    </row>
    <row r="142" spans="1:3" x14ac:dyDescent="0.25">
      <c r="A142" s="1">
        <v>45028.791666666999</v>
      </c>
      <c r="B142" s="1">
        <v>45027.724999999999</v>
      </c>
      <c r="C142" t="s">
        <v>129</v>
      </c>
    </row>
    <row r="143" spans="1:3" x14ac:dyDescent="0.25">
      <c r="A143" s="1">
        <v>45027.837500000001</v>
      </c>
      <c r="B143" s="1">
        <v>45027.724999999999</v>
      </c>
      <c r="C143" t="s">
        <v>134</v>
      </c>
    </row>
    <row r="144" spans="1:3" x14ac:dyDescent="0.25">
      <c r="A144" s="1">
        <v>45027.775000000001</v>
      </c>
      <c r="B144" s="1">
        <v>45027.724999999999</v>
      </c>
      <c r="C144" t="s">
        <v>135</v>
      </c>
    </row>
    <row r="145" spans="1:3" x14ac:dyDescent="0.25">
      <c r="A145" s="1">
        <v>45029.791666666999</v>
      </c>
      <c r="B145" s="1">
        <v>45027.724999999999</v>
      </c>
      <c r="C145" t="s">
        <v>136</v>
      </c>
    </row>
    <row r="146" spans="1:3" x14ac:dyDescent="0.25">
      <c r="A146" s="1">
        <v>45027.864583333001</v>
      </c>
      <c r="B146" s="1">
        <v>45027.724999999999</v>
      </c>
      <c r="C146" t="s">
        <v>137</v>
      </c>
    </row>
    <row r="147" spans="1:3" x14ac:dyDescent="0.25">
      <c r="A147" s="1">
        <v>45027.902083333</v>
      </c>
      <c r="B147" s="1">
        <v>45027.724999999999</v>
      </c>
      <c r="C147" t="s">
        <v>138</v>
      </c>
    </row>
    <row r="148" spans="1:3" x14ac:dyDescent="0.25">
      <c r="A148" s="1">
        <v>45028.775000000001</v>
      </c>
      <c r="B148" s="1">
        <v>45027.727083332997</v>
      </c>
      <c r="C148" t="s">
        <v>139</v>
      </c>
    </row>
    <row r="149" spans="1:3" x14ac:dyDescent="0.25">
      <c r="A149" s="1">
        <v>45029.791666666999</v>
      </c>
      <c r="B149" s="1">
        <v>45027.727083332997</v>
      </c>
      <c r="C149" t="s">
        <v>140</v>
      </c>
    </row>
    <row r="150" spans="1:3" x14ac:dyDescent="0.25">
      <c r="A150" s="1">
        <v>45029.818749999999</v>
      </c>
      <c r="B150" s="1">
        <v>45027.727083332997</v>
      </c>
    </row>
    <row r="151" spans="1:3" x14ac:dyDescent="0.25">
      <c r="A151" s="1">
        <v>45027.772916667003</v>
      </c>
      <c r="B151" s="1">
        <v>45027.727083332997</v>
      </c>
      <c r="C151" t="s">
        <v>141</v>
      </c>
    </row>
    <row r="152" spans="1:3" x14ac:dyDescent="0.25">
      <c r="A152" s="1">
        <v>45028.720833332998</v>
      </c>
      <c r="B152" s="1">
        <v>45027.727083332997</v>
      </c>
      <c r="C152" t="s">
        <v>142</v>
      </c>
    </row>
    <row r="153" spans="1:3" x14ac:dyDescent="0.25">
      <c r="A153" s="1">
        <v>45027.852083332997</v>
      </c>
      <c r="B153" s="1">
        <v>45027.727083332997</v>
      </c>
      <c r="C153" t="s">
        <v>143</v>
      </c>
    </row>
    <row r="154" spans="1:3" x14ac:dyDescent="0.25">
      <c r="A154" s="1">
        <v>45029.770833333001</v>
      </c>
      <c r="B154" s="1">
        <v>45027.727083332997</v>
      </c>
      <c r="C154" t="s">
        <v>144</v>
      </c>
    </row>
    <row r="155" spans="1:3" x14ac:dyDescent="0.25">
      <c r="A155" s="1">
        <v>45027.845833332998</v>
      </c>
      <c r="B155" s="1">
        <v>45027.727083332997</v>
      </c>
      <c r="C155" t="s">
        <v>145</v>
      </c>
    </row>
    <row r="156" spans="1:3" x14ac:dyDescent="0.25">
      <c r="A156" s="1">
        <v>45029.722916667</v>
      </c>
      <c r="B156" s="1">
        <v>45027.727083332997</v>
      </c>
      <c r="C156" t="s">
        <v>55</v>
      </c>
    </row>
    <row r="157" spans="1:3" x14ac:dyDescent="0.25">
      <c r="A157" s="1">
        <v>45029.789583332997</v>
      </c>
      <c r="B157" s="1">
        <v>45027.727083332997</v>
      </c>
      <c r="C157" t="s">
        <v>146</v>
      </c>
    </row>
    <row r="158" spans="1:3" x14ac:dyDescent="0.25">
      <c r="A158" s="1">
        <v>45028.797916666997</v>
      </c>
      <c r="B158" s="1">
        <v>45027.727083332997</v>
      </c>
      <c r="C158" t="s">
        <v>147</v>
      </c>
    </row>
    <row r="159" spans="1:3" x14ac:dyDescent="0.25">
      <c r="A159" s="1">
        <v>45027.833333333001</v>
      </c>
      <c r="B159" s="1">
        <v>45027.727083332997</v>
      </c>
      <c r="C159" t="s">
        <v>148</v>
      </c>
    </row>
    <row r="160" spans="1:3" x14ac:dyDescent="0.25">
      <c r="A160" s="1">
        <v>45028.783333332998</v>
      </c>
      <c r="B160" s="1">
        <v>45027.729166666999</v>
      </c>
      <c r="C160" t="s">
        <v>149</v>
      </c>
    </row>
    <row r="161" spans="1:3" x14ac:dyDescent="0.25">
      <c r="A161" s="1">
        <v>45029.735416666997</v>
      </c>
      <c r="B161" s="1">
        <v>45027.729166666999</v>
      </c>
      <c r="C161" t="s">
        <v>150</v>
      </c>
    </row>
    <row r="162" spans="1:3" x14ac:dyDescent="0.25">
      <c r="A162" s="1">
        <v>45028.714583333</v>
      </c>
      <c r="B162" s="1">
        <v>45027.729166666999</v>
      </c>
      <c r="C162" t="s">
        <v>151</v>
      </c>
    </row>
    <row r="163" spans="1:3" x14ac:dyDescent="0.25">
      <c r="A163" s="1">
        <v>45028.75</v>
      </c>
      <c r="B163" s="1">
        <v>45027.729166666999</v>
      </c>
      <c r="C163" t="s">
        <v>152</v>
      </c>
    </row>
    <row r="164" spans="1:3" x14ac:dyDescent="0.25">
      <c r="A164" s="1">
        <v>45029.78125</v>
      </c>
      <c r="B164" s="1">
        <v>45027.729166666999</v>
      </c>
      <c r="C164" t="s">
        <v>153</v>
      </c>
    </row>
    <row r="165" spans="1:3" x14ac:dyDescent="0.25">
      <c r="A165" s="1">
        <v>45028.827083333003</v>
      </c>
      <c r="B165" s="1">
        <v>45027.729166666999</v>
      </c>
      <c r="C165" t="s">
        <v>154</v>
      </c>
    </row>
    <row r="166" spans="1:3" x14ac:dyDescent="0.25">
      <c r="A166" s="1">
        <v>45028.741666667003</v>
      </c>
      <c r="B166" s="1">
        <v>45027.729166666999</v>
      </c>
      <c r="C166" t="s">
        <v>155</v>
      </c>
    </row>
    <row r="167" spans="1:3" x14ac:dyDescent="0.25">
      <c r="A167" s="1">
        <v>45027.893750000003</v>
      </c>
      <c r="B167" s="1">
        <v>45027.729166666999</v>
      </c>
      <c r="C167" t="s">
        <v>156</v>
      </c>
    </row>
    <row r="168" spans="1:3" x14ac:dyDescent="0.25">
      <c r="A168" s="1">
        <v>45029.758333332997</v>
      </c>
      <c r="B168" s="1">
        <v>45027.731249999997</v>
      </c>
      <c r="C168" t="s">
        <v>157</v>
      </c>
    </row>
    <row r="169" spans="1:3" x14ac:dyDescent="0.25">
      <c r="A169" s="1">
        <v>45029.770833333001</v>
      </c>
      <c r="B169" s="1">
        <v>45027.731249999997</v>
      </c>
      <c r="C169" t="s">
        <v>158</v>
      </c>
    </row>
    <row r="170" spans="1:3" x14ac:dyDescent="0.25">
      <c r="A170" s="1">
        <v>45028.797916666997</v>
      </c>
      <c r="B170" s="1">
        <v>45027.731249999997</v>
      </c>
      <c r="C170" t="s">
        <v>159</v>
      </c>
    </row>
    <row r="171" spans="1:3" x14ac:dyDescent="0.25">
      <c r="A171" s="1">
        <v>45029.743750000001</v>
      </c>
      <c r="B171" s="1">
        <v>45027.731249999997</v>
      </c>
      <c r="C171" t="s">
        <v>160</v>
      </c>
    </row>
    <row r="172" spans="1:3" x14ac:dyDescent="0.25">
      <c r="A172" s="1">
        <v>45028.779166667002</v>
      </c>
      <c r="B172" s="1">
        <v>45027.731249999997</v>
      </c>
      <c r="C172" t="s">
        <v>161</v>
      </c>
    </row>
    <row r="173" spans="1:3" x14ac:dyDescent="0.25">
      <c r="A173" s="1">
        <v>45027.872916667002</v>
      </c>
      <c r="B173" s="1">
        <v>45027.731249999997</v>
      </c>
      <c r="C173" t="s">
        <v>162</v>
      </c>
    </row>
    <row r="174" spans="1:3" x14ac:dyDescent="0.25">
      <c r="A174" s="1">
        <v>45029.747916667002</v>
      </c>
      <c r="B174" s="1">
        <v>45027.731249999997</v>
      </c>
      <c r="C174" t="s">
        <v>43</v>
      </c>
    </row>
    <row r="175" spans="1:3" x14ac:dyDescent="0.25">
      <c r="A175" s="1">
        <v>45028.727083332997</v>
      </c>
      <c r="B175" s="1">
        <v>45027.731249999997</v>
      </c>
      <c r="C175" t="s">
        <v>163</v>
      </c>
    </row>
    <row r="176" spans="1:3" x14ac:dyDescent="0.25">
      <c r="A176" s="1">
        <v>45029.847916667</v>
      </c>
      <c r="B176" s="1">
        <v>45027.731249999997</v>
      </c>
    </row>
    <row r="177" spans="1:3" x14ac:dyDescent="0.25">
      <c r="A177" s="1">
        <v>45027.864583333001</v>
      </c>
      <c r="B177" s="1">
        <v>45027.731249999997</v>
      </c>
      <c r="C177" t="s">
        <v>164</v>
      </c>
    </row>
    <row r="178" spans="1:3" x14ac:dyDescent="0.25">
      <c r="A178" s="1">
        <v>45028.862500000003</v>
      </c>
      <c r="B178" s="1">
        <v>45027.731249999997</v>
      </c>
      <c r="C178" t="s">
        <v>165</v>
      </c>
    </row>
    <row r="179" spans="1:3" x14ac:dyDescent="0.25">
      <c r="A179" s="1">
        <v>45028.802083333001</v>
      </c>
      <c r="B179" s="1">
        <v>45027.731249999997</v>
      </c>
      <c r="C179" t="s">
        <v>166</v>
      </c>
    </row>
    <row r="180" spans="1:3" x14ac:dyDescent="0.25">
      <c r="A180" s="1">
        <v>45029.772916667003</v>
      </c>
      <c r="B180" s="1">
        <v>45027.731249999997</v>
      </c>
      <c r="C180" t="s">
        <v>167</v>
      </c>
    </row>
    <row r="181" spans="1:3" x14ac:dyDescent="0.25">
      <c r="A181" s="1">
        <v>45027.716666667002</v>
      </c>
      <c r="B181" s="1">
        <v>45027.731249999997</v>
      </c>
      <c r="C181" t="s">
        <v>168</v>
      </c>
    </row>
    <row r="182" spans="1:3" x14ac:dyDescent="0.25">
      <c r="A182" s="1">
        <v>45029.745833333</v>
      </c>
      <c r="B182" s="1">
        <v>45027.731249999997</v>
      </c>
      <c r="C182" t="s">
        <v>169</v>
      </c>
    </row>
    <row r="183" spans="1:3" x14ac:dyDescent="0.25">
      <c r="A183" s="1">
        <v>45028.860416666997</v>
      </c>
      <c r="B183" s="1">
        <v>45027.731249999997</v>
      </c>
      <c r="C183" t="s">
        <v>170</v>
      </c>
    </row>
    <row r="184" spans="1:3" x14ac:dyDescent="0.25">
      <c r="A184" s="1">
        <v>45029.747916667002</v>
      </c>
      <c r="B184" s="1">
        <v>45027.733333333003</v>
      </c>
      <c r="C184" t="s">
        <v>171</v>
      </c>
    </row>
    <row r="185" spans="1:3" x14ac:dyDescent="0.25">
      <c r="A185" s="1">
        <v>45028.768750000003</v>
      </c>
      <c r="B185" s="1">
        <v>45027.733333333003</v>
      </c>
      <c r="C185" t="s">
        <v>172</v>
      </c>
    </row>
    <row r="186" spans="1:3" x14ac:dyDescent="0.25">
      <c r="A186" s="1">
        <v>45029.775000000001</v>
      </c>
      <c r="B186" s="1">
        <v>45027.733333333003</v>
      </c>
      <c r="C186" t="s">
        <v>173</v>
      </c>
    </row>
    <row r="187" spans="1:3" x14ac:dyDescent="0.25">
      <c r="A187" s="1">
        <v>45029.818749999999</v>
      </c>
      <c r="B187" s="1">
        <v>45027.733333333003</v>
      </c>
      <c r="C187" t="s">
        <v>32</v>
      </c>
    </row>
    <row r="188" spans="1:3" x14ac:dyDescent="0.25">
      <c r="A188" s="1">
        <v>45029.839583333</v>
      </c>
      <c r="B188" s="1">
        <v>45027.733333333003</v>
      </c>
      <c r="C188" t="s">
        <v>174</v>
      </c>
    </row>
    <row r="189" spans="1:3" x14ac:dyDescent="0.25">
      <c r="A189" s="1">
        <v>45027.893750000003</v>
      </c>
      <c r="B189" s="1">
        <v>45027.733333333003</v>
      </c>
      <c r="C189" t="s">
        <v>175</v>
      </c>
    </row>
    <row r="190" spans="1:3" x14ac:dyDescent="0.25">
      <c r="A190" s="1">
        <v>45028.783333332998</v>
      </c>
      <c r="B190" s="1">
        <v>45027.733333333003</v>
      </c>
      <c r="C190" t="s">
        <v>176</v>
      </c>
    </row>
    <row r="191" spans="1:3" x14ac:dyDescent="0.25">
      <c r="A191" s="1">
        <v>45029.733333333003</v>
      </c>
      <c r="B191" s="1">
        <v>45027.733333333003</v>
      </c>
      <c r="C191" t="s">
        <v>177</v>
      </c>
    </row>
    <row r="192" spans="1:3" x14ac:dyDescent="0.25">
      <c r="A192" s="1">
        <v>45027.897916667003</v>
      </c>
      <c r="B192" s="1">
        <v>45027.733333333003</v>
      </c>
      <c r="C192" t="s">
        <v>178</v>
      </c>
    </row>
    <row r="193" spans="1:3" x14ac:dyDescent="0.25">
      <c r="A193" s="1">
        <v>45027.854166666999</v>
      </c>
      <c r="B193" s="1">
        <v>45027.733333333003</v>
      </c>
      <c r="C193" t="s">
        <v>179</v>
      </c>
    </row>
    <row r="194" spans="1:3" x14ac:dyDescent="0.25">
      <c r="A194" s="1">
        <v>45027.875</v>
      </c>
      <c r="B194" s="1">
        <v>45027.733333333003</v>
      </c>
      <c r="C194" t="s">
        <v>180</v>
      </c>
    </row>
    <row r="195" spans="1:3" x14ac:dyDescent="0.25">
      <c r="A195" s="1">
        <v>45027.837500000001</v>
      </c>
      <c r="B195" s="1">
        <v>45027.733333333003</v>
      </c>
      <c r="C195" t="s">
        <v>181</v>
      </c>
    </row>
    <row r="196" spans="1:3" x14ac:dyDescent="0.25">
      <c r="A196" s="1">
        <v>45027.883333332997</v>
      </c>
      <c r="B196" s="1">
        <v>45027.735416666997</v>
      </c>
      <c r="C196" t="s">
        <v>182</v>
      </c>
    </row>
    <row r="197" spans="1:3" x14ac:dyDescent="0.25">
      <c r="A197" s="1">
        <v>45028.727083332997</v>
      </c>
      <c r="B197" s="1">
        <v>45027.735416666997</v>
      </c>
      <c r="C197" t="s">
        <v>183</v>
      </c>
    </row>
    <row r="198" spans="1:3" x14ac:dyDescent="0.25">
      <c r="A198" s="1">
        <v>45028.822916666999</v>
      </c>
      <c r="B198" s="1">
        <v>45027.735416666997</v>
      </c>
      <c r="C198" t="s">
        <v>184</v>
      </c>
    </row>
    <row r="199" spans="1:3" x14ac:dyDescent="0.25">
      <c r="A199" s="1">
        <v>45027.764583333003</v>
      </c>
      <c r="B199" s="1">
        <v>45027.735416666997</v>
      </c>
      <c r="C199" t="s">
        <v>185</v>
      </c>
    </row>
    <row r="200" spans="1:3" x14ac:dyDescent="0.25">
      <c r="A200" s="1">
        <v>45027.791666666999</v>
      </c>
      <c r="B200" s="1">
        <v>45027.735416666997</v>
      </c>
      <c r="C200" t="s">
        <v>186</v>
      </c>
    </row>
    <row r="201" spans="1:3" x14ac:dyDescent="0.25">
      <c r="A201" s="1">
        <v>45028.837500000001</v>
      </c>
      <c r="B201" s="1">
        <v>45027.735416666997</v>
      </c>
      <c r="C201" t="s">
        <v>12</v>
      </c>
    </row>
    <row r="202" spans="1:3" x14ac:dyDescent="0.25">
      <c r="A202" s="1">
        <v>45028.797916666997</v>
      </c>
      <c r="B202" s="1">
        <v>45027.735416666997</v>
      </c>
      <c r="C202" t="s">
        <v>187</v>
      </c>
    </row>
    <row r="203" spans="1:3" x14ac:dyDescent="0.25">
      <c r="A203" s="1">
        <v>45029.714583333</v>
      </c>
      <c r="B203" s="1">
        <v>45027.735416666997</v>
      </c>
      <c r="C203" t="s">
        <v>188</v>
      </c>
    </row>
    <row r="204" spans="1:3" x14ac:dyDescent="0.25">
      <c r="A204" s="1">
        <v>45029.795833333003</v>
      </c>
      <c r="B204" s="1">
        <v>45027.737500000003</v>
      </c>
      <c r="C204" t="s">
        <v>189</v>
      </c>
    </row>
    <row r="205" spans="1:3" x14ac:dyDescent="0.25">
      <c r="A205" s="1">
        <v>45028.837500000001</v>
      </c>
      <c r="B205" s="1">
        <v>45027.737500000003</v>
      </c>
      <c r="C205" t="s">
        <v>190</v>
      </c>
    </row>
    <row r="206" spans="1:3" x14ac:dyDescent="0.25">
      <c r="A206" s="1">
        <v>45027.743750000001</v>
      </c>
      <c r="B206" s="1">
        <v>45027.737500000003</v>
      </c>
      <c r="C206" t="s">
        <v>191</v>
      </c>
    </row>
    <row r="207" spans="1:3" x14ac:dyDescent="0.25">
      <c r="A207" s="1">
        <v>45029.816666667</v>
      </c>
      <c r="B207" s="1">
        <v>45027.737500000003</v>
      </c>
      <c r="C207" t="s">
        <v>192</v>
      </c>
    </row>
    <row r="208" spans="1:3" x14ac:dyDescent="0.25">
      <c r="A208" s="1">
        <v>45027.816666667</v>
      </c>
      <c r="B208" s="1">
        <v>45027.737500000003</v>
      </c>
      <c r="C208" t="s">
        <v>193</v>
      </c>
    </row>
    <row r="209" spans="1:3" x14ac:dyDescent="0.25">
      <c r="A209" s="1">
        <v>45029.833333333001</v>
      </c>
      <c r="B209" s="1">
        <v>45027.737500000003</v>
      </c>
    </row>
    <row r="210" spans="1:3" x14ac:dyDescent="0.25">
      <c r="A210" s="1">
        <v>45027.879166667</v>
      </c>
      <c r="B210" s="1">
        <v>45027.737500000003</v>
      </c>
      <c r="C210" t="s">
        <v>194</v>
      </c>
    </row>
    <row r="211" spans="1:3" x14ac:dyDescent="0.25">
      <c r="A211" s="1">
        <v>45027.831250000003</v>
      </c>
      <c r="B211" s="1">
        <v>45027.737500000003</v>
      </c>
      <c r="C211" t="s">
        <v>195</v>
      </c>
    </row>
    <row r="212" spans="1:3" x14ac:dyDescent="0.25">
      <c r="A212" s="1">
        <v>45028.856249999997</v>
      </c>
      <c r="B212" s="1">
        <v>45027.737500000003</v>
      </c>
      <c r="C212" t="s">
        <v>196</v>
      </c>
    </row>
    <row r="213" spans="1:3" x14ac:dyDescent="0.25">
      <c r="A213" s="1">
        <v>45029.837500000001</v>
      </c>
      <c r="B213" s="1">
        <v>45027.737500000003</v>
      </c>
      <c r="C213" t="s">
        <v>197</v>
      </c>
    </row>
    <row r="214" spans="1:3" x14ac:dyDescent="0.25">
      <c r="A214" s="1">
        <v>45027.818749999999</v>
      </c>
      <c r="B214" s="1">
        <v>45027.739583333001</v>
      </c>
      <c r="C214" t="s">
        <v>198</v>
      </c>
    </row>
    <row r="215" spans="1:3" x14ac:dyDescent="0.25">
      <c r="A215" s="1">
        <v>45029.752083332998</v>
      </c>
      <c r="B215" s="1">
        <v>45027.739583333001</v>
      </c>
      <c r="C215" t="s">
        <v>199</v>
      </c>
    </row>
    <row r="216" spans="1:3" x14ac:dyDescent="0.25">
      <c r="A216" s="1">
        <v>45027.90625</v>
      </c>
      <c r="B216" s="1">
        <v>45027.739583333001</v>
      </c>
      <c r="C216" t="s">
        <v>200</v>
      </c>
    </row>
    <row r="217" spans="1:3" x14ac:dyDescent="0.25">
      <c r="A217" s="1">
        <v>45027.85</v>
      </c>
      <c r="B217" s="1">
        <v>45027.739583333001</v>
      </c>
      <c r="C217" t="s">
        <v>201</v>
      </c>
    </row>
    <row r="218" spans="1:3" x14ac:dyDescent="0.25">
      <c r="A218" s="1">
        <v>45027.714583333</v>
      </c>
      <c r="B218" s="1">
        <v>45027.739583333001</v>
      </c>
      <c r="C218" t="s">
        <v>202</v>
      </c>
    </row>
    <row r="219" spans="1:3" x14ac:dyDescent="0.25">
      <c r="A219" s="1">
        <v>45027.835416667003</v>
      </c>
      <c r="B219" s="1">
        <v>45027.739583333001</v>
      </c>
      <c r="C219" t="s">
        <v>203</v>
      </c>
    </row>
    <row r="220" spans="1:3" x14ac:dyDescent="0.25">
      <c r="A220" s="1">
        <v>45028.760416666999</v>
      </c>
      <c r="B220" s="1">
        <v>45027.739583333001</v>
      </c>
      <c r="C220" t="s">
        <v>204</v>
      </c>
    </row>
    <row r="221" spans="1:3" x14ac:dyDescent="0.25">
      <c r="A221" s="1">
        <v>45028.720833332998</v>
      </c>
      <c r="B221" s="1">
        <v>45027.739583333001</v>
      </c>
      <c r="C221" t="s">
        <v>205</v>
      </c>
    </row>
    <row r="222" spans="1:3" x14ac:dyDescent="0.25">
      <c r="A222" s="1">
        <v>45028.845833332998</v>
      </c>
      <c r="B222" s="1">
        <v>45027.739583333001</v>
      </c>
      <c r="C222" t="s">
        <v>206</v>
      </c>
    </row>
    <row r="223" spans="1:3" x14ac:dyDescent="0.25">
      <c r="A223" s="1">
        <v>45027.895833333001</v>
      </c>
      <c r="B223" s="1">
        <v>45027.739583333001</v>
      </c>
      <c r="C223" t="s">
        <v>207</v>
      </c>
    </row>
    <row r="224" spans="1:3" x14ac:dyDescent="0.25">
      <c r="A224" s="1">
        <v>45030.372916667002</v>
      </c>
      <c r="B224" s="1">
        <v>45027.741666667003</v>
      </c>
    </row>
    <row r="225" spans="1:3" x14ac:dyDescent="0.25">
      <c r="A225" s="1">
        <v>45028.864583333001</v>
      </c>
      <c r="B225" s="1">
        <v>45027.741666667003</v>
      </c>
      <c r="C225" t="s">
        <v>208</v>
      </c>
    </row>
    <row r="226" spans="1:3" x14ac:dyDescent="0.25">
      <c r="A226" s="1">
        <v>45029.772916667003</v>
      </c>
      <c r="B226" s="1">
        <v>45027.741666667003</v>
      </c>
      <c r="C226" t="s">
        <v>209</v>
      </c>
    </row>
    <row r="227" spans="1:3" x14ac:dyDescent="0.25">
      <c r="A227" s="1">
        <v>45029.772916667003</v>
      </c>
      <c r="B227" s="1">
        <v>45027.741666667003</v>
      </c>
      <c r="C227" t="s">
        <v>210</v>
      </c>
    </row>
    <row r="228" spans="1:3" x14ac:dyDescent="0.25">
      <c r="A228" s="1">
        <v>45028.862500000003</v>
      </c>
      <c r="B228" s="1">
        <v>45027.741666667003</v>
      </c>
      <c r="C228" t="s">
        <v>211</v>
      </c>
    </row>
    <row r="229" spans="1:3" x14ac:dyDescent="0.25">
      <c r="A229" s="1">
        <v>45029.737500000003</v>
      </c>
      <c r="B229" s="1">
        <v>45027.741666667003</v>
      </c>
      <c r="C229" t="s">
        <v>212</v>
      </c>
    </row>
    <row r="230" spans="1:3" x14ac:dyDescent="0.25">
      <c r="A230" s="1">
        <v>45030.373611110997</v>
      </c>
      <c r="B230" s="1">
        <v>45027.741666667003</v>
      </c>
    </row>
    <row r="231" spans="1:3" x14ac:dyDescent="0.25">
      <c r="A231" s="1">
        <v>45030.372916667002</v>
      </c>
      <c r="B231" s="1">
        <v>45027.741666667003</v>
      </c>
    </row>
    <row r="232" spans="1:3" x14ac:dyDescent="0.25">
      <c r="A232" s="1">
        <v>45028.789583332997</v>
      </c>
      <c r="B232" s="1">
        <v>45027.743750000001</v>
      </c>
      <c r="C232" t="s">
        <v>213</v>
      </c>
    </row>
    <row r="233" spans="1:3" x14ac:dyDescent="0.25">
      <c r="A233" s="1">
        <v>45027.816666667</v>
      </c>
      <c r="B233" s="1">
        <v>45027.743750000001</v>
      </c>
      <c r="C233" t="s">
        <v>214</v>
      </c>
    </row>
    <row r="234" spans="1:3" x14ac:dyDescent="0.25">
      <c r="A234" s="1">
        <v>45028.800000000003</v>
      </c>
      <c r="B234" s="1">
        <v>45027.743750000001</v>
      </c>
      <c r="C234" t="s">
        <v>215</v>
      </c>
    </row>
    <row r="235" spans="1:3" x14ac:dyDescent="0.25">
      <c r="A235" s="1">
        <v>45027.770833333001</v>
      </c>
      <c r="B235" s="1">
        <v>45027.743750000001</v>
      </c>
      <c r="C235" t="s">
        <v>216</v>
      </c>
    </row>
    <row r="236" spans="1:3" x14ac:dyDescent="0.25">
      <c r="A236" s="1">
        <v>45029.722916667</v>
      </c>
      <c r="B236" s="1">
        <v>45027.743750000001</v>
      </c>
      <c r="C236" t="s">
        <v>217</v>
      </c>
    </row>
    <row r="237" spans="1:3" x14ac:dyDescent="0.25">
      <c r="A237" s="1">
        <v>45027.90625</v>
      </c>
      <c r="B237" s="1">
        <v>45027.745833333</v>
      </c>
      <c r="C237" t="s">
        <v>218</v>
      </c>
    </row>
    <row r="238" spans="1:3" x14ac:dyDescent="0.25">
      <c r="A238" s="1">
        <v>45027.735416666997</v>
      </c>
      <c r="B238" s="1">
        <v>45027.745833333</v>
      </c>
      <c r="C238" t="s">
        <v>219</v>
      </c>
    </row>
    <row r="239" spans="1:3" x14ac:dyDescent="0.25">
      <c r="A239" s="1">
        <v>45030.373611110997</v>
      </c>
      <c r="B239" s="1">
        <v>45027.745833333</v>
      </c>
    </row>
    <row r="240" spans="1:3" x14ac:dyDescent="0.25">
      <c r="A240" s="1">
        <v>45027.743750000001</v>
      </c>
      <c r="B240" s="1">
        <v>45027.745833333</v>
      </c>
      <c r="C240" t="s">
        <v>220</v>
      </c>
    </row>
    <row r="241" spans="1:3" x14ac:dyDescent="0.25">
      <c r="A241" s="1">
        <v>45029.770833333001</v>
      </c>
      <c r="B241" s="1">
        <v>45027.745833333</v>
      </c>
      <c r="C241" t="s">
        <v>221</v>
      </c>
    </row>
    <row r="242" spans="1:3" x14ac:dyDescent="0.25">
      <c r="A242" s="1">
        <v>45028.743750000001</v>
      </c>
      <c r="B242" s="1">
        <v>45027.745833333</v>
      </c>
      <c r="C242" t="s">
        <v>222</v>
      </c>
    </row>
    <row r="243" spans="1:3" x14ac:dyDescent="0.25">
      <c r="A243" s="1">
        <v>45027.881249999999</v>
      </c>
      <c r="B243" s="1">
        <v>45027.745833333</v>
      </c>
      <c r="C243" t="s">
        <v>223</v>
      </c>
    </row>
    <row r="244" spans="1:3" x14ac:dyDescent="0.25">
      <c r="A244" s="1">
        <v>45030.373611110997</v>
      </c>
      <c r="B244" s="1">
        <v>45027.745833333</v>
      </c>
    </row>
    <row r="245" spans="1:3" x14ac:dyDescent="0.25">
      <c r="A245" s="1">
        <v>45028.764583333003</v>
      </c>
      <c r="B245" s="1">
        <v>45027.745833333</v>
      </c>
      <c r="C245" t="s">
        <v>224</v>
      </c>
    </row>
    <row r="246" spans="1:3" x14ac:dyDescent="0.25">
      <c r="A246" s="1">
        <v>45029.839583333</v>
      </c>
      <c r="B246" s="1">
        <v>45027.747916667002</v>
      </c>
      <c r="C246" t="s">
        <v>225</v>
      </c>
    </row>
    <row r="247" spans="1:3" x14ac:dyDescent="0.25">
      <c r="A247" s="1">
        <v>45028.864583333001</v>
      </c>
      <c r="B247" s="1">
        <v>45027.747916667002</v>
      </c>
      <c r="C247" t="s">
        <v>226</v>
      </c>
    </row>
    <row r="248" spans="1:3" x14ac:dyDescent="0.25">
      <c r="A248" s="1">
        <v>45029.822916666999</v>
      </c>
      <c r="B248" s="1">
        <v>45027.75</v>
      </c>
      <c r="C248" t="s">
        <v>84</v>
      </c>
    </row>
    <row r="249" spans="1:3" x14ac:dyDescent="0.25">
      <c r="A249" s="1">
        <v>45027.716666667002</v>
      </c>
      <c r="B249" s="1">
        <v>45027.75</v>
      </c>
      <c r="C249" t="s">
        <v>227</v>
      </c>
    </row>
    <row r="250" spans="1:3" x14ac:dyDescent="0.25">
      <c r="A250" s="1">
        <v>45029.839583333</v>
      </c>
      <c r="B250" s="1">
        <v>45027.75</v>
      </c>
    </row>
    <row r="251" spans="1:3" x14ac:dyDescent="0.25">
      <c r="A251" s="1">
        <v>45028.831250000003</v>
      </c>
      <c r="B251" s="1">
        <v>45027.75</v>
      </c>
      <c r="C251" t="s">
        <v>228</v>
      </c>
    </row>
    <row r="252" spans="1:3" x14ac:dyDescent="0.25">
      <c r="A252" s="1">
        <v>45028.864583333001</v>
      </c>
      <c r="B252" s="1">
        <v>45027.75</v>
      </c>
      <c r="C252" t="s">
        <v>187</v>
      </c>
    </row>
    <row r="253" spans="1:3" x14ac:dyDescent="0.25">
      <c r="A253" s="1">
        <v>45028.845833332998</v>
      </c>
      <c r="B253" s="1">
        <v>45027.75</v>
      </c>
      <c r="C253" t="s">
        <v>229</v>
      </c>
    </row>
    <row r="254" spans="1:3" x14ac:dyDescent="0.25">
      <c r="A254" s="1">
        <v>45027.797916666997</v>
      </c>
      <c r="B254" s="1">
        <v>45027.760416666999</v>
      </c>
      <c r="C254" t="s">
        <v>230</v>
      </c>
    </row>
    <row r="255" spans="1:3" x14ac:dyDescent="0.25">
      <c r="A255" s="1">
        <v>45029.75</v>
      </c>
      <c r="B255" s="1">
        <v>45027.760416666999</v>
      </c>
      <c r="C255" t="s">
        <v>231</v>
      </c>
    </row>
    <row r="256" spans="1:3" x14ac:dyDescent="0.25">
      <c r="A256" s="1">
        <v>45029.716666667002</v>
      </c>
      <c r="B256" s="1">
        <v>45027.762499999997</v>
      </c>
      <c r="C256" t="s">
        <v>232</v>
      </c>
    </row>
    <row r="257" spans="1:3" x14ac:dyDescent="0.25">
      <c r="A257" s="1">
        <v>45027.793749999997</v>
      </c>
      <c r="B257" s="1">
        <v>45027.762499999997</v>
      </c>
      <c r="C257" t="s">
        <v>233</v>
      </c>
    </row>
    <row r="258" spans="1:3" x14ac:dyDescent="0.25">
      <c r="A258" s="1">
        <v>45029.722916667</v>
      </c>
      <c r="B258" s="1">
        <v>45027.762499999997</v>
      </c>
      <c r="C258" t="s">
        <v>234</v>
      </c>
    </row>
    <row r="259" spans="1:3" x14ac:dyDescent="0.25">
      <c r="A259" s="1">
        <v>45027.766666666997</v>
      </c>
      <c r="B259" s="1">
        <v>45027.762499999997</v>
      </c>
      <c r="C259" t="s">
        <v>235</v>
      </c>
    </row>
    <row r="260" spans="1:3" x14ac:dyDescent="0.25">
      <c r="A260" s="1">
        <v>45028.835416667003</v>
      </c>
      <c r="B260" s="1">
        <v>45027.764583333003</v>
      </c>
      <c r="C260" t="s">
        <v>236</v>
      </c>
    </row>
    <row r="261" spans="1:3" x14ac:dyDescent="0.25">
      <c r="A261" s="1">
        <v>45028.743750000001</v>
      </c>
      <c r="B261" s="1">
        <v>45027.764583333003</v>
      </c>
      <c r="C261" t="s">
        <v>237</v>
      </c>
    </row>
    <row r="262" spans="1:3" x14ac:dyDescent="0.25">
      <c r="A262" s="1">
        <v>45027.739583333001</v>
      </c>
      <c r="B262" s="1">
        <v>45027.766666666997</v>
      </c>
      <c r="C262" t="s">
        <v>238</v>
      </c>
    </row>
    <row r="263" spans="1:3" x14ac:dyDescent="0.25">
      <c r="A263" s="1">
        <v>45028.764583333003</v>
      </c>
      <c r="B263" s="1">
        <v>45027.766666666997</v>
      </c>
      <c r="C263" t="s">
        <v>239</v>
      </c>
    </row>
    <row r="264" spans="1:3" x14ac:dyDescent="0.25">
      <c r="A264" s="1">
        <v>45027.875</v>
      </c>
      <c r="B264" s="1">
        <v>45027.770833333001</v>
      </c>
      <c r="C264" t="s">
        <v>240</v>
      </c>
    </row>
    <row r="265" spans="1:3" x14ac:dyDescent="0.25">
      <c r="A265" s="1">
        <v>45027.710416667003</v>
      </c>
      <c r="B265" s="1">
        <v>45027.770833333001</v>
      </c>
      <c r="C265" t="s">
        <v>241</v>
      </c>
    </row>
    <row r="266" spans="1:3" x14ac:dyDescent="0.25">
      <c r="A266" s="1">
        <v>45027.887499999997</v>
      </c>
      <c r="B266" s="1">
        <v>45027.772916667003</v>
      </c>
      <c r="C266" t="s">
        <v>242</v>
      </c>
    </row>
    <row r="267" spans="1:3" x14ac:dyDescent="0.25">
      <c r="A267" s="1">
        <v>45030.373611110997</v>
      </c>
      <c r="B267" s="1">
        <v>45027.772916667003</v>
      </c>
    </row>
    <row r="268" spans="1:3" x14ac:dyDescent="0.25">
      <c r="A268" s="1">
        <v>45027.822916666999</v>
      </c>
      <c r="B268" s="1">
        <v>45027.772916667003</v>
      </c>
      <c r="C268" t="s">
        <v>243</v>
      </c>
    </row>
    <row r="269" spans="1:3" x14ac:dyDescent="0.25">
      <c r="A269" s="1">
        <v>45027.735416666997</v>
      </c>
      <c r="B269" s="1">
        <v>45027.772916667003</v>
      </c>
      <c r="C269" t="s">
        <v>244</v>
      </c>
    </row>
    <row r="270" spans="1:3" x14ac:dyDescent="0.25">
      <c r="A270" s="1">
        <v>45027.8</v>
      </c>
      <c r="B270" s="1">
        <v>45027.772916667003</v>
      </c>
      <c r="C270" t="s">
        <v>245</v>
      </c>
    </row>
    <row r="271" spans="1:3" x14ac:dyDescent="0.25">
      <c r="A271" s="1">
        <v>45027.904166667002</v>
      </c>
      <c r="B271" s="1">
        <v>45027.772916667003</v>
      </c>
      <c r="C271" t="s">
        <v>246</v>
      </c>
    </row>
    <row r="272" spans="1:3" x14ac:dyDescent="0.25">
      <c r="A272" s="1">
        <v>45027.829166666997</v>
      </c>
      <c r="B272" s="1">
        <v>45027.772916667003</v>
      </c>
      <c r="C272" t="s">
        <v>247</v>
      </c>
    </row>
    <row r="273" spans="1:3" x14ac:dyDescent="0.25">
      <c r="A273" s="1">
        <v>45028.827083333003</v>
      </c>
      <c r="B273" s="1">
        <v>45027.772916667003</v>
      </c>
      <c r="C273" t="s">
        <v>248</v>
      </c>
    </row>
    <row r="274" spans="1:3" x14ac:dyDescent="0.25">
      <c r="A274" s="1">
        <v>45029.727083332997</v>
      </c>
      <c r="B274" s="1">
        <v>45027.772916667003</v>
      </c>
      <c r="C274" t="s">
        <v>93</v>
      </c>
    </row>
    <row r="275" spans="1:3" x14ac:dyDescent="0.25">
      <c r="A275" s="1">
        <v>45029.85</v>
      </c>
      <c r="B275" s="1">
        <v>45027.772916667003</v>
      </c>
      <c r="C275" t="s">
        <v>249</v>
      </c>
    </row>
    <row r="276" spans="1:3" x14ac:dyDescent="0.25">
      <c r="A276" s="1">
        <v>45028.735416666997</v>
      </c>
      <c r="B276" s="1">
        <v>45027.775000000001</v>
      </c>
      <c r="C276" t="s">
        <v>250</v>
      </c>
    </row>
    <row r="277" spans="1:3" x14ac:dyDescent="0.25">
      <c r="A277" s="1">
        <v>45027.768750000003</v>
      </c>
      <c r="B277" s="1">
        <v>45027.775000000001</v>
      </c>
      <c r="C277" t="s">
        <v>251</v>
      </c>
    </row>
    <row r="278" spans="1:3" x14ac:dyDescent="0.25">
      <c r="A278" s="1">
        <v>45027.733333333003</v>
      </c>
      <c r="B278" s="1">
        <v>45027.775000000001</v>
      </c>
      <c r="C278" t="s">
        <v>252</v>
      </c>
    </row>
    <row r="279" spans="1:3" x14ac:dyDescent="0.25">
      <c r="A279" s="1">
        <v>45028.822916666999</v>
      </c>
      <c r="B279" s="1">
        <v>45027.775000000001</v>
      </c>
      <c r="C279" t="s">
        <v>253</v>
      </c>
    </row>
    <row r="280" spans="1:3" x14ac:dyDescent="0.25">
      <c r="A280" s="1">
        <v>45027.737500000003</v>
      </c>
      <c r="B280" s="1">
        <v>45027.775000000001</v>
      </c>
      <c r="C280" t="s">
        <v>254</v>
      </c>
    </row>
    <row r="281" spans="1:3" x14ac:dyDescent="0.25">
      <c r="A281" s="1">
        <v>45029.741666667003</v>
      </c>
      <c r="B281" s="1">
        <v>45027.775000000001</v>
      </c>
      <c r="C281" t="s">
        <v>189</v>
      </c>
    </row>
    <row r="282" spans="1:3" x14ac:dyDescent="0.25">
      <c r="A282" s="1">
        <v>45029.735416666997</v>
      </c>
      <c r="B282" s="1">
        <v>45027.775000000001</v>
      </c>
      <c r="C282" t="s">
        <v>174</v>
      </c>
    </row>
    <row r="283" spans="1:3" x14ac:dyDescent="0.25">
      <c r="A283" s="1">
        <v>45027.847916667</v>
      </c>
      <c r="B283" s="1">
        <v>45027.775000000001</v>
      </c>
      <c r="C283" t="s">
        <v>255</v>
      </c>
    </row>
    <row r="284" spans="1:3" x14ac:dyDescent="0.25">
      <c r="A284" s="1">
        <v>45027.722916667</v>
      </c>
      <c r="B284" s="1">
        <v>45027.777083333</v>
      </c>
      <c r="C284" t="s">
        <v>256</v>
      </c>
    </row>
    <row r="285" spans="1:3" x14ac:dyDescent="0.25">
      <c r="A285" s="1">
        <v>45029.779166667002</v>
      </c>
      <c r="B285" s="1">
        <v>45027.777083333</v>
      </c>
      <c r="C285" t="s">
        <v>257</v>
      </c>
    </row>
    <row r="286" spans="1:3" x14ac:dyDescent="0.25">
      <c r="A286" s="1">
        <v>45028.762499999997</v>
      </c>
      <c r="B286" s="1">
        <v>45027.779166667002</v>
      </c>
      <c r="C286" t="s">
        <v>258</v>
      </c>
    </row>
    <row r="287" spans="1:3" x14ac:dyDescent="0.25">
      <c r="A287" s="1">
        <v>45027.904166667002</v>
      </c>
      <c r="B287" s="1">
        <v>45027.779166667002</v>
      </c>
      <c r="C287" t="s">
        <v>259</v>
      </c>
    </row>
    <row r="288" spans="1:3" x14ac:dyDescent="0.25">
      <c r="A288" s="1">
        <v>45028.860416666997</v>
      </c>
      <c r="B288" s="1">
        <v>45027.779166667002</v>
      </c>
      <c r="C288" t="s">
        <v>260</v>
      </c>
    </row>
    <row r="289" spans="1:3" x14ac:dyDescent="0.25">
      <c r="A289" s="1">
        <v>45028.739583333001</v>
      </c>
      <c r="B289" s="1">
        <v>45027.779166667002</v>
      </c>
      <c r="C289" t="s">
        <v>261</v>
      </c>
    </row>
    <row r="290" spans="1:3" x14ac:dyDescent="0.25">
      <c r="A290" s="1">
        <v>45027.829166666997</v>
      </c>
      <c r="B290" s="1">
        <v>45027.787499999999</v>
      </c>
      <c r="C290" t="s">
        <v>262</v>
      </c>
    </row>
    <row r="291" spans="1:3" x14ac:dyDescent="0.25">
      <c r="A291" s="1">
        <v>45028.839583333</v>
      </c>
      <c r="B291" s="1">
        <v>45027.787499999999</v>
      </c>
      <c r="C291" t="s">
        <v>263</v>
      </c>
    </row>
    <row r="292" spans="1:3" x14ac:dyDescent="0.25">
      <c r="A292" s="1">
        <v>45027.716666667002</v>
      </c>
      <c r="B292" s="1">
        <v>45027.789583332997</v>
      </c>
      <c r="C292" t="s">
        <v>264</v>
      </c>
    </row>
    <row r="293" spans="1:3" x14ac:dyDescent="0.25">
      <c r="A293" s="1">
        <v>45027.866666667003</v>
      </c>
      <c r="B293" s="1">
        <v>45027.789583332997</v>
      </c>
      <c r="C293" t="s">
        <v>265</v>
      </c>
    </row>
    <row r="294" spans="1:3" x14ac:dyDescent="0.25">
      <c r="A294" s="1">
        <v>45029.787499999999</v>
      </c>
      <c r="B294" s="1">
        <v>45027.789583332997</v>
      </c>
      <c r="C294" t="s">
        <v>266</v>
      </c>
    </row>
    <row r="295" spans="1:3" x14ac:dyDescent="0.25">
      <c r="A295" s="1">
        <v>45027.881249999999</v>
      </c>
      <c r="B295" s="1">
        <v>45027.789583332997</v>
      </c>
      <c r="C295" t="s">
        <v>267</v>
      </c>
    </row>
    <row r="296" spans="1:3" x14ac:dyDescent="0.25">
      <c r="A296" s="1">
        <v>45027.764583333003</v>
      </c>
      <c r="B296" s="1">
        <v>45027.797916666997</v>
      </c>
      <c r="C296" t="s">
        <v>268</v>
      </c>
    </row>
    <row r="297" spans="1:3" x14ac:dyDescent="0.25">
      <c r="A297" s="1">
        <v>45027.847916667</v>
      </c>
      <c r="B297" s="1">
        <v>45027.797916666997</v>
      </c>
      <c r="C297" t="s">
        <v>269</v>
      </c>
    </row>
    <row r="298" spans="1:3" x14ac:dyDescent="0.25">
      <c r="A298" s="1">
        <v>45027.820833332997</v>
      </c>
      <c r="B298" s="1">
        <v>45027.8</v>
      </c>
      <c r="C298" t="s">
        <v>270</v>
      </c>
    </row>
    <row r="299" spans="1:3" x14ac:dyDescent="0.25">
      <c r="A299" s="1">
        <v>45027.824999999997</v>
      </c>
      <c r="B299" s="1">
        <v>45027.8</v>
      </c>
      <c r="C299" t="s">
        <v>271</v>
      </c>
    </row>
    <row r="300" spans="1:3" x14ac:dyDescent="0.25">
      <c r="A300" s="1">
        <v>45029.714583333</v>
      </c>
      <c r="B300" s="1">
        <v>45027.8</v>
      </c>
      <c r="C300" t="s">
        <v>272</v>
      </c>
    </row>
    <row r="301" spans="1:3" x14ac:dyDescent="0.25">
      <c r="A301" s="1">
        <v>45027.762499999997</v>
      </c>
      <c r="B301" s="1">
        <v>45027.8</v>
      </c>
      <c r="C301" t="s">
        <v>273</v>
      </c>
    </row>
    <row r="302" spans="1:3" x14ac:dyDescent="0.25">
      <c r="A302" s="1">
        <v>45027.854166666999</v>
      </c>
      <c r="B302" s="1">
        <v>45027.8</v>
      </c>
      <c r="C302" t="s">
        <v>274</v>
      </c>
    </row>
    <row r="303" spans="1:3" x14ac:dyDescent="0.25">
      <c r="A303" s="1">
        <v>45027.85</v>
      </c>
      <c r="B303" s="1">
        <v>45027.8</v>
      </c>
      <c r="C303" t="s">
        <v>275</v>
      </c>
    </row>
    <row r="304" spans="1:3" x14ac:dyDescent="0.25">
      <c r="A304" s="1">
        <v>45028.779166667002</v>
      </c>
      <c r="B304" s="1">
        <v>45027.8125</v>
      </c>
      <c r="C304" t="s">
        <v>276</v>
      </c>
    </row>
    <row r="305" spans="1:3" x14ac:dyDescent="0.25">
      <c r="A305" s="1">
        <v>45028.78125</v>
      </c>
      <c r="B305" s="1">
        <v>45027.8125</v>
      </c>
      <c r="C305" t="s">
        <v>277</v>
      </c>
    </row>
    <row r="306" spans="1:3" x14ac:dyDescent="0.25">
      <c r="A306" s="1">
        <v>45027.729166666999</v>
      </c>
      <c r="B306" s="1">
        <v>45027.814583332998</v>
      </c>
      <c r="C306" t="s">
        <v>278</v>
      </c>
    </row>
    <row r="307" spans="1:3" x14ac:dyDescent="0.25">
      <c r="A307" s="1">
        <v>45027.852083332997</v>
      </c>
      <c r="B307" s="1">
        <v>45027.814583332998</v>
      </c>
      <c r="C307" t="s">
        <v>279</v>
      </c>
    </row>
    <row r="308" spans="1:3" x14ac:dyDescent="0.25">
      <c r="A308" s="1">
        <v>45028.860416666997</v>
      </c>
      <c r="B308" s="1">
        <v>45027.816666667</v>
      </c>
      <c r="C308" t="s">
        <v>280</v>
      </c>
    </row>
    <row r="309" spans="1:3" x14ac:dyDescent="0.25">
      <c r="A309" s="1">
        <v>45030.373611110997</v>
      </c>
      <c r="B309" s="1">
        <v>45027.816666667</v>
      </c>
    </row>
    <row r="310" spans="1:3" x14ac:dyDescent="0.25">
      <c r="A310" s="1">
        <v>45028.847916667</v>
      </c>
      <c r="B310" s="1">
        <v>45027.816666667</v>
      </c>
      <c r="C310" t="s">
        <v>147</v>
      </c>
    </row>
    <row r="311" spans="1:3" x14ac:dyDescent="0.25">
      <c r="A311" s="1">
        <v>45028.84375</v>
      </c>
      <c r="B311" s="1">
        <v>45027.816666667</v>
      </c>
      <c r="C311" t="s">
        <v>281</v>
      </c>
    </row>
    <row r="312" spans="1:3" x14ac:dyDescent="0.25">
      <c r="A312" s="1">
        <v>45029.802083333001</v>
      </c>
      <c r="B312" s="1">
        <v>45027.822916666999</v>
      </c>
      <c r="C312" t="s">
        <v>26</v>
      </c>
    </row>
    <row r="313" spans="1:3" x14ac:dyDescent="0.25">
      <c r="A313" s="1">
        <v>45028.814583332998</v>
      </c>
      <c r="B313" s="1">
        <v>45027.822916666999</v>
      </c>
      <c r="C313" t="s">
        <v>57</v>
      </c>
    </row>
    <row r="314" spans="1:3" x14ac:dyDescent="0.25">
      <c r="A314" s="1">
        <v>45027.887499999997</v>
      </c>
      <c r="B314" s="1">
        <v>45027.829166666997</v>
      </c>
      <c r="C314" t="s">
        <v>282</v>
      </c>
    </row>
    <row r="315" spans="1:3" x14ac:dyDescent="0.25">
      <c r="A315" s="1">
        <v>45027.84375</v>
      </c>
      <c r="B315" s="1">
        <v>45027.829166666997</v>
      </c>
      <c r="C315" t="s">
        <v>283</v>
      </c>
    </row>
    <row r="316" spans="1:3" x14ac:dyDescent="0.25">
      <c r="A316" s="1">
        <v>45028.745833333</v>
      </c>
      <c r="B316" s="1">
        <v>45027.833333333001</v>
      </c>
      <c r="C316" t="s">
        <v>284</v>
      </c>
    </row>
    <row r="317" spans="1:3" x14ac:dyDescent="0.25">
      <c r="A317" s="1">
        <v>45028.824999999997</v>
      </c>
      <c r="B317" s="1">
        <v>45027.833333333001</v>
      </c>
      <c r="C317" t="s">
        <v>285</v>
      </c>
    </row>
    <row r="318" spans="1:3" x14ac:dyDescent="0.25">
      <c r="A318" s="1">
        <v>45027.814583332998</v>
      </c>
      <c r="B318" s="1">
        <v>45027.841666667002</v>
      </c>
      <c r="C318" t="s">
        <v>286</v>
      </c>
    </row>
    <row r="319" spans="1:3" x14ac:dyDescent="0.25">
      <c r="A319" s="1">
        <v>45029.75</v>
      </c>
      <c r="B319" s="1">
        <v>45027.841666667002</v>
      </c>
      <c r="C319" t="s">
        <v>287</v>
      </c>
    </row>
    <row r="320" spans="1:3" x14ac:dyDescent="0.25">
      <c r="A320" s="1">
        <v>45027.887499999997</v>
      </c>
      <c r="B320" s="1">
        <v>45027.841666667002</v>
      </c>
      <c r="C320" t="s">
        <v>288</v>
      </c>
    </row>
    <row r="321" spans="1:3" x14ac:dyDescent="0.25">
      <c r="A321" s="1" t="s">
        <v>289</v>
      </c>
      <c r="B321" s="1">
        <v>45027.84375</v>
      </c>
    </row>
    <row r="322" spans="1:3" x14ac:dyDescent="0.25">
      <c r="A322" s="1" t="s">
        <v>289</v>
      </c>
      <c r="B322" s="1">
        <v>45027.84375</v>
      </c>
    </row>
    <row r="323" spans="1:3" x14ac:dyDescent="0.25">
      <c r="A323" s="1">
        <v>45028.71875</v>
      </c>
      <c r="B323" s="1">
        <v>45027.84375</v>
      </c>
      <c r="C323" t="s">
        <v>290</v>
      </c>
    </row>
    <row r="324" spans="1:3" x14ac:dyDescent="0.25">
      <c r="A324" s="1">
        <v>45028.864583333001</v>
      </c>
      <c r="B324" s="1">
        <v>45027.84375</v>
      </c>
      <c r="C324" t="s">
        <v>291</v>
      </c>
    </row>
    <row r="325" spans="1:3" x14ac:dyDescent="0.25">
      <c r="A325" s="1">
        <v>45029.743750000001</v>
      </c>
      <c r="B325" s="1">
        <v>45027.847916667</v>
      </c>
      <c r="C325" t="s">
        <v>292</v>
      </c>
    </row>
    <row r="326" spans="1:3" x14ac:dyDescent="0.25">
      <c r="A326" s="1">
        <v>45027.735416666997</v>
      </c>
      <c r="B326" s="1">
        <v>45027.847916667</v>
      </c>
      <c r="C326" t="s">
        <v>293</v>
      </c>
    </row>
    <row r="327" spans="1:3" x14ac:dyDescent="0.25">
      <c r="A327" s="1">
        <v>45027.902083333</v>
      </c>
      <c r="B327" s="1">
        <v>45027.85</v>
      </c>
      <c r="C327" t="s">
        <v>294</v>
      </c>
    </row>
    <row r="328" spans="1:3" x14ac:dyDescent="0.25">
      <c r="A328" s="1">
        <v>45028.839583333</v>
      </c>
      <c r="B328" s="1">
        <v>45027.85</v>
      </c>
      <c r="C328" t="s">
        <v>295</v>
      </c>
    </row>
    <row r="329" spans="1:3" x14ac:dyDescent="0.25">
      <c r="A329" s="1">
        <v>45029.8125</v>
      </c>
      <c r="B329" s="1">
        <v>45027.864583333001</v>
      </c>
    </row>
    <row r="330" spans="1:3" x14ac:dyDescent="0.25">
      <c r="A330" s="1">
        <v>45027.839583333</v>
      </c>
      <c r="B330" s="1">
        <v>45027.864583333001</v>
      </c>
      <c r="C330" t="s">
        <v>296</v>
      </c>
    </row>
    <row r="331" spans="1:3" x14ac:dyDescent="0.25">
      <c r="A331" s="1">
        <v>45028.837500000001</v>
      </c>
      <c r="B331" s="1">
        <v>45027.866666667003</v>
      </c>
      <c r="C331" t="s">
        <v>297</v>
      </c>
    </row>
    <row r="332" spans="1:3" x14ac:dyDescent="0.25">
      <c r="A332" s="1">
        <v>45028.85</v>
      </c>
      <c r="B332" s="1">
        <v>45027.866666667003</v>
      </c>
      <c r="C332" t="s">
        <v>298</v>
      </c>
    </row>
    <row r="333" spans="1:3" x14ac:dyDescent="0.25">
      <c r="A333" s="1">
        <v>45028.760416666999</v>
      </c>
      <c r="B333" s="1">
        <v>45027.866666667003</v>
      </c>
      <c r="C333" t="s">
        <v>299</v>
      </c>
    </row>
    <row r="334" spans="1:3" x14ac:dyDescent="0.25">
      <c r="A334" s="1">
        <v>45029.816666667</v>
      </c>
      <c r="B334" s="1">
        <v>45027.866666667003</v>
      </c>
      <c r="C334" t="s">
        <v>300</v>
      </c>
    </row>
    <row r="335" spans="1:3" x14ac:dyDescent="0.25">
      <c r="A335" s="1">
        <v>45028.795833333003</v>
      </c>
      <c r="B335" s="1">
        <v>45027.868750000001</v>
      </c>
      <c r="C335" t="s">
        <v>301</v>
      </c>
    </row>
    <row r="336" spans="1:3" x14ac:dyDescent="0.25">
      <c r="A336" s="1">
        <v>45027.712500000001</v>
      </c>
      <c r="B336" s="1">
        <v>45027.868750000001</v>
      </c>
      <c r="C336" t="s">
        <v>302</v>
      </c>
    </row>
    <row r="337" spans="1:3" x14ac:dyDescent="0.25">
      <c r="A337" s="1">
        <v>45029.84375</v>
      </c>
      <c r="B337" s="1">
        <v>45027.875</v>
      </c>
      <c r="C337" t="s">
        <v>249</v>
      </c>
    </row>
    <row r="338" spans="1:3" x14ac:dyDescent="0.25">
      <c r="A338" s="1">
        <v>45029.731249999997</v>
      </c>
      <c r="B338" s="1">
        <v>45027.875</v>
      </c>
      <c r="C338" t="s">
        <v>303</v>
      </c>
    </row>
    <row r="339" spans="1:3" x14ac:dyDescent="0.25">
      <c r="A339" s="1">
        <v>45029.729166666999</v>
      </c>
      <c r="B339" s="1">
        <v>45027.879166667</v>
      </c>
      <c r="C339" t="s">
        <v>304</v>
      </c>
    </row>
    <row r="340" spans="1:3" x14ac:dyDescent="0.25">
      <c r="A340" s="1">
        <v>45029.708333333001</v>
      </c>
      <c r="B340" s="1">
        <v>45027.879166667</v>
      </c>
      <c r="C340" t="s">
        <v>305</v>
      </c>
    </row>
    <row r="341" spans="1:3" x14ac:dyDescent="0.25">
      <c r="A341" s="1">
        <v>45029.743750000001</v>
      </c>
      <c r="B341" s="1">
        <v>45027.885416666999</v>
      </c>
      <c r="C341" t="s">
        <v>306</v>
      </c>
    </row>
    <row r="342" spans="1:3" x14ac:dyDescent="0.25">
      <c r="A342" s="1">
        <v>45027.885416666999</v>
      </c>
      <c r="B342" s="1">
        <v>45027.885416666999</v>
      </c>
      <c r="C342" t="s">
        <v>307</v>
      </c>
    </row>
    <row r="343" spans="1:3" x14ac:dyDescent="0.25">
      <c r="A343" s="1">
        <v>45029.847916667</v>
      </c>
      <c r="B343" s="1">
        <v>45027.885416666999</v>
      </c>
      <c r="C343" t="s">
        <v>308</v>
      </c>
    </row>
    <row r="344" spans="1:3" x14ac:dyDescent="0.25">
      <c r="A344" s="1">
        <v>45029.775000000001</v>
      </c>
      <c r="B344" s="1">
        <v>45027.885416666999</v>
      </c>
      <c r="C344" t="s">
        <v>212</v>
      </c>
    </row>
    <row r="345" spans="1:3" x14ac:dyDescent="0.25">
      <c r="A345" s="1">
        <v>45027.743750000001</v>
      </c>
      <c r="B345" s="1">
        <v>45027.885416666999</v>
      </c>
      <c r="C345" t="s">
        <v>309</v>
      </c>
    </row>
    <row r="346" spans="1:3" x14ac:dyDescent="0.25">
      <c r="A346" s="1">
        <v>45029.785416667</v>
      </c>
      <c r="B346" s="1">
        <v>45027.885416666999</v>
      </c>
      <c r="C346" t="s">
        <v>232</v>
      </c>
    </row>
    <row r="347" spans="1:3" x14ac:dyDescent="0.25">
      <c r="A347" s="1">
        <v>45029.802083333001</v>
      </c>
      <c r="B347" s="1">
        <v>45027.889583333003</v>
      </c>
      <c r="C347" t="s">
        <v>310</v>
      </c>
    </row>
    <row r="348" spans="1:3" x14ac:dyDescent="0.25">
      <c r="A348" s="1">
        <v>45027.747916667002</v>
      </c>
      <c r="B348" s="1">
        <v>45027.889583333003</v>
      </c>
      <c r="C348" t="s">
        <v>311</v>
      </c>
    </row>
    <row r="349" spans="1:3" x14ac:dyDescent="0.25">
      <c r="A349" s="1">
        <v>45028.845833332998</v>
      </c>
      <c r="B349" s="1">
        <v>45027.889583333003</v>
      </c>
      <c r="C349" t="s">
        <v>312</v>
      </c>
    </row>
    <row r="350" spans="1:3" x14ac:dyDescent="0.25">
      <c r="A350" s="1">
        <v>45027.770833333001</v>
      </c>
      <c r="B350" s="1">
        <v>45027.891666666997</v>
      </c>
      <c r="C350" t="s">
        <v>313</v>
      </c>
    </row>
    <row r="351" spans="1:3" x14ac:dyDescent="0.25">
      <c r="A351" s="1">
        <v>45027.775000000001</v>
      </c>
      <c r="B351" s="1">
        <v>45027.891666666997</v>
      </c>
      <c r="C351" t="s">
        <v>314</v>
      </c>
    </row>
    <row r="352" spans="1:3" x14ac:dyDescent="0.25">
      <c r="A352" s="1">
        <v>45028.766666666997</v>
      </c>
      <c r="B352" s="1">
        <v>45027.895833333001</v>
      </c>
      <c r="C352" t="s">
        <v>315</v>
      </c>
    </row>
    <row r="353" spans="1:3" x14ac:dyDescent="0.25">
      <c r="A353" s="1">
        <v>45027.741666667003</v>
      </c>
      <c r="B353" s="1">
        <v>45027.895833333001</v>
      </c>
      <c r="C353" t="s">
        <v>316</v>
      </c>
    </row>
    <row r="354" spans="1:3" x14ac:dyDescent="0.25">
      <c r="A354" s="1">
        <v>45027.90625</v>
      </c>
      <c r="B354" s="1">
        <v>45027.902083333</v>
      </c>
      <c r="C354" t="s">
        <v>317</v>
      </c>
    </row>
    <row r="355" spans="1:3" x14ac:dyDescent="0.25">
      <c r="A355" s="1">
        <v>45029.710416667003</v>
      </c>
      <c r="B355" s="1">
        <v>45027.902083333</v>
      </c>
      <c r="C355" t="s">
        <v>318</v>
      </c>
    </row>
    <row r="356" spans="1:3" x14ac:dyDescent="0.25">
      <c r="A356" s="1">
        <v>45029.779166667002</v>
      </c>
      <c r="B356" s="1">
        <v>45027.902083333</v>
      </c>
      <c r="C356" t="s">
        <v>319</v>
      </c>
    </row>
    <row r="357" spans="1:3" x14ac:dyDescent="0.25">
      <c r="A357" s="1">
        <v>45028.85</v>
      </c>
      <c r="B357" s="1">
        <v>45028.708333333001</v>
      </c>
      <c r="C357" t="s">
        <v>291</v>
      </c>
    </row>
    <row r="358" spans="1:3" x14ac:dyDescent="0.25">
      <c r="A358" s="1">
        <v>45029.845833332998</v>
      </c>
      <c r="B358" s="1">
        <v>45028.708333333001</v>
      </c>
      <c r="C358" t="s">
        <v>32</v>
      </c>
    </row>
    <row r="359" spans="1:3" x14ac:dyDescent="0.25">
      <c r="A359" s="1">
        <v>45027.731249999997</v>
      </c>
      <c r="B359" s="1">
        <v>45028.708333333001</v>
      </c>
      <c r="C359" t="s">
        <v>320</v>
      </c>
    </row>
    <row r="360" spans="1:3" x14ac:dyDescent="0.25">
      <c r="A360" s="1">
        <v>45027.785416667</v>
      </c>
      <c r="B360" s="1">
        <v>45028.708333333001</v>
      </c>
      <c r="C360" t="s">
        <v>321</v>
      </c>
    </row>
    <row r="361" spans="1:3" x14ac:dyDescent="0.25">
      <c r="A361" s="1">
        <v>45029.779166667002</v>
      </c>
      <c r="B361" s="1">
        <v>45028.710416667003</v>
      </c>
      <c r="C361" t="s">
        <v>167</v>
      </c>
    </row>
    <row r="362" spans="1:3" x14ac:dyDescent="0.25">
      <c r="A362" s="1">
        <v>45027.789583332997</v>
      </c>
      <c r="B362" s="1">
        <v>45028.710416667003</v>
      </c>
      <c r="C362" t="s">
        <v>322</v>
      </c>
    </row>
    <row r="363" spans="1:3" x14ac:dyDescent="0.25">
      <c r="A363" s="1">
        <v>45029.708333333001</v>
      </c>
      <c r="B363" s="1">
        <v>45028.710416667003</v>
      </c>
      <c r="C363" t="s">
        <v>323</v>
      </c>
    </row>
    <row r="364" spans="1:3" x14ac:dyDescent="0.25">
      <c r="A364" s="1">
        <v>45027.897916667003</v>
      </c>
      <c r="B364" s="1">
        <v>45028.710416667003</v>
      </c>
      <c r="C364" t="s">
        <v>324</v>
      </c>
    </row>
    <row r="365" spans="1:3" x14ac:dyDescent="0.25">
      <c r="A365" s="1">
        <v>45029.835416667003</v>
      </c>
      <c r="B365" s="1">
        <v>45028.710416667003</v>
      </c>
    </row>
    <row r="366" spans="1:3" x14ac:dyDescent="0.25">
      <c r="A366" s="1">
        <v>45027.831250000003</v>
      </c>
      <c r="B366" s="1">
        <v>45028.710416667003</v>
      </c>
      <c r="C366" t="s">
        <v>325</v>
      </c>
    </row>
    <row r="367" spans="1:3" x14ac:dyDescent="0.25">
      <c r="A367" s="1">
        <v>45027.787499999999</v>
      </c>
      <c r="B367" s="1">
        <v>45028.710416667003</v>
      </c>
      <c r="C367" t="s">
        <v>326</v>
      </c>
    </row>
    <row r="368" spans="1:3" x14ac:dyDescent="0.25">
      <c r="A368" s="1">
        <v>45027.762499999997</v>
      </c>
      <c r="B368" s="1">
        <v>45028.710416667003</v>
      </c>
      <c r="C368" t="s">
        <v>327</v>
      </c>
    </row>
    <row r="369" spans="1:3" x14ac:dyDescent="0.25">
      <c r="A369" s="1">
        <v>45029.743750000001</v>
      </c>
      <c r="B369" s="1">
        <v>45028.710416667003</v>
      </c>
      <c r="C369" t="s">
        <v>328</v>
      </c>
    </row>
    <row r="370" spans="1:3" x14ac:dyDescent="0.25">
      <c r="A370" s="1">
        <v>45028.710416667003</v>
      </c>
      <c r="B370" s="1">
        <v>45028.710416667003</v>
      </c>
      <c r="C370" t="s">
        <v>329</v>
      </c>
    </row>
    <row r="371" spans="1:3" x14ac:dyDescent="0.25">
      <c r="A371" s="1">
        <v>45027.789583332997</v>
      </c>
      <c r="B371" s="1">
        <v>45028.712500000001</v>
      </c>
      <c r="C371" t="s">
        <v>330</v>
      </c>
    </row>
    <row r="372" spans="1:3" x14ac:dyDescent="0.25">
      <c r="A372" s="1">
        <v>45027.8</v>
      </c>
      <c r="B372" s="1">
        <v>45028.712500000001</v>
      </c>
      <c r="C372" t="s">
        <v>331</v>
      </c>
    </row>
    <row r="373" spans="1:3" x14ac:dyDescent="0.25">
      <c r="A373" s="1">
        <v>45027.904166667002</v>
      </c>
      <c r="B373" s="1">
        <v>45028.712500000001</v>
      </c>
      <c r="C373" t="s">
        <v>332</v>
      </c>
    </row>
    <row r="374" spans="1:3" x14ac:dyDescent="0.25">
      <c r="A374" s="1">
        <v>45029.808333333</v>
      </c>
      <c r="B374" s="1">
        <v>45028.712500000001</v>
      </c>
      <c r="C374" t="s">
        <v>160</v>
      </c>
    </row>
    <row r="375" spans="1:3" x14ac:dyDescent="0.25">
      <c r="A375" s="1">
        <v>45029.8</v>
      </c>
      <c r="B375" s="1">
        <v>45028.712500000001</v>
      </c>
      <c r="C375" t="s">
        <v>333</v>
      </c>
    </row>
    <row r="376" spans="1:3" x14ac:dyDescent="0.25">
      <c r="A376" s="1">
        <v>45028.716666667002</v>
      </c>
      <c r="B376" s="1">
        <v>45028.714583333</v>
      </c>
      <c r="C376" t="s">
        <v>334</v>
      </c>
    </row>
    <row r="377" spans="1:3" x14ac:dyDescent="0.25">
      <c r="A377" s="1">
        <v>45029.78125</v>
      </c>
      <c r="B377" s="1">
        <v>45028.714583333</v>
      </c>
      <c r="C377" t="s">
        <v>335</v>
      </c>
    </row>
    <row r="378" spans="1:3" x14ac:dyDescent="0.25">
      <c r="A378" s="1">
        <v>45027.831250000003</v>
      </c>
      <c r="B378" s="1">
        <v>45028.714583333</v>
      </c>
      <c r="C378" t="s">
        <v>336</v>
      </c>
    </row>
    <row r="379" spans="1:3" x14ac:dyDescent="0.25">
      <c r="A379" s="1">
        <v>45029.710416667003</v>
      </c>
      <c r="B379" s="1">
        <v>45028.714583333</v>
      </c>
      <c r="C379" t="s">
        <v>337</v>
      </c>
    </row>
    <row r="380" spans="1:3" x14ac:dyDescent="0.25">
      <c r="A380" s="1">
        <v>45027.870833333</v>
      </c>
      <c r="B380" s="1">
        <v>45028.714583333</v>
      </c>
      <c r="C380" t="s">
        <v>338</v>
      </c>
    </row>
    <row r="381" spans="1:3" x14ac:dyDescent="0.25">
      <c r="A381" s="1">
        <v>45027.847916667</v>
      </c>
      <c r="B381" s="1">
        <v>45028.714583333</v>
      </c>
      <c r="C381" t="s">
        <v>339</v>
      </c>
    </row>
    <row r="382" spans="1:3" x14ac:dyDescent="0.25">
      <c r="A382" s="1">
        <v>45029.752083332998</v>
      </c>
      <c r="B382" s="1">
        <v>45028.714583333</v>
      </c>
    </row>
    <row r="383" spans="1:3" x14ac:dyDescent="0.25">
      <c r="A383" s="1">
        <v>45028.835416667003</v>
      </c>
      <c r="B383" s="1">
        <v>45028.716666667002</v>
      </c>
      <c r="C383" t="s">
        <v>127</v>
      </c>
    </row>
    <row r="384" spans="1:3" x14ac:dyDescent="0.25">
      <c r="A384" s="1">
        <v>45030.372916667002</v>
      </c>
      <c r="B384" s="1">
        <v>45028.716666667002</v>
      </c>
    </row>
    <row r="385" spans="1:3" x14ac:dyDescent="0.25">
      <c r="A385" s="1">
        <v>45027.822916666999</v>
      </c>
      <c r="B385" s="1">
        <v>45028.716666667002</v>
      </c>
      <c r="C385" t="s">
        <v>340</v>
      </c>
    </row>
    <row r="386" spans="1:3" x14ac:dyDescent="0.25">
      <c r="A386" s="1">
        <v>45028.820833332997</v>
      </c>
      <c r="B386" s="1">
        <v>45028.71875</v>
      </c>
      <c r="C386" t="s">
        <v>341</v>
      </c>
    </row>
    <row r="387" spans="1:3" x14ac:dyDescent="0.25">
      <c r="A387" s="1">
        <v>45028.743750000001</v>
      </c>
      <c r="B387" s="1">
        <v>45028.71875</v>
      </c>
      <c r="C387" t="s">
        <v>342</v>
      </c>
    </row>
    <row r="388" spans="1:3" x14ac:dyDescent="0.25">
      <c r="A388" s="1">
        <v>45029.758333332997</v>
      </c>
      <c r="B388" s="1">
        <v>45028.720833332998</v>
      </c>
      <c r="C388" t="s">
        <v>343</v>
      </c>
    </row>
    <row r="389" spans="1:3" x14ac:dyDescent="0.25">
      <c r="A389" s="1">
        <v>45029.756249999999</v>
      </c>
      <c r="B389" s="1">
        <v>45028.720833332998</v>
      </c>
      <c r="C389" t="s">
        <v>344</v>
      </c>
    </row>
    <row r="390" spans="1:3" x14ac:dyDescent="0.25">
      <c r="A390" s="1">
        <v>45029.841666667002</v>
      </c>
      <c r="B390" s="1">
        <v>45028.720833332998</v>
      </c>
      <c r="C390" t="s">
        <v>345</v>
      </c>
    </row>
    <row r="391" spans="1:3" x14ac:dyDescent="0.25">
      <c r="A391" s="1">
        <v>45027.897916667003</v>
      </c>
      <c r="B391" s="1">
        <v>45028.720833332998</v>
      </c>
      <c r="C391" t="s">
        <v>346</v>
      </c>
    </row>
    <row r="392" spans="1:3" x14ac:dyDescent="0.25">
      <c r="A392" s="1">
        <v>45028.716666667002</v>
      </c>
      <c r="B392" s="1">
        <v>45028.720833332998</v>
      </c>
      <c r="C392" t="s">
        <v>347</v>
      </c>
    </row>
    <row r="393" spans="1:3" x14ac:dyDescent="0.25">
      <c r="A393" s="1">
        <v>45027.879166667</v>
      </c>
      <c r="B393" s="1">
        <v>45028.720833332998</v>
      </c>
      <c r="C393" t="s">
        <v>348</v>
      </c>
    </row>
    <row r="394" spans="1:3" x14ac:dyDescent="0.25">
      <c r="A394" s="1">
        <v>45028.770833333001</v>
      </c>
      <c r="B394" s="1">
        <v>45028.722916667</v>
      </c>
      <c r="C394" t="s">
        <v>349</v>
      </c>
    </row>
    <row r="395" spans="1:3" x14ac:dyDescent="0.25">
      <c r="A395" s="1">
        <v>45030.373611110997</v>
      </c>
      <c r="B395" s="1">
        <v>45028.722916667</v>
      </c>
    </row>
    <row r="396" spans="1:3" x14ac:dyDescent="0.25">
      <c r="A396" s="1">
        <v>45027.90625</v>
      </c>
      <c r="B396" s="1">
        <v>45028.722916667</v>
      </c>
      <c r="C396" t="s">
        <v>350</v>
      </c>
    </row>
    <row r="397" spans="1:3" x14ac:dyDescent="0.25">
      <c r="A397" s="1">
        <v>45029.822916666999</v>
      </c>
      <c r="B397" s="1">
        <v>45028.722916667</v>
      </c>
      <c r="C397" t="s">
        <v>351</v>
      </c>
    </row>
    <row r="398" spans="1:3" x14ac:dyDescent="0.25">
      <c r="A398" s="1">
        <v>45027.90625</v>
      </c>
      <c r="B398" s="1">
        <v>45028.724999999999</v>
      </c>
      <c r="C398" t="s">
        <v>352</v>
      </c>
    </row>
    <row r="399" spans="1:3" x14ac:dyDescent="0.25">
      <c r="A399" s="1">
        <v>45030.372916667002</v>
      </c>
      <c r="B399" s="1">
        <v>45028.724999999999</v>
      </c>
      <c r="C399" t="s">
        <v>121</v>
      </c>
    </row>
    <row r="400" spans="1:3" x14ac:dyDescent="0.25">
      <c r="A400" s="1">
        <v>45027.864583333001</v>
      </c>
      <c r="B400" s="1">
        <v>45028.724999999999</v>
      </c>
      <c r="C400" t="s">
        <v>353</v>
      </c>
    </row>
    <row r="401" spans="1:3" x14ac:dyDescent="0.25">
      <c r="A401" s="1">
        <v>45027.822916666999</v>
      </c>
      <c r="B401" s="1">
        <v>45028.724999999999</v>
      </c>
      <c r="C401" t="s">
        <v>354</v>
      </c>
    </row>
    <row r="402" spans="1:3" x14ac:dyDescent="0.25">
      <c r="A402" s="1">
        <v>45028.802083333001</v>
      </c>
      <c r="B402" s="1">
        <v>45028.727083332997</v>
      </c>
      <c r="C402" t="s">
        <v>355</v>
      </c>
    </row>
    <row r="403" spans="1:3" x14ac:dyDescent="0.25">
      <c r="A403" s="1">
        <v>45027.779166667002</v>
      </c>
      <c r="B403" s="1">
        <v>45028.727083332997</v>
      </c>
      <c r="C403" t="s">
        <v>356</v>
      </c>
    </row>
    <row r="404" spans="1:3" x14ac:dyDescent="0.25">
      <c r="A404" s="1">
        <v>45029.75</v>
      </c>
      <c r="B404" s="1">
        <v>45028.729166666999</v>
      </c>
      <c r="C404" t="s">
        <v>357</v>
      </c>
    </row>
    <row r="405" spans="1:3" x14ac:dyDescent="0.25">
      <c r="A405" s="1">
        <v>45029.708333333001</v>
      </c>
      <c r="B405" s="1">
        <v>45028.729166666999</v>
      </c>
      <c r="C405" t="s">
        <v>358</v>
      </c>
    </row>
    <row r="406" spans="1:3" x14ac:dyDescent="0.25">
      <c r="A406" s="1">
        <v>45029.810416667002</v>
      </c>
      <c r="B406" s="1">
        <v>45028.729166666999</v>
      </c>
    </row>
    <row r="407" spans="1:3" x14ac:dyDescent="0.25">
      <c r="A407" s="1">
        <v>45027.9</v>
      </c>
      <c r="B407" s="1">
        <v>45028.729166666999</v>
      </c>
      <c r="C407" t="s">
        <v>359</v>
      </c>
    </row>
    <row r="408" spans="1:3" x14ac:dyDescent="0.25">
      <c r="A408" s="1">
        <v>45027.854166666999</v>
      </c>
      <c r="B408" s="1">
        <v>45028.729166666999</v>
      </c>
      <c r="C408" t="s">
        <v>360</v>
      </c>
    </row>
    <row r="409" spans="1:3" x14ac:dyDescent="0.25">
      <c r="A409" s="1">
        <v>45029.720833332998</v>
      </c>
      <c r="B409" s="1">
        <v>45028.729166666999</v>
      </c>
      <c r="C409" t="s">
        <v>361</v>
      </c>
    </row>
    <row r="410" spans="1:3" x14ac:dyDescent="0.25">
      <c r="A410" s="1">
        <v>45028.720833332998</v>
      </c>
      <c r="B410" s="1">
        <v>45028.731249999997</v>
      </c>
      <c r="C410" t="s">
        <v>362</v>
      </c>
    </row>
    <row r="411" spans="1:3" x14ac:dyDescent="0.25">
      <c r="A411" s="1">
        <v>45030.372916667002</v>
      </c>
      <c r="B411" s="1">
        <v>45028.731249999997</v>
      </c>
    </row>
    <row r="412" spans="1:3" x14ac:dyDescent="0.25">
      <c r="A412" s="1">
        <v>45028.722916667</v>
      </c>
      <c r="B412" s="1">
        <v>45028.731249999997</v>
      </c>
      <c r="C412" t="s">
        <v>363</v>
      </c>
    </row>
    <row r="413" spans="1:3" x14ac:dyDescent="0.25">
      <c r="A413" s="1">
        <v>45029.741666667003</v>
      </c>
      <c r="B413" s="1">
        <v>45028.731249999997</v>
      </c>
      <c r="C413" t="s">
        <v>364</v>
      </c>
    </row>
    <row r="414" spans="1:3" x14ac:dyDescent="0.25">
      <c r="A414" s="1">
        <v>45029.833333333001</v>
      </c>
      <c r="B414" s="1">
        <v>45028.733333333003</v>
      </c>
      <c r="C414" t="s">
        <v>171</v>
      </c>
    </row>
    <row r="415" spans="1:3" x14ac:dyDescent="0.25">
      <c r="A415" s="1">
        <v>45027.712500000001</v>
      </c>
      <c r="B415" s="1">
        <v>45028.733333333003</v>
      </c>
      <c r="C415" t="s">
        <v>365</v>
      </c>
    </row>
    <row r="416" spans="1:3" x14ac:dyDescent="0.25">
      <c r="A416" s="1">
        <v>45028.772916667003</v>
      </c>
      <c r="B416" s="1">
        <v>45028.733333333003</v>
      </c>
      <c r="C416" t="s">
        <v>366</v>
      </c>
    </row>
    <row r="417" spans="1:3" x14ac:dyDescent="0.25">
      <c r="A417" s="1">
        <v>45028.731249999997</v>
      </c>
      <c r="B417" s="1">
        <v>45028.733333333003</v>
      </c>
      <c r="C417" t="s">
        <v>367</v>
      </c>
    </row>
    <row r="418" spans="1:3" x14ac:dyDescent="0.25">
      <c r="A418" s="1">
        <v>45027.866666667003</v>
      </c>
      <c r="B418" s="1">
        <v>45028.733333333003</v>
      </c>
      <c r="C418" t="s">
        <v>368</v>
      </c>
    </row>
    <row r="419" spans="1:3" x14ac:dyDescent="0.25">
      <c r="A419" s="1">
        <v>45027.883333332997</v>
      </c>
      <c r="B419" s="1">
        <v>45028.733333333003</v>
      </c>
      <c r="C419" t="s">
        <v>369</v>
      </c>
    </row>
    <row r="420" spans="1:3" x14ac:dyDescent="0.25">
      <c r="A420" s="1">
        <v>45027.820833332997</v>
      </c>
      <c r="B420" s="1">
        <v>45028.733333333003</v>
      </c>
      <c r="C420" t="s">
        <v>370</v>
      </c>
    </row>
    <row r="421" spans="1:3" x14ac:dyDescent="0.25">
      <c r="A421" s="1">
        <v>45028.737500000003</v>
      </c>
      <c r="B421" s="1">
        <v>45028.735416666997</v>
      </c>
      <c r="C421" t="s">
        <v>371</v>
      </c>
    </row>
    <row r="422" spans="1:3" x14ac:dyDescent="0.25">
      <c r="A422" s="1">
        <v>45029.720833332998</v>
      </c>
      <c r="B422" s="1">
        <v>45028.735416666997</v>
      </c>
      <c r="C422" t="s">
        <v>140</v>
      </c>
    </row>
    <row r="423" spans="1:3" x14ac:dyDescent="0.25">
      <c r="A423" s="1">
        <v>45029.793749999997</v>
      </c>
      <c r="B423" s="1">
        <v>45028.735416666997</v>
      </c>
      <c r="C423" t="s">
        <v>372</v>
      </c>
    </row>
    <row r="424" spans="1:3" x14ac:dyDescent="0.25">
      <c r="A424" s="1">
        <v>45028.712500000001</v>
      </c>
      <c r="B424" s="1">
        <v>45028.735416666997</v>
      </c>
      <c r="C424" t="s">
        <v>373</v>
      </c>
    </row>
    <row r="425" spans="1:3" x14ac:dyDescent="0.25">
      <c r="A425" s="1">
        <v>45027.85</v>
      </c>
      <c r="B425" s="1">
        <v>45028.735416666997</v>
      </c>
      <c r="C425" t="s">
        <v>374</v>
      </c>
    </row>
    <row r="426" spans="1:3" x14ac:dyDescent="0.25">
      <c r="A426" s="1">
        <v>45028.862500000003</v>
      </c>
      <c r="B426" s="1">
        <v>45028.737500000003</v>
      </c>
      <c r="C426" t="s">
        <v>106</v>
      </c>
    </row>
    <row r="427" spans="1:3" x14ac:dyDescent="0.25">
      <c r="A427" s="1">
        <v>45029.835416667003</v>
      </c>
      <c r="B427" s="1">
        <v>45028.737500000003</v>
      </c>
    </row>
    <row r="428" spans="1:3" x14ac:dyDescent="0.25">
      <c r="A428" s="1">
        <v>45027.85</v>
      </c>
      <c r="B428" s="1">
        <v>45028.737500000003</v>
      </c>
      <c r="C428" t="s">
        <v>375</v>
      </c>
    </row>
    <row r="429" spans="1:3" x14ac:dyDescent="0.25">
      <c r="A429" s="1">
        <v>45027.75</v>
      </c>
      <c r="B429" s="1">
        <v>45028.737500000003</v>
      </c>
      <c r="C429" t="s">
        <v>376</v>
      </c>
    </row>
    <row r="430" spans="1:3" x14ac:dyDescent="0.25">
      <c r="A430" s="1">
        <v>45028.839583333</v>
      </c>
      <c r="B430" s="1">
        <v>45028.737500000003</v>
      </c>
      <c r="C430" t="s">
        <v>377</v>
      </c>
    </row>
    <row r="431" spans="1:3" x14ac:dyDescent="0.25">
      <c r="A431" s="1">
        <v>45029.84375</v>
      </c>
      <c r="B431" s="1">
        <v>45028.737500000003</v>
      </c>
      <c r="C431" t="s">
        <v>38</v>
      </c>
    </row>
    <row r="432" spans="1:3" x14ac:dyDescent="0.25">
      <c r="A432" s="1">
        <v>45028.793749999997</v>
      </c>
      <c r="B432" s="1">
        <v>45028.739583333001</v>
      </c>
      <c r="C432" t="s">
        <v>378</v>
      </c>
    </row>
    <row r="433" spans="1:3" x14ac:dyDescent="0.25">
      <c r="A433" s="1">
        <v>45027.731249999997</v>
      </c>
      <c r="B433" s="1">
        <v>45028.739583333001</v>
      </c>
      <c r="C433" t="s">
        <v>379</v>
      </c>
    </row>
    <row r="434" spans="1:3" x14ac:dyDescent="0.25">
      <c r="A434" s="1">
        <v>45027.824999999997</v>
      </c>
      <c r="B434" s="1">
        <v>45028.741666667003</v>
      </c>
      <c r="C434" t="s">
        <v>380</v>
      </c>
    </row>
    <row r="435" spans="1:3" x14ac:dyDescent="0.25">
      <c r="A435" s="1">
        <v>45027.895833333001</v>
      </c>
      <c r="B435" s="1">
        <v>45028.741666667003</v>
      </c>
      <c r="C435" t="s">
        <v>381</v>
      </c>
    </row>
    <row r="436" spans="1:3" x14ac:dyDescent="0.25">
      <c r="A436" s="1">
        <v>45027.868750000001</v>
      </c>
      <c r="B436" s="1">
        <v>45028.745833333</v>
      </c>
      <c r="C436" t="s">
        <v>382</v>
      </c>
    </row>
    <row r="437" spans="1:3" x14ac:dyDescent="0.25">
      <c r="A437" s="1">
        <v>45029.741666667003</v>
      </c>
      <c r="B437" s="1">
        <v>45028.745833333</v>
      </c>
      <c r="C437" t="s">
        <v>383</v>
      </c>
    </row>
    <row r="438" spans="1:3" x14ac:dyDescent="0.25">
      <c r="A438" s="1">
        <v>45029.770833333001</v>
      </c>
      <c r="B438" s="1">
        <v>45028.745833333</v>
      </c>
      <c r="C438" t="s">
        <v>384</v>
      </c>
    </row>
    <row r="439" spans="1:3" x14ac:dyDescent="0.25">
      <c r="A439" s="1">
        <v>45029.720833332998</v>
      </c>
      <c r="B439" s="1">
        <v>45028.747916667002</v>
      </c>
      <c r="C439" t="s">
        <v>385</v>
      </c>
    </row>
    <row r="440" spans="1:3" x14ac:dyDescent="0.25">
      <c r="A440" s="1">
        <v>45027.793749999997</v>
      </c>
      <c r="B440" s="1">
        <v>45028.747916667002</v>
      </c>
      <c r="C440" t="s">
        <v>386</v>
      </c>
    </row>
    <row r="441" spans="1:3" x14ac:dyDescent="0.25">
      <c r="A441" s="1">
        <v>45027.868750000001</v>
      </c>
      <c r="B441" s="1">
        <v>45028.747916667002</v>
      </c>
      <c r="C441" t="s">
        <v>387</v>
      </c>
    </row>
    <row r="442" spans="1:3" x14ac:dyDescent="0.25">
      <c r="A442" s="1">
        <v>45028.777083333</v>
      </c>
      <c r="B442" s="1">
        <v>45028.75</v>
      </c>
      <c r="C442" t="s">
        <v>388</v>
      </c>
    </row>
    <row r="443" spans="1:3" x14ac:dyDescent="0.25">
      <c r="A443" s="1">
        <v>45029.818749999999</v>
      </c>
      <c r="B443" s="1">
        <v>45028.75</v>
      </c>
      <c r="C443" t="s">
        <v>389</v>
      </c>
    </row>
    <row r="444" spans="1:3" x14ac:dyDescent="0.25">
      <c r="A444" s="1">
        <v>45029.737500000003</v>
      </c>
      <c r="B444" s="1">
        <v>45028.762499999997</v>
      </c>
      <c r="C444" t="s">
        <v>390</v>
      </c>
    </row>
    <row r="445" spans="1:3" x14ac:dyDescent="0.25">
      <c r="A445" s="1">
        <v>45029.777083333</v>
      </c>
      <c r="B445" s="1">
        <v>45028.762499999997</v>
      </c>
      <c r="C445" t="s">
        <v>391</v>
      </c>
    </row>
    <row r="446" spans="1:3" x14ac:dyDescent="0.25">
      <c r="A446" s="1">
        <v>45027.787499999999</v>
      </c>
      <c r="B446" s="1">
        <v>45028.762499999997</v>
      </c>
      <c r="C446" t="s">
        <v>392</v>
      </c>
    </row>
    <row r="447" spans="1:3" x14ac:dyDescent="0.25">
      <c r="A447" s="1">
        <v>45028.85</v>
      </c>
      <c r="B447" s="1">
        <v>45028.766666666997</v>
      </c>
      <c r="C447" t="s">
        <v>393</v>
      </c>
    </row>
    <row r="448" spans="1:3" x14ac:dyDescent="0.25">
      <c r="A448" s="1">
        <v>45029.71875</v>
      </c>
      <c r="B448" s="1">
        <v>45028.766666666997</v>
      </c>
      <c r="C448" t="s">
        <v>96</v>
      </c>
    </row>
    <row r="449" spans="1:3" x14ac:dyDescent="0.25">
      <c r="A449" s="1">
        <v>45027.78125</v>
      </c>
      <c r="B449" s="1">
        <v>45028.766666666997</v>
      </c>
      <c r="C449" t="s">
        <v>394</v>
      </c>
    </row>
    <row r="450" spans="1:3" x14ac:dyDescent="0.25">
      <c r="A450" s="1">
        <v>45028.71875</v>
      </c>
      <c r="B450" s="1">
        <v>45028.768750000003</v>
      </c>
      <c r="C450" t="s">
        <v>395</v>
      </c>
    </row>
    <row r="451" spans="1:3" x14ac:dyDescent="0.25">
      <c r="A451" s="1">
        <v>45027.9</v>
      </c>
      <c r="B451" s="1">
        <v>45028.768750000003</v>
      </c>
      <c r="C451" t="s">
        <v>396</v>
      </c>
    </row>
    <row r="452" spans="1:3" x14ac:dyDescent="0.25">
      <c r="A452" s="1">
        <v>45027.816666667</v>
      </c>
      <c r="B452" s="1">
        <v>45028.770833333001</v>
      </c>
      <c r="C452" t="s">
        <v>397</v>
      </c>
    </row>
    <row r="453" spans="1:3" x14ac:dyDescent="0.25">
      <c r="A453" s="1">
        <v>45027.729166666999</v>
      </c>
      <c r="B453" s="1">
        <v>45028.770833333001</v>
      </c>
      <c r="C453" t="s">
        <v>398</v>
      </c>
    </row>
    <row r="454" spans="1:3" x14ac:dyDescent="0.25">
      <c r="A454" s="1">
        <v>45028.712500000001</v>
      </c>
      <c r="B454" s="1">
        <v>45028.770833333001</v>
      </c>
      <c r="C454" t="s">
        <v>399</v>
      </c>
    </row>
    <row r="455" spans="1:3" x14ac:dyDescent="0.25">
      <c r="A455" s="1">
        <v>45027.827083333003</v>
      </c>
      <c r="B455" s="1">
        <v>45028.777083333</v>
      </c>
      <c r="C455" t="s">
        <v>400</v>
      </c>
    </row>
    <row r="456" spans="1:3" x14ac:dyDescent="0.25">
      <c r="A456" s="1">
        <v>45028.854166666999</v>
      </c>
      <c r="B456" s="1">
        <v>45028.777083333</v>
      </c>
      <c r="C456" t="s">
        <v>401</v>
      </c>
    </row>
    <row r="457" spans="1:3" x14ac:dyDescent="0.25">
      <c r="A457" s="1">
        <v>45027.737500000003</v>
      </c>
      <c r="B457" s="1">
        <v>45028.777083333</v>
      </c>
      <c r="C457" t="s">
        <v>402</v>
      </c>
    </row>
    <row r="458" spans="1:3" x14ac:dyDescent="0.25">
      <c r="A458" s="1">
        <v>45028.731249999997</v>
      </c>
      <c r="B458" s="1">
        <v>45028.777083333</v>
      </c>
      <c r="C458" t="s">
        <v>403</v>
      </c>
    </row>
    <row r="459" spans="1:3" x14ac:dyDescent="0.25">
      <c r="A459" s="1">
        <v>45027.764583333003</v>
      </c>
      <c r="B459" s="1">
        <v>45028.787499999999</v>
      </c>
      <c r="C459" t="s">
        <v>404</v>
      </c>
    </row>
    <row r="460" spans="1:3" x14ac:dyDescent="0.25">
      <c r="A460" s="1">
        <v>45028.845833332998</v>
      </c>
      <c r="B460" s="1">
        <v>45028.787499999999</v>
      </c>
      <c r="C460" t="s">
        <v>405</v>
      </c>
    </row>
    <row r="461" spans="1:3" x14ac:dyDescent="0.25">
      <c r="A461" s="1">
        <v>45029.810416667002</v>
      </c>
      <c r="B461" s="1">
        <v>45028.795833333003</v>
      </c>
      <c r="C461" t="s">
        <v>406</v>
      </c>
    </row>
    <row r="462" spans="1:3" x14ac:dyDescent="0.25">
      <c r="A462" s="1">
        <v>45027.845833332998</v>
      </c>
      <c r="B462" s="1">
        <v>45028.795833333003</v>
      </c>
      <c r="C462" t="s">
        <v>407</v>
      </c>
    </row>
    <row r="463" spans="1:3" x14ac:dyDescent="0.25">
      <c r="A463" s="1">
        <v>45029.716666667002</v>
      </c>
      <c r="B463" s="1">
        <v>45028.795833333003</v>
      </c>
      <c r="C463" t="s">
        <v>408</v>
      </c>
    </row>
    <row r="464" spans="1:3" x14ac:dyDescent="0.25">
      <c r="A464" s="1">
        <v>45027.802083333001</v>
      </c>
      <c r="B464" s="1">
        <v>45028.795833333003</v>
      </c>
      <c r="C464" t="s">
        <v>409</v>
      </c>
    </row>
    <row r="465" spans="1:3" x14ac:dyDescent="0.25">
      <c r="A465" s="1">
        <v>45029.847916667</v>
      </c>
      <c r="B465" s="1">
        <v>45028.797916666997</v>
      </c>
      <c r="C465" t="s">
        <v>351</v>
      </c>
    </row>
    <row r="466" spans="1:3" x14ac:dyDescent="0.25">
      <c r="A466" s="1">
        <v>45029.85</v>
      </c>
      <c r="B466" s="1">
        <v>45028.797916666997</v>
      </c>
      <c r="C466" t="s">
        <v>410</v>
      </c>
    </row>
    <row r="467" spans="1:3" x14ac:dyDescent="0.25">
      <c r="A467" s="1">
        <v>45027.760416666999</v>
      </c>
      <c r="B467" s="1">
        <v>45028.814583332998</v>
      </c>
      <c r="C467" t="s">
        <v>411</v>
      </c>
    </row>
    <row r="468" spans="1:3" x14ac:dyDescent="0.25">
      <c r="A468" s="1">
        <v>45027.847916667</v>
      </c>
      <c r="B468" s="1">
        <v>45028.814583332998</v>
      </c>
      <c r="C468" t="s">
        <v>412</v>
      </c>
    </row>
    <row r="469" spans="1:3" x14ac:dyDescent="0.25">
      <c r="A469" s="1">
        <v>45028.829166666997</v>
      </c>
      <c r="B469" s="1">
        <v>45028.831250000003</v>
      </c>
      <c r="C469" t="s">
        <v>413</v>
      </c>
    </row>
    <row r="470" spans="1:3" x14ac:dyDescent="0.25">
      <c r="A470" s="1">
        <v>45029.814583332998</v>
      </c>
      <c r="B470" s="1">
        <v>45028.831250000003</v>
      </c>
      <c r="C470" t="s">
        <v>414</v>
      </c>
    </row>
    <row r="471" spans="1:3" x14ac:dyDescent="0.25">
      <c r="A471" s="1">
        <v>45027.827083333003</v>
      </c>
      <c r="B471" s="1">
        <v>45028.833333333001</v>
      </c>
      <c r="C471" t="s">
        <v>415</v>
      </c>
    </row>
    <row r="472" spans="1:3" x14ac:dyDescent="0.25">
      <c r="A472" s="1">
        <v>45028.708333333001</v>
      </c>
      <c r="B472" s="1">
        <v>45028.833333333001</v>
      </c>
      <c r="C472" t="s">
        <v>416</v>
      </c>
    </row>
    <row r="473" spans="1:3" x14ac:dyDescent="0.25">
      <c r="A473" s="1">
        <v>45028.827083333003</v>
      </c>
      <c r="B473" s="1">
        <v>45028.833333333001</v>
      </c>
      <c r="C473" t="s">
        <v>417</v>
      </c>
    </row>
    <row r="474" spans="1:3" x14ac:dyDescent="0.25">
      <c r="A474" s="1">
        <v>45028.824999999997</v>
      </c>
      <c r="B474" s="1">
        <v>45028.837500000001</v>
      </c>
      <c r="C474" t="s">
        <v>418</v>
      </c>
    </row>
    <row r="475" spans="1:3" x14ac:dyDescent="0.25">
      <c r="A475" s="1">
        <v>45027.777083333</v>
      </c>
      <c r="B475" s="1">
        <v>45028.837500000001</v>
      </c>
      <c r="C475" t="s">
        <v>419</v>
      </c>
    </row>
    <row r="476" spans="1:3" x14ac:dyDescent="0.25">
      <c r="A476" s="1">
        <v>45027.739583333001</v>
      </c>
      <c r="B476" s="1">
        <v>45028.85</v>
      </c>
      <c r="C476" t="s">
        <v>420</v>
      </c>
    </row>
    <row r="477" spans="1:3" x14ac:dyDescent="0.25">
      <c r="A477" s="1">
        <v>45027.791666666999</v>
      </c>
      <c r="B477" s="1">
        <v>45028.85</v>
      </c>
      <c r="C477" t="s">
        <v>421</v>
      </c>
    </row>
    <row r="478" spans="1:3" x14ac:dyDescent="0.25">
      <c r="A478" s="1">
        <v>45027.84375</v>
      </c>
      <c r="B478" s="1">
        <v>45028.852083332997</v>
      </c>
      <c r="C478" t="s">
        <v>422</v>
      </c>
    </row>
    <row r="479" spans="1:3" x14ac:dyDescent="0.25">
      <c r="A479" s="1">
        <v>45028.739583333001</v>
      </c>
      <c r="B479" s="1">
        <v>45028.852083332997</v>
      </c>
      <c r="C479" t="s">
        <v>423</v>
      </c>
    </row>
    <row r="480" spans="1:3" x14ac:dyDescent="0.25">
      <c r="A480" s="1">
        <v>45029.735416666997</v>
      </c>
      <c r="B480" s="1">
        <v>45028.852083332997</v>
      </c>
      <c r="C480" t="s">
        <v>424</v>
      </c>
    </row>
    <row r="481" spans="1:3" x14ac:dyDescent="0.25">
      <c r="A481" s="1">
        <v>45028.733333333003</v>
      </c>
      <c r="B481" s="1">
        <v>45028.852083332997</v>
      </c>
      <c r="C481" t="s">
        <v>425</v>
      </c>
    </row>
    <row r="482" spans="1:3" x14ac:dyDescent="0.25">
      <c r="A482" s="1">
        <v>45028.858333333003</v>
      </c>
      <c r="B482" s="1">
        <v>45028.862500000003</v>
      </c>
      <c r="C482" t="s">
        <v>426</v>
      </c>
    </row>
    <row r="483" spans="1:3" x14ac:dyDescent="0.25">
      <c r="A483" s="1">
        <v>45027.889583333003</v>
      </c>
      <c r="B483" s="1">
        <v>45028.862500000003</v>
      </c>
      <c r="C483" t="s">
        <v>427</v>
      </c>
    </row>
    <row r="484" spans="1:3" x14ac:dyDescent="0.25">
      <c r="A484" s="1">
        <v>45027.733333333003</v>
      </c>
      <c r="B484" s="1">
        <v>45029.708333333001</v>
      </c>
      <c r="C484" t="s">
        <v>428</v>
      </c>
    </row>
    <row r="485" spans="1:3" x14ac:dyDescent="0.25">
      <c r="A485" s="1">
        <v>45027.845833332998</v>
      </c>
      <c r="B485" s="1">
        <v>45029.708333333001</v>
      </c>
      <c r="C485" t="s">
        <v>429</v>
      </c>
    </row>
    <row r="486" spans="1:3" x14ac:dyDescent="0.25">
      <c r="A486" s="1">
        <v>45027.875</v>
      </c>
      <c r="B486" s="1">
        <v>45029.708333333001</v>
      </c>
      <c r="C486" t="s">
        <v>430</v>
      </c>
    </row>
    <row r="487" spans="1:3" x14ac:dyDescent="0.25">
      <c r="A487" s="1">
        <v>45027.768750000003</v>
      </c>
      <c r="B487" s="1">
        <v>45029.708333333001</v>
      </c>
      <c r="C487" t="s">
        <v>431</v>
      </c>
    </row>
    <row r="488" spans="1:3" x14ac:dyDescent="0.25">
      <c r="A488" s="1">
        <v>45027.731249999997</v>
      </c>
      <c r="B488" s="1">
        <v>45029.708333333001</v>
      </c>
      <c r="C488" t="s">
        <v>432</v>
      </c>
    </row>
    <row r="489" spans="1:3" x14ac:dyDescent="0.25">
      <c r="A489" s="1">
        <v>45028.829166666997</v>
      </c>
      <c r="B489" s="1">
        <v>45029.708333333001</v>
      </c>
      <c r="C489" t="s">
        <v>433</v>
      </c>
    </row>
    <row r="490" spans="1:3" x14ac:dyDescent="0.25">
      <c r="A490" s="1">
        <v>45027.766666666997</v>
      </c>
      <c r="B490" s="1">
        <v>45029.708333333001</v>
      </c>
      <c r="C490" t="s">
        <v>434</v>
      </c>
    </row>
    <row r="491" spans="1:3" x14ac:dyDescent="0.25">
      <c r="A491" s="1">
        <v>45029.84375</v>
      </c>
      <c r="B491" s="1">
        <v>45029.708333333001</v>
      </c>
      <c r="C491" t="s">
        <v>435</v>
      </c>
    </row>
    <row r="492" spans="1:3" x14ac:dyDescent="0.25">
      <c r="A492" s="1">
        <v>45027.877083332998</v>
      </c>
      <c r="B492" s="1">
        <v>45029.708333333001</v>
      </c>
      <c r="C492" t="s">
        <v>436</v>
      </c>
    </row>
    <row r="493" spans="1:3" x14ac:dyDescent="0.25">
      <c r="A493" s="1">
        <v>45029.754166667</v>
      </c>
      <c r="B493" s="1">
        <v>45029.708333333001</v>
      </c>
      <c r="C493" t="s">
        <v>437</v>
      </c>
    </row>
    <row r="494" spans="1:3" x14ac:dyDescent="0.25">
      <c r="A494" s="1">
        <v>45027.897916667003</v>
      </c>
      <c r="B494" s="1">
        <v>45029.708333333001</v>
      </c>
      <c r="C494" t="s">
        <v>438</v>
      </c>
    </row>
    <row r="495" spans="1:3" x14ac:dyDescent="0.25">
      <c r="A495" s="1">
        <v>45029.820833332997</v>
      </c>
      <c r="B495" s="1">
        <v>45029.708333333001</v>
      </c>
      <c r="C495" t="s">
        <v>439</v>
      </c>
    </row>
    <row r="496" spans="1:3" x14ac:dyDescent="0.25">
      <c r="A496" s="1">
        <v>45028.710416667003</v>
      </c>
      <c r="B496" s="1">
        <v>45029.708333333001</v>
      </c>
      <c r="C496" t="s">
        <v>440</v>
      </c>
    </row>
    <row r="497" spans="1:3" x14ac:dyDescent="0.25">
      <c r="A497" s="1">
        <v>45027.835416667003</v>
      </c>
      <c r="B497" s="1">
        <v>45029.708333333001</v>
      </c>
      <c r="C497" t="s">
        <v>441</v>
      </c>
    </row>
    <row r="498" spans="1:3" x14ac:dyDescent="0.25">
      <c r="A498" s="1">
        <v>45028.816666667</v>
      </c>
      <c r="B498" s="1">
        <v>45029.708333333001</v>
      </c>
      <c r="C498" t="s">
        <v>442</v>
      </c>
    </row>
    <row r="499" spans="1:3" x14ac:dyDescent="0.25">
      <c r="A499" s="1">
        <v>45027.731249999997</v>
      </c>
      <c r="B499" s="1">
        <v>45029.710416667003</v>
      </c>
      <c r="C499" t="s">
        <v>443</v>
      </c>
    </row>
    <row r="500" spans="1:3" x14ac:dyDescent="0.25">
      <c r="A500" s="1">
        <v>45030.372916667002</v>
      </c>
      <c r="B500" s="1">
        <v>45029.710416667003</v>
      </c>
    </row>
    <row r="501" spans="1:3" x14ac:dyDescent="0.25">
      <c r="A501" s="1">
        <v>45027.883333332997</v>
      </c>
      <c r="B501" s="1">
        <v>45029.710416667003</v>
      </c>
      <c r="C501" t="s">
        <v>444</v>
      </c>
    </row>
    <row r="502" spans="1:3" x14ac:dyDescent="0.25">
      <c r="A502" s="1">
        <v>45028.78125</v>
      </c>
      <c r="B502" s="1">
        <v>45029.710416667003</v>
      </c>
      <c r="C502" t="s">
        <v>445</v>
      </c>
    </row>
    <row r="503" spans="1:3" x14ac:dyDescent="0.25">
      <c r="A503" s="1">
        <v>45027.833333333001</v>
      </c>
      <c r="B503" s="1">
        <v>45029.710416667003</v>
      </c>
      <c r="C503" t="s">
        <v>446</v>
      </c>
    </row>
    <row r="504" spans="1:3" x14ac:dyDescent="0.25">
      <c r="A504" s="1">
        <v>45027.764583333003</v>
      </c>
      <c r="B504" s="1">
        <v>45029.710416667003</v>
      </c>
      <c r="C504" t="s">
        <v>447</v>
      </c>
    </row>
    <row r="505" spans="1:3" x14ac:dyDescent="0.25">
      <c r="A505" s="1">
        <v>45028.841666667002</v>
      </c>
      <c r="B505" s="1">
        <v>45029.710416667003</v>
      </c>
      <c r="C505" t="s">
        <v>448</v>
      </c>
    </row>
    <row r="506" spans="1:3" x14ac:dyDescent="0.25">
      <c r="A506" s="1">
        <v>45029.783333332998</v>
      </c>
      <c r="B506" s="1">
        <v>45029.710416667003</v>
      </c>
      <c r="C506" t="s">
        <v>449</v>
      </c>
    </row>
    <row r="507" spans="1:3" x14ac:dyDescent="0.25">
      <c r="A507" s="1">
        <v>45027.708333333001</v>
      </c>
      <c r="B507" s="1">
        <v>45029.710416667003</v>
      </c>
      <c r="C507" t="s">
        <v>450</v>
      </c>
    </row>
    <row r="508" spans="1:3" x14ac:dyDescent="0.25">
      <c r="A508" s="1">
        <v>45029.814583332998</v>
      </c>
      <c r="B508" s="1">
        <v>45029.710416667003</v>
      </c>
      <c r="C508" t="s">
        <v>451</v>
      </c>
    </row>
    <row r="509" spans="1:3" x14ac:dyDescent="0.25">
      <c r="A509" s="1">
        <v>45029.841666667002</v>
      </c>
      <c r="B509" s="1">
        <v>45029.710416667003</v>
      </c>
      <c r="C509" t="s">
        <v>358</v>
      </c>
    </row>
    <row r="510" spans="1:3" x14ac:dyDescent="0.25">
      <c r="A510" s="1">
        <v>45029.845833332998</v>
      </c>
      <c r="B510" s="1">
        <v>45029.712500000001</v>
      </c>
    </row>
    <row r="511" spans="1:3" x14ac:dyDescent="0.25">
      <c r="A511" s="1">
        <v>45029.841666667002</v>
      </c>
      <c r="B511" s="1">
        <v>45029.712500000001</v>
      </c>
    </row>
    <row r="512" spans="1:3" x14ac:dyDescent="0.25">
      <c r="A512" s="1">
        <v>45028.762499999997</v>
      </c>
      <c r="B512" s="1">
        <v>45029.712500000001</v>
      </c>
      <c r="C512" t="s">
        <v>452</v>
      </c>
    </row>
    <row r="513" spans="1:3" x14ac:dyDescent="0.25">
      <c r="A513" s="1">
        <v>45027.831250000003</v>
      </c>
      <c r="B513" s="1">
        <v>45029.712500000001</v>
      </c>
      <c r="C513" t="s">
        <v>453</v>
      </c>
    </row>
    <row r="514" spans="1:3" x14ac:dyDescent="0.25">
      <c r="A514" s="1">
        <v>45028.724999999999</v>
      </c>
      <c r="B514" s="1">
        <v>45029.712500000001</v>
      </c>
      <c r="C514" t="s">
        <v>454</v>
      </c>
    </row>
    <row r="515" spans="1:3" x14ac:dyDescent="0.25">
      <c r="A515" s="1">
        <v>45027.791666666999</v>
      </c>
      <c r="B515" s="1">
        <v>45029.712500000001</v>
      </c>
      <c r="C515" t="s">
        <v>455</v>
      </c>
    </row>
    <row r="516" spans="1:3" x14ac:dyDescent="0.25">
      <c r="A516" s="1">
        <v>45027.741666667003</v>
      </c>
      <c r="B516" s="1">
        <v>45029.712500000001</v>
      </c>
      <c r="C516" t="s">
        <v>456</v>
      </c>
    </row>
    <row r="517" spans="1:3" x14ac:dyDescent="0.25">
      <c r="A517" s="1">
        <v>45029.84375</v>
      </c>
      <c r="B517" s="1">
        <v>45029.712500000001</v>
      </c>
      <c r="C517" t="s">
        <v>249</v>
      </c>
    </row>
    <row r="518" spans="1:3" x14ac:dyDescent="0.25">
      <c r="A518" s="1">
        <v>45029.808333333</v>
      </c>
      <c r="B518" s="1">
        <v>45029.712500000001</v>
      </c>
      <c r="C518" t="s">
        <v>406</v>
      </c>
    </row>
    <row r="519" spans="1:3" x14ac:dyDescent="0.25">
      <c r="A519" s="1">
        <v>45029.78125</v>
      </c>
      <c r="B519" s="1">
        <v>45029.712500000001</v>
      </c>
      <c r="C519" t="s">
        <v>457</v>
      </c>
    </row>
    <row r="520" spans="1:3" x14ac:dyDescent="0.25">
      <c r="A520" s="1">
        <v>45027.791666666999</v>
      </c>
      <c r="B520" s="1">
        <v>45029.716666667002</v>
      </c>
      <c r="C520" t="s">
        <v>458</v>
      </c>
    </row>
    <row r="521" spans="1:3" x14ac:dyDescent="0.25">
      <c r="A521" s="1">
        <v>45028.766666666997</v>
      </c>
      <c r="B521" s="1">
        <v>45029.716666667002</v>
      </c>
      <c r="C521" t="s">
        <v>459</v>
      </c>
    </row>
    <row r="522" spans="1:3" x14ac:dyDescent="0.25">
      <c r="A522" s="1">
        <v>45028.833333333001</v>
      </c>
      <c r="B522" s="1">
        <v>45029.71875</v>
      </c>
      <c r="C522" t="s">
        <v>460</v>
      </c>
    </row>
    <row r="523" spans="1:3" x14ac:dyDescent="0.25">
      <c r="A523" s="1">
        <v>45028.814583332998</v>
      </c>
      <c r="B523" s="1">
        <v>45029.71875</v>
      </c>
      <c r="C523" t="s">
        <v>65</v>
      </c>
    </row>
    <row r="524" spans="1:3" x14ac:dyDescent="0.25">
      <c r="A524" s="1">
        <v>45029.839583333</v>
      </c>
      <c r="B524" s="1">
        <v>45029.71875</v>
      </c>
    </row>
    <row r="525" spans="1:3" x14ac:dyDescent="0.25">
      <c r="A525" s="1">
        <v>45027.870833333</v>
      </c>
      <c r="B525" s="1">
        <v>45029.71875</v>
      </c>
      <c r="C525" t="s">
        <v>461</v>
      </c>
    </row>
    <row r="526" spans="1:3" x14ac:dyDescent="0.25">
      <c r="A526" s="1">
        <v>45027.785416667</v>
      </c>
      <c r="B526" s="1">
        <v>45029.720833332998</v>
      </c>
      <c r="C526" t="s">
        <v>462</v>
      </c>
    </row>
    <row r="527" spans="1:3" x14ac:dyDescent="0.25">
      <c r="A527" s="1">
        <v>45029.775000000001</v>
      </c>
      <c r="B527" s="1">
        <v>45029.720833332998</v>
      </c>
      <c r="C527" t="s">
        <v>463</v>
      </c>
    </row>
    <row r="528" spans="1:3" x14ac:dyDescent="0.25">
      <c r="A528" s="1">
        <v>45028.84375</v>
      </c>
      <c r="B528" s="1">
        <v>45029.722916667</v>
      </c>
      <c r="C528" t="s">
        <v>464</v>
      </c>
    </row>
    <row r="529" spans="1:3" x14ac:dyDescent="0.25">
      <c r="A529" s="1">
        <v>45028.724999999999</v>
      </c>
      <c r="B529" s="1">
        <v>45029.722916667</v>
      </c>
      <c r="C529" t="s">
        <v>465</v>
      </c>
    </row>
    <row r="530" spans="1:3" x14ac:dyDescent="0.25">
      <c r="A530" s="1">
        <v>45028.762499999997</v>
      </c>
      <c r="B530" s="1">
        <v>45029.724999999999</v>
      </c>
      <c r="C530" t="s">
        <v>466</v>
      </c>
    </row>
    <row r="531" spans="1:3" x14ac:dyDescent="0.25">
      <c r="A531" s="1">
        <v>45030.373611110997</v>
      </c>
      <c r="B531" s="1">
        <v>45029.724999999999</v>
      </c>
    </row>
    <row r="532" spans="1:3" x14ac:dyDescent="0.25">
      <c r="A532" s="1">
        <v>45028.764583333003</v>
      </c>
      <c r="B532" s="1">
        <v>45029.724999999999</v>
      </c>
      <c r="C532" t="s">
        <v>467</v>
      </c>
    </row>
    <row r="533" spans="1:3" x14ac:dyDescent="0.25">
      <c r="A533" s="1">
        <v>45028.787499999999</v>
      </c>
      <c r="B533" s="1">
        <v>45029.724999999999</v>
      </c>
      <c r="C533" t="s">
        <v>468</v>
      </c>
    </row>
    <row r="534" spans="1:3" x14ac:dyDescent="0.25">
      <c r="A534" s="1">
        <v>45028.824999999997</v>
      </c>
      <c r="B534" s="1">
        <v>45029.724999999999</v>
      </c>
      <c r="C534" t="s">
        <v>469</v>
      </c>
    </row>
    <row r="535" spans="1:3" x14ac:dyDescent="0.25">
      <c r="A535" s="1">
        <v>45028.729166666999</v>
      </c>
      <c r="B535" s="1">
        <v>45029.724999999999</v>
      </c>
      <c r="C535" t="s">
        <v>470</v>
      </c>
    </row>
    <row r="536" spans="1:3" x14ac:dyDescent="0.25">
      <c r="A536" s="1">
        <v>45028.829166666997</v>
      </c>
      <c r="B536" s="1">
        <v>45029.727083332997</v>
      </c>
      <c r="C536" t="s">
        <v>471</v>
      </c>
    </row>
    <row r="537" spans="1:3" x14ac:dyDescent="0.25">
      <c r="A537" s="1">
        <v>45027.785416667</v>
      </c>
      <c r="B537" s="1">
        <v>45029.727083332997</v>
      </c>
      <c r="C537" t="s">
        <v>472</v>
      </c>
    </row>
    <row r="538" spans="1:3" x14ac:dyDescent="0.25">
      <c r="A538" s="1">
        <v>45029.835416667003</v>
      </c>
      <c r="B538" s="1">
        <v>45029.727083332997</v>
      </c>
      <c r="C538" t="s">
        <v>335</v>
      </c>
    </row>
    <row r="539" spans="1:3" x14ac:dyDescent="0.25">
      <c r="A539" s="1">
        <v>45028.724999999999</v>
      </c>
      <c r="B539" s="1">
        <v>45029.727083332997</v>
      </c>
      <c r="C539" t="s">
        <v>473</v>
      </c>
    </row>
    <row r="540" spans="1:3" x14ac:dyDescent="0.25">
      <c r="A540" s="1">
        <v>45028.820833332997</v>
      </c>
      <c r="B540" s="1">
        <v>45029.727083332997</v>
      </c>
      <c r="C540" t="s">
        <v>474</v>
      </c>
    </row>
    <row r="541" spans="1:3" x14ac:dyDescent="0.25">
      <c r="A541" s="1">
        <v>45029.729166666999</v>
      </c>
      <c r="B541" s="1">
        <v>45029.727083332997</v>
      </c>
      <c r="C541" t="s">
        <v>475</v>
      </c>
    </row>
    <row r="542" spans="1:3" x14ac:dyDescent="0.25">
      <c r="A542" s="1">
        <v>45028.760416666999</v>
      </c>
      <c r="B542" s="1">
        <v>45029.729166666999</v>
      </c>
      <c r="C542" t="s">
        <v>476</v>
      </c>
    </row>
    <row r="543" spans="1:3" x14ac:dyDescent="0.25">
      <c r="A543" s="1">
        <v>45027.822916666999</v>
      </c>
      <c r="B543" s="1">
        <v>45029.729166666999</v>
      </c>
      <c r="C543" t="s">
        <v>477</v>
      </c>
    </row>
    <row r="544" spans="1:3" x14ac:dyDescent="0.25">
      <c r="A544" s="1">
        <v>45030.373611110997</v>
      </c>
      <c r="B544" s="1">
        <v>45029.729166666999</v>
      </c>
    </row>
    <row r="545" spans="1:3" x14ac:dyDescent="0.25">
      <c r="A545" s="1">
        <v>45028.856249999997</v>
      </c>
      <c r="B545" s="1">
        <v>45029.729166666999</v>
      </c>
      <c r="C545" t="s">
        <v>478</v>
      </c>
    </row>
    <row r="546" spans="1:3" x14ac:dyDescent="0.25">
      <c r="A546" s="1">
        <v>45027.727083332997</v>
      </c>
      <c r="B546" s="1">
        <v>45029.731249999997</v>
      </c>
      <c r="C546" t="s">
        <v>479</v>
      </c>
    </row>
    <row r="547" spans="1:3" x14ac:dyDescent="0.25">
      <c r="A547" s="1">
        <v>45029.806250000001</v>
      </c>
      <c r="B547" s="1">
        <v>45029.731249999997</v>
      </c>
      <c r="C547" t="s">
        <v>480</v>
      </c>
    </row>
    <row r="548" spans="1:3" x14ac:dyDescent="0.25">
      <c r="A548" s="1">
        <v>45028.852083332997</v>
      </c>
      <c r="B548" s="1">
        <v>45029.731249999997</v>
      </c>
      <c r="C548" t="s">
        <v>4</v>
      </c>
    </row>
    <row r="549" spans="1:3" x14ac:dyDescent="0.25">
      <c r="A549" s="1">
        <v>45028.71875</v>
      </c>
      <c r="B549" s="1">
        <v>45029.731249999997</v>
      </c>
      <c r="C549" t="s">
        <v>481</v>
      </c>
    </row>
    <row r="550" spans="1:3" x14ac:dyDescent="0.25">
      <c r="A550" s="1">
        <v>45027.714583333</v>
      </c>
      <c r="B550" s="1">
        <v>45029.731249999997</v>
      </c>
      <c r="C550" t="s">
        <v>482</v>
      </c>
    </row>
    <row r="551" spans="1:3" x14ac:dyDescent="0.25">
      <c r="A551" s="1">
        <v>45027.891666666997</v>
      </c>
      <c r="B551" s="1">
        <v>45029.731249999997</v>
      </c>
      <c r="C551" t="s">
        <v>483</v>
      </c>
    </row>
    <row r="552" spans="1:3" x14ac:dyDescent="0.25">
      <c r="A552" s="1">
        <v>45029.739583333001</v>
      </c>
      <c r="B552" s="1">
        <v>45029.735416666997</v>
      </c>
      <c r="C552" t="s">
        <v>484</v>
      </c>
    </row>
    <row r="553" spans="1:3" x14ac:dyDescent="0.25">
      <c r="A553" s="1">
        <v>45030.373611110997</v>
      </c>
      <c r="B553" s="1">
        <v>45029.735416666997</v>
      </c>
    </row>
    <row r="554" spans="1:3" x14ac:dyDescent="0.25">
      <c r="A554" s="1">
        <v>45029.729166666999</v>
      </c>
      <c r="B554" s="1">
        <v>45029.737500000003</v>
      </c>
      <c r="C554" t="s">
        <v>177</v>
      </c>
    </row>
    <row r="555" spans="1:3" x14ac:dyDescent="0.25">
      <c r="A555" s="1">
        <v>45027.720833332998</v>
      </c>
      <c r="B555" s="1">
        <v>45029.737500000003</v>
      </c>
      <c r="C555" t="s">
        <v>485</v>
      </c>
    </row>
    <row r="556" spans="1:3" x14ac:dyDescent="0.25">
      <c r="A556" s="1">
        <v>45029.814583332998</v>
      </c>
      <c r="B556" s="1">
        <v>45029.737500000003</v>
      </c>
      <c r="C556" t="s">
        <v>486</v>
      </c>
    </row>
    <row r="557" spans="1:3" x14ac:dyDescent="0.25">
      <c r="A557" s="1">
        <v>45029.737500000003</v>
      </c>
      <c r="B557" s="1">
        <v>45029.737500000003</v>
      </c>
      <c r="C557" t="s">
        <v>197</v>
      </c>
    </row>
    <row r="558" spans="1:3" x14ac:dyDescent="0.25">
      <c r="A558" s="1">
        <v>45028.795833333003</v>
      </c>
      <c r="B558" s="1">
        <v>45029.737500000003</v>
      </c>
      <c r="C558" t="s">
        <v>487</v>
      </c>
    </row>
    <row r="559" spans="1:3" x14ac:dyDescent="0.25">
      <c r="A559" s="1">
        <v>45029.806250000001</v>
      </c>
      <c r="B559" s="1">
        <v>45029.737500000003</v>
      </c>
      <c r="C559" t="s">
        <v>488</v>
      </c>
    </row>
    <row r="560" spans="1:3" x14ac:dyDescent="0.25">
      <c r="A560" s="1">
        <v>45028.8125</v>
      </c>
      <c r="B560" s="1">
        <v>45029.737500000003</v>
      </c>
      <c r="C560" t="s">
        <v>489</v>
      </c>
    </row>
    <row r="561" spans="1:3" x14ac:dyDescent="0.25">
      <c r="A561" s="1">
        <v>45029.747916667002</v>
      </c>
      <c r="B561" s="1">
        <v>45029.737500000003</v>
      </c>
      <c r="C561" t="s">
        <v>490</v>
      </c>
    </row>
    <row r="562" spans="1:3" x14ac:dyDescent="0.25">
      <c r="A562" s="1">
        <v>45028.84375</v>
      </c>
      <c r="B562" s="1">
        <v>45029.741666667003</v>
      </c>
      <c r="C562" t="s">
        <v>491</v>
      </c>
    </row>
    <row r="563" spans="1:3" x14ac:dyDescent="0.25">
      <c r="A563" s="1">
        <v>45028.741666667003</v>
      </c>
      <c r="B563" s="1">
        <v>45029.741666667003</v>
      </c>
      <c r="C563" t="s">
        <v>492</v>
      </c>
    </row>
    <row r="564" spans="1:3" x14ac:dyDescent="0.25">
      <c r="A564" s="1">
        <v>45027.727083332997</v>
      </c>
      <c r="B564" s="1">
        <v>45029.743750000001</v>
      </c>
      <c r="C564" t="s">
        <v>493</v>
      </c>
    </row>
    <row r="565" spans="1:3" x14ac:dyDescent="0.25">
      <c r="A565" s="1">
        <v>45027.710416667003</v>
      </c>
      <c r="B565" s="1">
        <v>45029.743750000001</v>
      </c>
      <c r="C565" t="s">
        <v>494</v>
      </c>
    </row>
    <row r="566" spans="1:3" x14ac:dyDescent="0.25">
      <c r="A566" s="1">
        <v>45027.814583332998</v>
      </c>
      <c r="B566" s="1">
        <v>45029.745833333</v>
      </c>
      <c r="C566" t="s">
        <v>495</v>
      </c>
    </row>
    <row r="567" spans="1:3" x14ac:dyDescent="0.25">
      <c r="A567" s="1">
        <v>45027.745833333</v>
      </c>
      <c r="B567" s="1">
        <v>45029.745833333</v>
      </c>
      <c r="C567" t="s">
        <v>496</v>
      </c>
    </row>
    <row r="568" spans="1:3" x14ac:dyDescent="0.25">
      <c r="A568" s="1">
        <v>45027.8125</v>
      </c>
      <c r="B568" s="1">
        <v>45029.747916667002</v>
      </c>
      <c r="C568" t="s">
        <v>497</v>
      </c>
    </row>
    <row r="569" spans="1:3" x14ac:dyDescent="0.25">
      <c r="A569" s="1">
        <v>45028.789583332997</v>
      </c>
      <c r="B569" s="1">
        <v>45029.747916667002</v>
      </c>
      <c r="C569" t="s">
        <v>498</v>
      </c>
    </row>
    <row r="570" spans="1:3" x14ac:dyDescent="0.25">
      <c r="A570" s="1">
        <v>45027.814583332998</v>
      </c>
      <c r="B570" s="1">
        <v>45029.747916667002</v>
      </c>
      <c r="C570" t="s">
        <v>499</v>
      </c>
    </row>
    <row r="571" spans="1:3" x14ac:dyDescent="0.25">
      <c r="A571" s="1">
        <v>45027.712500000001</v>
      </c>
      <c r="B571" s="1">
        <v>45029.747916667002</v>
      </c>
      <c r="C571" t="s">
        <v>500</v>
      </c>
    </row>
    <row r="572" spans="1:3" x14ac:dyDescent="0.25">
      <c r="A572" s="1">
        <v>45028.824999999997</v>
      </c>
      <c r="B572" s="1">
        <v>45029.75</v>
      </c>
      <c r="C572" t="s">
        <v>501</v>
      </c>
    </row>
    <row r="573" spans="1:3" x14ac:dyDescent="0.25">
      <c r="A573" s="1">
        <v>45027.772916667003</v>
      </c>
      <c r="B573" s="1">
        <v>45029.75</v>
      </c>
      <c r="C573" t="s">
        <v>502</v>
      </c>
    </row>
    <row r="574" spans="1:3" x14ac:dyDescent="0.25">
      <c r="A574" s="1">
        <v>45029.797916666997</v>
      </c>
      <c r="B574" s="1">
        <v>45029.75</v>
      </c>
      <c r="C574" t="s">
        <v>225</v>
      </c>
    </row>
    <row r="575" spans="1:3" x14ac:dyDescent="0.25">
      <c r="A575" s="1">
        <v>45027.775000000001</v>
      </c>
      <c r="B575" s="1">
        <v>45029.75</v>
      </c>
      <c r="C575" t="s">
        <v>503</v>
      </c>
    </row>
    <row r="576" spans="1:3" x14ac:dyDescent="0.25">
      <c r="A576" s="1">
        <v>45028.735416666997</v>
      </c>
      <c r="B576" s="1">
        <v>45029.75</v>
      </c>
      <c r="C576" t="s">
        <v>504</v>
      </c>
    </row>
    <row r="577" spans="1:3" x14ac:dyDescent="0.25">
      <c r="A577" s="1">
        <v>45029.712500000001</v>
      </c>
      <c r="B577" s="1">
        <v>45029.75</v>
      </c>
      <c r="C577" t="s">
        <v>505</v>
      </c>
    </row>
    <row r="578" spans="1:3" x14ac:dyDescent="0.25">
      <c r="A578" s="1">
        <v>45027.820833332997</v>
      </c>
      <c r="B578" s="1">
        <v>45029.754166667</v>
      </c>
      <c r="C578" t="s">
        <v>506</v>
      </c>
    </row>
    <row r="579" spans="1:3" x14ac:dyDescent="0.25">
      <c r="A579" s="1">
        <v>45027.795833333003</v>
      </c>
      <c r="B579" s="1">
        <v>45029.754166667</v>
      </c>
      <c r="C579" t="s">
        <v>507</v>
      </c>
    </row>
    <row r="580" spans="1:3" x14ac:dyDescent="0.25">
      <c r="A580" s="1">
        <v>45028.775000000001</v>
      </c>
      <c r="B580" s="1">
        <v>45029.772916667003</v>
      </c>
      <c r="C580" t="s">
        <v>508</v>
      </c>
    </row>
    <row r="581" spans="1:3" x14ac:dyDescent="0.25">
      <c r="A581" s="1">
        <v>45029.783333332998</v>
      </c>
      <c r="B581" s="1">
        <v>45029.772916667003</v>
      </c>
      <c r="C581" t="s">
        <v>210</v>
      </c>
    </row>
    <row r="582" spans="1:3" x14ac:dyDescent="0.25">
      <c r="A582" s="1">
        <v>45028.739583333001</v>
      </c>
      <c r="B582" s="1">
        <v>45029.775000000001</v>
      </c>
      <c r="C582" t="s">
        <v>509</v>
      </c>
    </row>
    <row r="583" spans="1:3" x14ac:dyDescent="0.25">
      <c r="A583" s="1">
        <v>45029.816666667</v>
      </c>
      <c r="B583" s="1">
        <v>45029.775000000001</v>
      </c>
    </row>
    <row r="584" spans="1:3" x14ac:dyDescent="0.25">
      <c r="A584" s="1">
        <v>45028.818749999999</v>
      </c>
      <c r="B584" s="1">
        <v>45029.779166667002</v>
      </c>
      <c r="C584" t="s">
        <v>510</v>
      </c>
    </row>
    <row r="585" spans="1:3" x14ac:dyDescent="0.25">
      <c r="A585" s="1">
        <v>45029.708333333001</v>
      </c>
      <c r="B585" s="1">
        <v>45029.779166667002</v>
      </c>
      <c r="C585" t="s">
        <v>511</v>
      </c>
    </row>
    <row r="586" spans="1:3" x14ac:dyDescent="0.25">
      <c r="A586" s="1">
        <v>45027.724999999999</v>
      </c>
      <c r="B586" s="1">
        <v>45029.78125</v>
      </c>
      <c r="C586" t="s">
        <v>512</v>
      </c>
    </row>
    <row r="587" spans="1:3" x14ac:dyDescent="0.25">
      <c r="A587" s="1">
        <v>45028.714583333</v>
      </c>
      <c r="B587" s="1">
        <v>45029.78125</v>
      </c>
      <c r="C587" t="s">
        <v>513</v>
      </c>
    </row>
    <row r="588" spans="1:3" x14ac:dyDescent="0.25">
      <c r="A588" s="1">
        <v>45028.772916667003</v>
      </c>
      <c r="B588" s="1">
        <v>45029.785416667</v>
      </c>
      <c r="C588" t="s">
        <v>514</v>
      </c>
    </row>
    <row r="589" spans="1:3" x14ac:dyDescent="0.25">
      <c r="A589" s="1">
        <v>45027.891666666997</v>
      </c>
      <c r="B589" s="1">
        <v>45029.785416667</v>
      </c>
      <c r="C589" t="s">
        <v>515</v>
      </c>
    </row>
    <row r="590" spans="1:3" x14ac:dyDescent="0.25">
      <c r="A590" s="1">
        <v>45029.739583333001</v>
      </c>
      <c r="B590" s="1">
        <v>45029.787499999999</v>
      </c>
      <c r="C590" t="s">
        <v>217</v>
      </c>
    </row>
    <row r="591" spans="1:3" x14ac:dyDescent="0.25">
      <c r="A591" s="1">
        <v>45030.372916667002</v>
      </c>
      <c r="B591" s="1">
        <v>45029.787499999999</v>
      </c>
    </row>
    <row r="592" spans="1:3" x14ac:dyDescent="0.25">
      <c r="A592" s="1">
        <v>45029.741666667003</v>
      </c>
      <c r="B592" s="1">
        <v>45029.789583332997</v>
      </c>
      <c r="C592" t="s">
        <v>516</v>
      </c>
    </row>
    <row r="593" spans="1:3" x14ac:dyDescent="0.25">
      <c r="A593" s="1">
        <v>45028.731249999997</v>
      </c>
      <c r="B593" s="1">
        <v>45029.789583332997</v>
      </c>
      <c r="C593" t="s">
        <v>517</v>
      </c>
    </row>
    <row r="594" spans="1:3" x14ac:dyDescent="0.25">
      <c r="A594" s="1">
        <v>45028.747916667002</v>
      </c>
      <c r="B594" s="1">
        <v>45029.789583332997</v>
      </c>
      <c r="C594" t="s">
        <v>518</v>
      </c>
    </row>
    <row r="595" spans="1:3" x14ac:dyDescent="0.25">
      <c r="A595" s="1">
        <v>45027.710416667003</v>
      </c>
      <c r="B595" s="1">
        <v>45029.789583332997</v>
      </c>
      <c r="C595" t="s">
        <v>519</v>
      </c>
    </row>
    <row r="596" spans="1:3" x14ac:dyDescent="0.25">
      <c r="A596" s="1">
        <v>45028.735416666997</v>
      </c>
      <c r="B596" s="1">
        <v>45029.789583332997</v>
      </c>
      <c r="C596" t="s">
        <v>520</v>
      </c>
    </row>
    <row r="597" spans="1:3" x14ac:dyDescent="0.25">
      <c r="A597" s="1">
        <v>45028.712500000001</v>
      </c>
      <c r="B597" s="1">
        <v>45029.804166667003</v>
      </c>
      <c r="C597" t="s">
        <v>521</v>
      </c>
    </row>
    <row r="598" spans="1:3" x14ac:dyDescent="0.25">
      <c r="A598" s="1">
        <v>45028.854166666999</v>
      </c>
      <c r="B598" s="1">
        <v>45029.804166667003</v>
      </c>
      <c r="C598" t="s">
        <v>522</v>
      </c>
    </row>
    <row r="599" spans="1:3" x14ac:dyDescent="0.25">
      <c r="A599" s="1">
        <v>45029.731249999997</v>
      </c>
      <c r="B599" s="1">
        <v>45029.8125</v>
      </c>
      <c r="C599" t="s">
        <v>3</v>
      </c>
    </row>
    <row r="600" spans="1:3" x14ac:dyDescent="0.25">
      <c r="A600" s="1">
        <v>45027.71875</v>
      </c>
      <c r="B600" s="1">
        <v>45029.8125</v>
      </c>
      <c r="C600" t="s">
        <v>523</v>
      </c>
    </row>
    <row r="601" spans="1:3" x14ac:dyDescent="0.25">
      <c r="A601" s="1">
        <v>45028.852083332997</v>
      </c>
      <c r="B601" s="1">
        <v>45029.818749999999</v>
      </c>
      <c r="C601" t="s">
        <v>226</v>
      </c>
    </row>
    <row r="602" spans="1:3" x14ac:dyDescent="0.25">
      <c r="A602" s="1">
        <v>45029.789583332997</v>
      </c>
      <c r="B602" s="1">
        <v>45029.818749999999</v>
      </c>
      <c r="C602" t="s">
        <v>524</v>
      </c>
    </row>
    <row r="603" spans="1:3" x14ac:dyDescent="0.25">
      <c r="A603" s="1">
        <v>45028.793749999997</v>
      </c>
      <c r="B603" s="1">
        <v>45029.818749999999</v>
      </c>
      <c r="C603" t="s">
        <v>525</v>
      </c>
    </row>
    <row r="604" spans="1:3" x14ac:dyDescent="0.25">
      <c r="A604" s="1">
        <v>45027.783333332998</v>
      </c>
      <c r="B604" s="1">
        <v>45029.818749999999</v>
      </c>
      <c r="C604" t="s">
        <v>526</v>
      </c>
    </row>
    <row r="605" spans="1:3" x14ac:dyDescent="0.25">
      <c r="A605" s="1">
        <v>45027.833333333001</v>
      </c>
      <c r="B605" s="1">
        <v>45029.818749999999</v>
      </c>
      <c r="C605" t="s">
        <v>527</v>
      </c>
    </row>
    <row r="606" spans="1:3" x14ac:dyDescent="0.25">
      <c r="A606" s="1">
        <v>45028.787499999999</v>
      </c>
      <c r="B606" s="1">
        <v>45029.822916666999</v>
      </c>
      <c r="C606" t="s">
        <v>528</v>
      </c>
    </row>
    <row r="607" spans="1:3" x14ac:dyDescent="0.25">
      <c r="A607" s="1">
        <v>45027.777083333</v>
      </c>
      <c r="B607" s="1">
        <v>45029.822916666999</v>
      </c>
      <c r="C607" t="s">
        <v>529</v>
      </c>
    </row>
    <row r="608" spans="1:3" x14ac:dyDescent="0.25">
      <c r="A608" s="1">
        <v>45027.789583332997</v>
      </c>
      <c r="B608" s="1">
        <v>45029.833333333001</v>
      </c>
      <c r="C608" t="s">
        <v>530</v>
      </c>
    </row>
    <row r="609" spans="1:3" x14ac:dyDescent="0.25">
      <c r="A609" s="1">
        <v>45027.737500000003</v>
      </c>
      <c r="B609" s="1">
        <v>45029.833333333001</v>
      </c>
      <c r="C609" t="s">
        <v>531</v>
      </c>
    </row>
    <row r="610" spans="1:3" x14ac:dyDescent="0.25">
      <c r="A610" s="1">
        <v>45029.822916666999</v>
      </c>
      <c r="B610" s="1">
        <v>45029.833333333001</v>
      </c>
      <c r="C610" t="s">
        <v>532</v>
      </c>
    </row>
    <row r="611" spans="1:3" x14ac:dyDescent="0.25">
      <c r="A611" s="1">
        <v>45027.724999999999</v>
      </c>
      <c r="B611" s="1">
        <v>45029.833333333001</v>
      </c>
      <c r="C611" t="s">
        <v>533</v>
      </c>
    </row>
    <row r="612" spans="1:3" x14ac:dyDescent="0.25">
      <c r="A612" s="1">
        <v>45027.829166666997</v>
      </c>
      <c r="B612" s="1">
        <v>45029.841666667002</v>
      </c>
      <c r="C612" t="s">
        <v>534</v>
      </c>
    </row>
    <row r="613" spans="1:3" x14ac:dyDescent="0.25">
      <c r="A613" s="1">
        <v>45027.745833333</v>
      </c>
      <c r="B613" s="1">
        <v>45029.84375</v>
      </c>
      <c r="C613" t="s">
        <v>535</v>
      </c>
    </row>
    <row r="614" spans="1:3" x14ac:dyDescent="0.25">
      <c r="A614" s="1">
        <v>45028.741666667003</v>
      </c>
      <c r="B614" s="1">
        <v>45029.84375</v>
      </c>
      <c r="C614" t="s">
        <v>536</v>
      </c>
    </row>
    <row r="615" spans="1:3" x14ac:dyDescent="0.25">
      <c r="A615" s="1">
        <v>45028.737500000003</v>
      </c>
      <c r="B615" s="1">
        <v>45029.84375</v>
      </c>
      <c r="C615" t="s">
        <v>537</v>
      </c>
    </row>
    <row r="616" spans="1:3" x14ac:dyDescent="0.25">
      <c r="A616" s="1">
        <v>45027.741666667003</v>
      </c>
      <c r="B616" s="1">
        <v>45029.845833332998</v>
      </c>
      <c r="C616" t="s">
        <v>538</v>
      </c>
    </row>
    <row r="617" spans="1:3" x14ac:dyDescent="0.25">
      <c r="A617" s="1">
        <v>45027.881249999999</v>
      </c>
      <c r="B617" s="1">
        <v>45029.845833332998</v>
      </c>
      <c r="C617" t="s">
        <v>539</v>
      </c>
    </row>
    <row r="618" spans="1:3" x14ac:dyDescent="0.25">
      <c r="A618" s="1">
        <v>45028.841666667002</v>
      </c>
      <c r="B618" s="1" t="s">
        <v>289</v>
      </c>
      <c r="C618" t="s">
        <v>469</v>
      </c>
    </row>
    <row r="619" spans="1:3" x14ac:dyDescent="0.25">
      <c r="A619" s="1">
        <v>45027.891666666997</v>
      </c>
      <c r="B619" s="1" t="s">
        <v>289</v>
      </c>
      <c r="C619" t="s">
        <v>540</v>
      </c>
    </row>
    <row r="620" spans="1:3" x14ac:dyDescent="0.25">
      <c r="A620" s="1">
        <v>45029.808333333</v>
      </c>
      <c r="B620" s="1" t="s">
        <v>289</v>
      </c>
      <c r="C620" t="s">
        <v>266</v>
      </c>
    </row>
    <row r="621" spans="1:3" x14ac:dyDescent="0.25">
      <c r="A621" s="1">
        <v>45027.824999999997</v>
      </c>
      <c r="B621" s="1" t="s">
        <v>289</v>
      </c>
      <c r="C621" t="s">
        <v>541</v>
      </c>
    </row>
    <row r="622" spans="1:3" x14ac:dyDescent="0.25">
      <c r="A622" s="1">
        <v>45027.847916667</v>
      </c>
      <c r="B622" s="1" t="s">
        <v>289</v>
      </c>
      <c r="C622" t="s">
        <v>542</v>
      </c>
    </row>
    <row r="623" spans="1:3" x14ac:dyDescent="0.25">
      <c r="A623" s="1">
        <v>45027.777083333</v>
      </c>
      <c r="B623" s="1" t="s">
        <v>289</v>
      </c>
      <c r="C623" t="s">
        <v>543</v>
      </c>
    </row>
    <row r="624" spans="1:3" x14ac:dyDescent="0.25">
      <c r="A624" s="1">
        <v>45027.772916667003</v>
      </c>
      <c r="B624" s="1" t="s">
        <v>289</v>
      </c>
      <c r="C624" t="s">
        <v>544</v>
      </c>
    </row>
    <row r="625" spans="1:3" x14ac:dyDescent="0.25">
      <c r="A625" s="1">
        <v>45027.739583333001</v>
      </c>
      <c r="B625" s="1" t="s">
        <v>289</v>
      </c>
      <c r="C625" t="s">
        <v>545</v>
      </c>
    </row>
    <row r="626" spans="1:3" x14ac:dyDescent="0.25">
      <c r="A626" s="1">
        <v>45028.831250000003</v>
      </c>
      <c r="B626" s="1" t="s">
        <v>289</v>
      </c>
      <c r="C626" t="s">
        <v>170</v>
      </c>
    </row>
    <row r="627" spans="1:3" x14ac:dyDescent="0.25">
      <c r="A627" s="1">
        <v>45028.745833333</v>
      </c>
      <c r="B627" s="1" t="s">
        <v>289</v>
      </c>
      <c r="C627" t="s">
        <v>546</v>
      </c>
    </row>
    <row r="628" spans="1:3" x14ac:dyDescent="0.25">
      <c r="A628" s="1">
        <v>45027.891666666997</v>
      </c>
      <c r="B628" s="1" t="s">
        <v>289</v>
      </c>
      <c r="C628" t="s">
        <v>547</v>
      </c>
    </row>
    <row r="629" spans="1:3" x14ac:dyDescent="0.25">
      <c r="A629" s="1">
        <v>45028.737500000003</v>
      </c>
      <c r="B629" s="1" t="s">
        <v>289</v>
      </c>
      <c r="C629" t="s">
        <v>548</v>
      </c>
    </row>
    <row r="630" spans="1:3" x14ac:dyDescent="0.25">
      <c r="A630" s="1">
        <v>45027.735416666997</v>
      </c>
      <c r="B630" s="1" t="s">
        <v>289</v>
      </c>
      <c r="C630" t="s">
        <v>549</v>
      </c>
    </row>
    <row r="631" spans="1:3" x14ac:dyDescent="0.25">
      <c r="A631" s="1">
        <v>45029.833333333001</v>
      </c>
      <c r="B631" s="1" t="s">
        <v>289</v>
      </c>
    </row>
    <row r="632" spans="1:3" x14ac:dyDescent="0.25">
      <c r="A632" s="1">
        <v>45027.852083332997</v>
      </c>
      <c r="B632" s="1" t="s">
        <v>289</v>
      </c>
      <c r="C632" t="s">
        <v>550</v>
      </c>
    </row>
    <row r="633" spans="1:3" x14ac:dyDescent="0.25">
      <c r="A633" s="1">
        <v>45027.71875</v>
      </c>
      <c r="B633" s="1" t="s">
        <v>289</v>
      </c>
      <c r="C633" t="s">
        <v>551</v>
      </c>
    </row>
    <row r="634" spans="1:3" x14ac:dyDescent="0.25">
      <c r="A634" s="1">
        <v>45029.724999999999</v>
      </c>
      <c r="B634" s="1" t="s">
        <v>289</v>
      </c>
      <c r="C634" t="s">
        <v>552</v>
      </c>
    </row>
    <row r="635" spans="1:3" x14ac:dyDescent="0.25">
      <c r="A635" s="1">
        <v>45029.795833333003</v>
      </c>
      <c r="B635" s="1" t="s">
        <v>289</v>
      </c>
    </row>
    <row r="636" spans="1:3" x14ac:dyDescent="0.25">
      <c r="A636" s="1">
        <v>45027.841666667002</v>
      </c>
      <c r="B636" s="1" t="s">
        <v>289</v>
      </c>
      <c r="C636" t="s">
        <v>553</v>
      </c>
    </row>
    <row r="637" spans="1:3" x14ac:dyDescent="0.25">
      <c r="A637" s="1">
        <v>45027.770833333001</v>
      </c>
      <c r="B637" s="1" t="s">
        <v>289</v>
      </c>
      <c r="C637" t="s">
        <v>554</v>
      </c>
    </row>
    <row r="638" spans="1:3" x14ac:dyDescent="0.25">
      <c r="A638" s="1">
        <v>45028.833333333001</v>
      </c>
      <c r="B638" s="1" t="s">
        <v>289</v>
      </c>
      <c r="C638" t="s">
        <v>206</v>
      </c>
    </row>
    <row r="639" spans="1:3" x14ac:dyDescent="0.25">
      <c r="A639" s="1">
        <v>45028.733333333003</v>
      </c>
      <c r="B639" s="1" t="s">
        <v>289</v>
      </c>
      <c r="C639" t="s">
        <v>555</v>
      </c>
    </row>
    <row r="640" spans="1:3" x14ac:dyDescent="0.25">
      <c r="A640" s="1">
        <v>45029.814583332998</v>
      </c>
      <c r="B640" s="1" t="s">
        <v>289</v>
      </c>
      <c r="C640" t="s">
        <v>169</v>
      </c>
    </row>
    <row r="641" spans="1:3" x14ac:dyDescent="0.25">
      <c r="A641" s="1">
        <v>45027.75</v>
      </c>
      <c r="B641" s="1" t="s">
        <v>289</v>
      </c>
      <c r="C641" t="s">
        <v>556</v>
      </c>
    </row>
    <row r="642" spans="1:3" x14ac:dyDescent="0.25">
      <c r="A642" s="1">
        <v>45030.373611110997</v>
      </c>
      <c r="B642" s="1" t="s">
        <v>289</v>
      </c>
    </row>
    <row r="643" spans="1:3" x14ac:dyDescent="0.25">
      <c r="A643" s="1">
        <v>45028.71875</v>
      </c>
      <c r="B643" s="1" t="s">
        <v>289</v>
      </c>
      <c r="C643" t="s">
        <v>557</v>
      </c>
    </row>
    <row r="644" spans="1:3" x14ac:dyDescent="0.25">
      <c r="A644" s="1">
        <v>45029.745833333</v>
      </c>
      <c r="B644" s="1" t="s">
        <v>289</v>
      </c>
      <c r="C644" t="s">
        <v>51</v>
      </c>
    </row>
    <row r="645" spans="1:3" x14ac:dyDescent="0.25">
      <c r="A645" s="1">
        <v>45029.806250000001</v>
      </c>
      <c r="B645" s="1" t="s">
        <v>289</v>
      </c>
      <c r="C645" t="s">
        <v>558</v>
      </c>
    </row>
    <row r="646" spans="1:3" x14ac:dyDescent="0.25">
      <c r="A646" s="1">
        <v>45028.791666666999</v>
      </c>
      <c r="B646" s="1" t="s">
        <v>289</v>
      </c>
      <c r="C646" t="s">
        <v>559</v>
      </c>
    </row>
    <row r="647" spans="1:3" x14ac:dyDescent="0.25">
      <c r="A647" s="1">
        <v>45028.85</v>
      </c>
      <c r="B647" s="1" t="s">
        <v>289</v>
      </c>
      <c r="C647" t="s">
        <v>560</v>
      </c>
    </row>
    <row r="648" spans="1:3" x14ac:dyDescent="0.25">
      <c r="A648" s="1">
        <v>45028.779166667002</v>
      </c>
      <c r="B648" s="1" t="s">
        <v>289</v>
      </c>
      <c r="C648" t="s">
        <v>561</v>
      </c>
    </row>
    <row r="649" spans="1:3" x14ac:dyDescent="0.25">
      <c r="A649" s="1">
        <v>45027.783333332998</v>
      </c>
      <c r="B649" s="1" t="s">
        <v>289</v>
      </c>
      <c r="C649" t="s">
        <v>562</v>
      </c>
    </row>
    <row r="650" spans="1:3" x14ac:dyDescent="0.25">
      <c r="A650" s="1">
        <v>45027.870833333</v>
      </c>
      <c r="B650" s="1" t="s">
        <v>289</v>
      </c>
      <c r="C650" t="s">
        <v>563</v>
      </c>
    </row>
    <row r="651" spans="1:3" x14ac:dyDescent="0.25">
      <c r="A651" s="1">
        <v>45027.779166667002</v>
      </c>
      <c r="B651" s="1" t="s">
        <v>289</v>
      </c>
      <c r="C651" t="s">
        <v>564</v>
      </c>
    </row>
    <row r="652" spans="1:3" x14ac:dyDescent="0.25">
      <c r="A652" s="1">
        <v>45027.893750000003</v>
      </c>
      <c r="B652" s="1" t="s">
        <v>289</v>
      </c>
      <c r="C652" t="s">
        <v>565</v>
      </c>
    </row>
    <row r="653" spans="1:3" x14ac:dyDescent="0.25">
      <c r="A653" s="1">
        <v>45027.724999999999</v>
      </c>
      <c r="B653" s="1" t="s">
        <v>289</v>
      </c>
      <c r="C653" t="s">
        <v>566</v>
      </c>
    </row>
    <row r="654" spans="1:3" x14ac:dyDescent="0.25">
      <c r="A654" s="1">
        <v>45027.797916666997</v>
      </c>
      <c r="B654" s="1" t="s">
        <v>289</v>
      </c>
      <c r="C654" t="s">
        <v>567</v>
      </c>
    </row>
    <row r="655" spans="1:3" x14ac:dyDescent="0.25">
      <c r="A655" s="1">
        <v>45027.829166666997</v>
      </c>
      <c r="B655" s="1" t="s">
        <v>289</v>
      </c>
      <c r="C655" t="s">
        <v>22</v>
      </c>
    </row>
    <row r="656" spans="1:3" x14ac:dyDescent="0.25">
      <c r="A656" s="1">
        <v>45028.762499999997</v>
      </c>
      <c r="B656" s="1" t="s">
        <v>289</v>
      </c>
      <c r="C656" t="s">
        <v>426</v>
      </c>
    </row>
    <row r="657" spans="1:3" x14ac:dyDescent="0.25">
      <c r="A657" s="1">
        <v>45029.797916666997</v>
      </c>
      <c r="B657" s="1" t="s">
        <v>289</v>
      </c>
      <c r="C657" t="s">
        <v>568</v>
      </c>
    </row>
    <row r="658" spans="1:3" x14ac:dyDescent="0.25">
      <c r="A658" s="1">
        <v>45029.754166667</v>
      </c>
      <c r="B658" s="1" t="s">
        <v>289</v>
      </c>
      <c r="C658" t="s">
        <v>569</v>
      </c>
    </row>
    <row r="659" spans="1:3" x14ac:dyDescent="0.25">
      <c r="A659" s="1">
        <v>45028.768750000003</v>
      </c>
      <c r="B659" s="1" t="s">
        <v>289</v>
      </c>
      <c r="C659" t="s">
        <v>130</v>
      </c>
    </row>
    <row r="660" spans="1:3" x14ac:dyDescent="0.25">
      <c r="A660" s="1">
        <v>45027.775000000001</v>
      </c>
      <c r="B660" s="1" t="s">
        <v>289</v>
      </c>
      <c r="C660" t="s">
        <v>570</v>
      </c>
    </row>
    <row r="661" spans="1:3" x14ac:dyDescent="0.25">
      <c r="A661" s="1">
        <v>45027.716666667002</v>
      </c>
      <c r="B661" s="1" t="s">
        <v>289</v>
      </c>
      <c r="C661" t="s">
        <v>571</v>
      </c>
    </row>
    <row r="662" spans="1:3" x14ac:dyDescent="0.25">
      <c r="A662" s="1">
        <v>45029.722916667</v>
      </c>
      <c r="B662" s="1" t="s">
        <v>289</v>
      </c>
      <c r="C662" t="s">
        <v>572</v>
      </c>
    </row>
    <row r="663" spans="1:3" x14ac:dyDescent="0.25">
      <c r="A663" s="1">
        <v>45029.8125</v>
      </c>
      <c r="B663" s="1" t="s">
        <v>289</v>
      </c>
      <c r="C663" t="s">
        <v>573</v>
      </c>
    </row>
    <row r="664" spans="1:3" x14ac:dyDescent="0.25">
      <c r="A664" s="1">
        <v>45028.777083333</v>
      </c>
      <c r="B664" s="1" t="s">
        <v>289</v>
      </c>
      <c r="C664" t="s">
        <v>574</v>
      </c>
    </row>
    <row r="665" spans="1:3" x14ac:dyDescent="0.25">
      <c r="A665" s="1">
        <v>45028.818749999999</v>
      </c>
      <c r="B665" s="1" t="s">
        <v>289</v>
      </c>
      <c r="C665" t="s">
        <v>575</v>
      </c>
    </row>
    <row r="666" spans="1:3" x14ac:dyDescent="0.25">
      <c r="A666" s="1">
        <v>45027.902083333</v>
      </c>
      <c r="B666" s="1" t="s">
        <v>289</v>
      </c>
      <c r="C666" t="s">
        <v>576</v>
      </c>
    </row>
    <row r="667" spans="1:3" x14ac:dyDescent="0.25">
      <c r="A667" s="1">
        <v>45027.84375</v>
      </c>
      <c r="B667" s="1" t="s">
        <v>289</v>
      </c>
      <c r="C667" t="s">
        <v>577</v>
      </c>
    </row>
    <row r="668" spans="1:3" x14ac:dyDescent="0.25">
      <c r="A668" s="1">
        <v>45029.716666667002</v>
      </c>
      <c r="B668" s="1" t="s">
        <v>289</v>
      </c>
      <c r="C668" t="s">
        <v>578</v>
      </c>
    </row>
    <row r="669" spans="1:3" x14ac:dyDescent="0.25">
      <c r="A669" s="1">
        <v>45028.791666666999</v>
      </c>
      <c r="B669" s="1" t="s">
        <v>289</v>
      </c>
      <c r="C669" t="s">
        <v>276</v>
      </c>
    </row>
    <row r="670" spans="1:3" x14ac:dyDescent="0.25">
      <c r="A670" s="1">
        <v>45029.793749999997</v>
      </c>
      <c r="B670" s="1" t="s">
        <v>289</v>
      </c>
      <c r="C670" t="s">
        <v>490</v>
      </c>
    </row>
    <row r="671" spans="1:3" x14ac:dyDescent="0.25">
      <c r="A671" s="1">
        <v>45027.814583332998</v>
      </c>
      <c r="B671" s="1" t="s">
        <v>289</v>
      </c>
      <c r="C671" t="s">
        <v>579</v>
      </c>
    </row>
    <row r="672" spans="1:3" x14ac:dyDescent="0.25">
      <c r="A672" s="1">
        <v>45029.71875</v>
      </c>
      <c r="B672" s="1" t="s">
        <v>289</v>
      </c>
      <c r="C672" t="s">
        <v>580</v>
      </c>
    </row>
    <row r="673" spans="1:3" x14ac:dyDescent="0.25">
      <c r="A673" s="1">
        <v>45028.714583333</v>
      </c>
      <c r="B673" s="1" t="s">
        <v>289</v>
      </c>
      <c r="C673" t="s">
        <v>581</v>
      </c>
    </row>
    <row r="674" spans="1:3" x14ac:dyDescent="0.25">
      <c r="A674" s="1">
        <v>45029.85</v>
      </c>
      <c r="B674" s="1" t="s">
        <v>289</v>
      </c>
    </row>
    <row r="675" spans="1:3" x14ac:dyDescent="0.25">
      <c r="A675" s="1">
        <v>45027.708333333001</v>
      </c>
      <c r="B675" s="1" t="s">
        <v>289</v>
      </c>
      <c r="C675" t="s">
        <v>582</v>
      </c>
    </row>
    <row r="676" spans="1:3" x14ac:dyDescent="0.25">
      <c r="A676" s="1">
        <v>45028.735416666997</v>
      </c>
      <c r="B676" s="1" t="s">
        <v>289</v>
      </c>
      <c r="C676" t="s">
        <v>583</v>
      </c>
    </row>
    <row r="677" spans="1:3" x14ac:dyDescent="0.25">
      <c r="A677" s="1">
        <v>45027.747916667002</v>
      </c>
      <c r="B677" s="1" t="s">
        <v>289</v>
      </c>
      <c r="C677" t="s">
        <v>584</v>
      </c>
    </row>
    <row r="678" spans="1:3" x14ac:dyDescent="0.25">
      <c r="A678" s="1">
        <v>45028.745833333</v>
      </c>
      <c r="B678" s="1" t="s">
        <v>289</v>
      </c>
      <c r="C678" t="s">
        <v>585</v>
      </c>
    </row>
    <row r="679" spans="1:3" x14ac:dyDescent="0.25">
      <c r="A679" s="1">
        <v>45029.75</v>
      </c>
      <c r="B679" s="1" t="s">
        <v>289</v>
      </c>
      <c r="C679" t="s">
        <v>586</v>
      </c>
    </row>
    <row r="680" spans="1:3" x14ac:dyDescent="0.25">
      <c r="A680" s="1">
        <v>45028.793749999997</v>
      </c>
      <c r="B680" s="1" t="s">
        <v>289</v>
      </c>
      <c r="C680" t="s">
        <v>587</v>
      </c>
    </row>
    <row r="681" spans="1:3" x14ac:dyDescent="0.25">
      <c r="A681" s="1">
        <v>45027.762499999997</v>
      </c>
      <c r="B681" s="1" t="s">
        <v>289</v>
      </c>
      <c r="C681" t="s">
        <v>588</v>
      </c>
    </row>
    <row r="682" spans="1:3" x14ac:dyDescent="0.25">
      <c r="A682" s="1">
        <v>45027.747916667002</v>
      </c>
      <c r="B682" s="1" t="s">
        <v>289</v>
      </c>
      <c r="C682" t="s">
        <v>589</v>
      </c>
    </row>
    <row r="683" spans="1:3" x14ac:dyDescent="0.25">
      <c r="A683" s="1">
        <v>45027.889583333003</v>
      </c>
      <c r="B683" s="1" t="s">
        <v>289</v>
      </c>
      <c r="C683" t="s">
        <v>590</v>
      </c>
    </row>
    <row r="684" spans="1:3" x14ac:dyDescent="0.25">
      <c r="A684" s="1">
        <v>45027.881249999999</v>
      </c>
      <c r="B684" s="1" t="s">
        <v>289</v>
      </c>
      <c r="C684" t="s">
        <v>591</v>
      </c>
    </row>
    <row r="685" spans="1:3" x14ac:dyDescent="0.25">
      <c r="A685" s="1">
        <v>45027.820833332997</v>
      </c>
      <c r="B685" s="1" t="s">
        <v>289</v>
      </c>
      <c r="C685" t="s">
        <v>592</v>
      </c>
    </row>
    <row r="686" spans="1:3" x14ac:dyDescent="0.25">
      <c r="A686" s="1">
        <v>45027.733333333003</v>
      </c>
      <c r="B686" s="1" t="s">
        <v>289</v>
      </c>
      <c r="C686" t="s">
        <v>593</v>
      </c>
    </row>
    <row r="687" spans="1:3" x14ac:dyDescent="0.25">
      <c r="A687" s="1">
        <v>45028.722916667</v>
      </c>
      <c r="B687" s="1" t="s">
        <v>289</v>
      </c>
      <c r="C687" t="s">
        <v>594</v>
      </c>
    </row>
    <row r="688" spans="1:3" x14ac:dyDescent="0.25">
      <c r="A688" s="1">
        <v>45027.722916667</v>
      </c>
      <c r="B688" s="1" t="s">
        <v>289</v>
      </c>
      <c r="C688" t="s">
        <v>595</v>
      </c>
    </row>
    <row r="689" spans="1:3" x14ac:dyDescent="0.25">
      <c r="A689" s="1">
        <v>45029.724999999999</v>
      </c>
      <c r="B689" s="1" t="s">
        <v>289</v>
      </c>
      <c r="C689" t="s">
        <v>596</v>
      </c>
    </row>
    <row r="690" spans="1:3" x14ac:dyDescent="0.25">
      <c r="A690" s="1">
        <v>45027.827083333003</v>
      </c>
      <c r="B690" s="1" t="s">
        <v>289</v>
      </c>
      <c r="C690" t="s">
        <v>597</v>
      </c>
    </row>
    <row r="691" spans="1:3" x14ac:dyDescent="0.25">
      <c r="A691" s="1">
        <v>45028.75</v>
      </c>
      <c r="B691" s="1" t="s">
        <v>289</v>
      </c>
      <c r="C691" t="s">
        <v>297</v>
      </c>
    </row>
    <row r="692" spans="1:3" x14ac:dyDescent="0.25">
      <c r="A692" s="1">
        <v>45029.760416666999</v>
      </c>
      <c r="B692" s="1" t="s">
        <v>289</v>
      </c>
      <c r="C692" t="s">
        <v>598</v>
      </c>
    </row>
    <row r="693" spans="1:3" x14ac:dyDescent="0.25">
      <c r="A693" s="1">
        <v>45027.793749999997</v>
      </c>
      <c r="B693" s="1" t="s">
        <v>289</v>
      </c>
      <c r="C693" t="s">
        <v>599</v>
      </c>
    </row>
    <row r="694" spans="1:3" x14ac:dyDescent="0.25">
      <c r="A694" s="1">
        <v>45027.841666667002</v>
      </c>
      <c r="B694" s="1" t="s">
        <v>289</v>
      </c>
      <c r="C694" t="s">
        <v>600</v>
      </c>
    </row>
    <row r="695" spans="1:3" x14ac:dyDescent="0.25">
      <c r="A695" s="1">
        <v>45027.827083333003</v>
      </c>
      <c r="B695" s="1" t="s">
        <v>289</v>
      </c>
      <c r="C695" t="s">
        <v>601</v>
      </c>
    </row>
    <row r="696" spans="1:3" x14ac:dyDescent="0.25">
      <c r="A696" s="1">
        <v>45028.764583333003</v>
      </c>
      <c r="B696" s="1" t="s">
        <v>289</v>
      </c>
      <c r="C696" t="s">
        <v>602</v>
      </c>
    </row>
    <row r="697" spans="1:3" x14ac:dyDescent="0.25">
      <c r="A697" s="1">
        <v>45029.835416667003</v>
      </c>
      <c r="B697" s="1" t="s">
        <v>289</v>
      </c>
      <c r="C697" t="s">
        <v>318</v>
      </c>
    </row>
    <row r="698" spans="1:3" x14ac:dyDescent="0.25">
      <c r="A698" s="1">
        <v>45029.783333332998</v>
      </c>
      <c r="B698" s="1" t="s">
        <v>289</v>
      </c>
      <c r="C698" t="s">
        <v>603</v>
      </c>
    </row>
    <row r="699" spans="1:3" x14ac:dyDescent="0.25">
      <c r="A699" s="1">
        <v>45027.877083332998</v>
      </c>
      <c r="B699" s="1" t="s">
        <v>289</v>
      </c>
      <c r="C699" t="s">
        <v>604</v>
      </c>
    </row>
    <row r="700" spans="1:3" x14ac:dyDescent="0.25">
      <c r="A700" s="1">
        <v>45029.756249999999</v>
      </c>
      <c r="B700" s="1" t="s">
        <v>289</v>
      </c>
      <c r="C700" t="s">
        <v>605</v>
      </c>
    </row>
    <row r="701" spans="1:3" x14ac:dyDescent="0.25">
      <c r="A701" s="1">
        <v>45027.868750000001</v>
      </c>
      <c r="B701" s="1" t="s">
        <v>289</v>
      </c>
      <c r="C701" t="s">
        <v>606</v>
      </c>
    </row>
    <row r="702" spans="1:3" x14ac:dyDescent="0.25">
      <c r="A702" s="1">
        <v>45028.8125</v>
      </c>
      <c r="B702" s="1" t="s">
        <v>289</v>
      </c>
      <c r="C702" t="s">
        <v>607</v>
      </c>
    </row>
    <row r="703" spans="1:3" x14ac:dyDescent="0.25">
      <c r="A703" s="1">
        <v>45027.724999999999</v>
      </c>
      <c r="B703" s="1" t="s">
        <v>289</v>
      </c>
      <c r="C703" t="s">
        <v>608</v>
      </c>
    </row>
    <row r="704" spans="1:3" x14ac:dyDescent="0.25">
      <c r="A704" s="1">
        <v>45029.8</v>
      </c>
      <c r="B704" s="1" t="s">
        <v>289</v>
      </c>
      <c r="C704" t="s">
        <v>609</v>
      </c>
    </row>
    <row r="705" spans="1:3" x14ac:dyDescent="0.25">
      <c r="A705" s="1">
        <v>45029.789583332997</v>
      </c>
      <c r="B705" s="1" t="s">
        <v>289</v>
      </c>
      <c r="C705" t="s">
        <v>225</v>
      </c>
    </row>
    <row r="706" spans="1:3" x14ac:dyDescent="0.25">
      <c r="A706" s="1">
        <v>45028.716666667002</v>
      </c>
      <c r="B706" s="1" t="s">
        <v>289</v>
      </c>
      <c r="C706" t="s">
        <v>610</v>
      </c>
    </row>
    <row r="707" spans="1:3" x14ac:dyDescent="0.25">
      <c r="A707" s="1">
        <v>45029.795833333003</v>
      </c>
      <c r="B707" s="1" t="s">
        <v>289</v>
      </c>
      <c r="C707" t="s">
        <v>611</v>
      </c>
    </row>
    <row r="708" spans="1:3" x14ac:dyDescent="0.25">
      <c r="A708" s="1">
        <v>45027.764583333003</v>
      </c>
      <c r="B708" s="1" t="s">
        <v>289</v>
      </c>
      <c r="C708" t="s">
        <v>612</v>
      </c>
    </row>
    <row r="709" spans="1:3" x14ac:dyDescent="0.25">
      <c r="A709" s="1">
        <v>45027.789583332997</v>
      </c>
      <c r="B709" s="1" t="s">
        <v>289</v>
      </c>
      <c r="C709" t="s">
        <v>613</v>
      </c>
    </row>
    <row r="710" spans="1:3" x14ac:dyDescent="0.25">
      <c r="A710" s="1">
        <v>45028.731249999997</v>
      </c>
      <c r="B710" s="1" t="s">
        <v>289</v>
      </c>
      <c r="C710" t="s">
        <v>614</v>
      </c>
    </row>
    <row r="711" spans="1:3" x14ac:dyDescent="0.25">
      <c r="A711" s="1">
        <v>45028.858333333003</v>
      </c>
      <c r="B711" s="1" t="s">
        <v>289</v>
      </c>
      <c r="C711" t="s">
        <v>615</v>
      </c>
    </row>
    <row r="712" spans="1:3" x14ac:dyDescent="0.25">
      <c r="A712" s="1">
        <v>45029.820833332997</v>
      </c>
      <c r="B712" s="1" t="s">
        <v>289</v>
      </c>
      <c r="C712" t="s">
        <v>616</v>
      </c>
    </row>
    <row r="713" spans="1:3" x14ac:dyDescent="0.25">
      <c r="A713" s="1">
        <v>45027.885416666999</v>
      </c>
      <c r="B713" s="1" t="s">
        <v>289</v>
      </c>
      <c r="C713" t="s">
        <v>617</v>
      </c>
    </row>
    <row r="714" spans="1:3" x14ac:dyDescent="0.25">
      <c r="A714" s="1">
        <v>45028.797916666997</v>
      </c>
      <c r="B714" s="1" t="s">
        <v>289</v>
      </c>
      <c r="C714" t="s">
        <v>618</v>
      </c>
    </row>
    <row r="715" spans="1:3" x14ac:dyDescent="0.25">
      <c r="A715" s="1">
        <v>45029.754166667</v>
      </c>
      <c r="B715" s="1" t="s">
        <v>289</v>
      </c>
      <c r="C715" t="s">
        <v>357</v>
      </c>
    </row>
    <row r="716" spans="1:3" x14ac:dyDescent="0.25">
      <c r="A716" s="1">
        <v>45029.795833333003</v>
      </c>
      <c r="B716" s="1" t="s">
        <v>289</v>
      </c>
      <c r="C716" t="s">
        <v>345</v>
      </c>
    </row>
    <row r="717" spans="1:3" x14ac:dyDescent="0.25">
      <c r="A717" s="1">
        <v>45029.820833332997</v>
      </c>
      <c r="B717" s="1" t="s">
        <v>289</v>
      </c>
      <c r="C717" t="s">
        <v>619</v>
      </c>
    </row>
    <row r="718" spans="1:3" x14ac:dyDescent="0.25">
      <c r="A718" s="1">
        <v>45029.777083333</v>
      </c>
      <c r="B718" s="1" t="s">
        <v>289</v>
      </c>
      <c r="C718" t="s">
        <v>505</v>
      </c>
    </row>
    <row r="719" spans="1:3" x14ac:dyDescent="0.25">
      <c r="A719" s="1">
        <v>45027.802083333001</v>
      </c>
      <c r="B719" s="1" t="s">
        <v>289</v>
      </c>
      <c r="C719" t="s">
        <v>620</v>
      </c>
    </row>
    <row r="720" spans="1:3" x14ac:dyDescent="0.25">
      <c r="A720" s="1">
        <v>45028.722916667</v>
      </c>
      <c r="B720" s="1" t="s">
        <v>289</v>
      </c>
      <c r="C720" t="s">
        <v>621</v>
      </c>
    </row>
    <row r="721" spans="1:3" x14ac:dyDescent="0.25">
      <c r="A721" s="1">
        <v>45029.804166667003</v>
      </c>
      <c r="B721" s="1" t="s">
        <v>289</v>
      </c>
      <c r="C721" t="s">
        <v>622</v>
      </c>
    </row>
    <row r="722" spans="1:3" x14ac:dyDescent="0.25">
      <c r="A722" s="1">
        <v>45029.847916667</v>
      </c>
      <c r="B722" s="1" t="s">
        <v>289</v>
      </c>
      <c r="C722" t="s">
        <v>88</v>
      </c>
    </row>
    <row r="723" spans="1:3" x14ac:dyDescent="0.25">
      <c r="A723" s="1">
        <v>45029.804166667003</v>
      </c>
      <c r="B723" s="1" t="s">
        <v>289</v>
      </c>
      <c r="C723" t="s">
        <v>257</v>
      </c>
    </row>
    <row r="724" spans="1:3" x14ac:dyDescent="0.25">
      <c r="A724" s="1">
        <v>45030.372916667002</v>
      </c>
      <c r="B724" s="1" t="s">
        <v>289</v>
      </c>
    </row>
    <row r="725" spans="1:3" x14ac:dyDescent="0.25">
      <c r="A725" s="1">
        <v>45027.720833332998</v>
      </c>
      <c r="B725" s="1" t="s">
        <v>289</v>
      </c>
      <c r="C725" t="s">
        <v>623</v>
      </c>
    </row>
    <row r="726" spans="1:3" x14ac:dyDescent="0.25">
      <c r="A726" s="1">
        <v>45028.772916667003</v>
      </c>
      <c r="B726" s="1" t="s">
        <v>289</v>
      </c>
      <c r="C726" t="s">
        <v>624</v>
      </c>
    </row>
    <row r="727" spans="1:3" x14ac:dyDescent="0.25">
      <c r="A727" s="1">
        <v>45029.808333333</v>
      </c>
      <c r="B727" s="1" t="s">
        <v>289</v>
      </c>
      <c r="C727" t="s">
        <v>173</v>
      </c>
    </row>
    <row r="728" spans="1:3" x14ac:dyDescent="0.25">
      <c r="A728" s="1">
        <v>45028.827083333003</v>
      </c>
      <c r="B728" s="1" t="s">
        <v>289</v>
      </c>
      <c r="C728" t="s">
        <v>574</v>
      </c>
    </row>
    <row r="729" spans="1:3" x14ac:dyDescent="0.25">
      <c r="A729" s="1">
        <v>45028.775000000001</v>
      </c>
      <c r="B729" s="1" t="s">
        <v>289</v>
      </c>
      <c r="C729" t="s">
        <v>625</v>
      </c>
    </row>
    <row r="730" spans="1:3" x14ac:dyDescent="0.25">
      <c r="A730" s="1">
        <v>45029.724999999999</v>
      </c>
      <c r="B730" s="1" t="s">
        <v>289</v>
      </c>
      <c r="C730" t="s">
        <v>516</v>
      </c>
    </row>
    <row r="731" spans="1:3" x14ac:dyDescent="0.25">
      <c r="A731" s="1">
        <v>45027.722916667</v>
      </c>
      <c r="B731" s="1" t="s">
        <v>289</v>
      </c>
      <c r="C731" t="s">
        <v>626</v>
      </c>
    </row>
    <row r="732" spans="1:3" x14ac:dyDescent="0.25">
      <c r="A732" s="1">
        <v>45028.770833333001</v>
      </c>
      <c r="B732" s="1" t="s">
        <v>289</v>
      </c>
      <c r="C732" t="s">
        <v>627</v>
      </c>
    </row>
    <row r="733" spans="1:3" x14ac:dyDescent="0.25">
      <c r="A733" s="1">
        <v>45029.797916666997</v>
      </c>
      <c r="B733" s="1" t="s">
        <v>289</v>
      </c>
      <c r="C733" t="s">
        <v>628</v>
      </c>
    </row>
    <row r="734" spans="1:3" x14ac:dyDescent="0.25">
      <c r="A734" s="1">
        <v>45029.733333333003</v>
      </c>
      <c r="B734" s="1" t="s">
        <v>289</v>
      </c>
      <c r="C734" t="s">
        <v>629</v>
      </c>
    </row>
    <row r="735" spans="1:3" x14ac:dyDescent="0.25">
      <c r="A735" s="1">
        <v>45029.758333332997</v>
      </c>
      <c r="B735" s="1" t="s">
        <v>289</v>
      </c>
      <c r="C735" t="s">
        <v>630</v>
      </c>
    </row>
    <row r="736" spans="1:3" x14ac:dyDescent="0.25">
      <c r="A736" s="1">
        <v>45029.752083332998</v>
      </c>
      <c r="B736" s="1" t="s">
        <v>289</v>
      </c>
      <c r="C736" t="s">
        <v>631</v>
      </c>
    </row>
    <row r="737" spans="1:3" x14ac:dyDescent="0.25">
      <c r="A737" s="1">
        <v>45028.768750000003</v>
      </c>
      <c r="B737" s="1" t="s">
        <v>289</v>
      </c>
      <c r="C737" t="s">
        <v>632</v>
      </c>
    </row>
    <row r="738" spans="1:3" x14ac:dyDescent="0.25">
      <c r="A738" s="1">
        <v>45027.9</v>
      </c>
      <c r="B738" s="1" t="s">
        <v>289</v>
      </c>
      <c r="C738" t="s">
        <v>633</v>
      </c>
    </row>
    <row r="739" spans="1:3" x14ac:dyDescent="0.25">
      <c r="A739" s="1">
        <v>45028.779166667002</v>
      </c>
      <c r="B739" s="1" t="s">
        <v>289</v>
      </c>
      <c r="C739" t="s">
        <v>634</v>
      </c>
    </row>
    <row r="740" spans="1:3" x14ac:dyDescent="0.25">
      <c r="A740" s="1">
        <v>45028.733333333003</v>
      </c>
      <c r="B740" s="1" t="s">
        <v>289</v>
      </c>
      <c r="C740" t="s">
        <v>635</v>
      </c>
    </row>
    <row r="741" spans="1:3" x14ac:dyDescent="0.25">
      <c r="A741" s="1">
        <v>45028.770833333001</v>
      </c>
      <c r="B741" s="1" t="s">
        <v>289</v>
      </c>
      <c r="C741" t="s">
        <v>261</v>
      </c>
    </row>
    <row r="742" spans="1:3" x14ac:dyDescent="0.25">
      <c r="A742" s="1">
        <v>45028.714583333</v>
      </c>
      <c r="B742" s="1" t="s">
        <v>289</v>
      </c>
      <c r="C742" t="s">
        <v>636</v>
      </c>
    </row>
    <row r="743" spans="1:3" x14ac:dyDescent="0.25">
      <c r="A743" s="1">
        <v>45027.795833333003</v>
      </c>
      <c r="B743" s="1" t="s">
        <v>289</v>
      </c>
      <c r="C743" t="s">
        <v>637</v>
      </c>
    </row>
    <row r="744" spans="1:3" x14ac:dyDescent="0.25">
      <c r="A744" s="1">
        <v>45029.779166667002</v>
      </c>
      <c r="B744" s="1" t="s">
        <v>289</v>
      </c>
      <c r="C744" t="s">
        <v>638</v>
      </c>
    </row>
    <row r="745" spans="1:3" x14ac:dyDescent="0.25">
      <c r="A745" s="1">
        <v>45029.772916667003</v>
      </c>
      <c r="B745" s="1" t="s">
        <v>289</v>
      </c>
      <c r="C745" t="s">
        <v>310</v>
      </c>
    </row>
    <row r="746" spans="1:3" x14ac:dyDescent="0.25">
      <c r="A746" s="1">
        <v>45027.904166667002</v>
      </c>
      <c r="B746" s="1" t="s">
        <v>289</v>
      </c>
      <c r="C746" t="s">
        <v>639</v>
      </c>
    </row>
    <row r="747" spans="1:3" x14ac:dyDescent="0.25">
      <c r="A747" s="1">
        <v>45028.78125</v>
      </c>
      <c r="B747" s="1" t="s">
        <v>289</v>
      </c>
      <c r="C747" t="s">
        <v>640</v>
      </c>
    </row>
    <row r="748" spans="1:3" x14ac:dyDescent="0.25">
      <c r="A748" s="1">
        <v>45030.372916667002</v>
      </c>
      <c r="B748" s="1" t="s">
        <v>289</v>
      </c>
    </row>
    <row r="749" spans="1:3" x14ac:dyDescent="0.25">
      <c r="A749" s="1">
        <v>45027.8125</v>
      </c>
      <c r="B749" s="1" t="s">
        <v>289</v>
      </c>
      <c r="C749" t="s">
        <v>641</v>
      </c>
    </row>
    <row r="750" spans="1:3" x14ac:dyDescent="0.25">
      <c r="A750" s="1">
        <v>45027.868750000001</v>
      </c>
      <c r="B750" s="1" t="s">
        <v>289</v>
      </c>
      <c r="C750" t="s">
        <v>642</v>
      </c>
    </row>
    <row r="751" spans="1:3" x14ac:dyDescent="0.25">
      <c r="A751" s="1">
        <v>45029.708333333001</v>
      </c>
      <c r="B751" s="1" t="s">
        <v>289</v>
      </c>
      <c r="C751" t="s">
        <v>643</v>
      </c>
    </row>
    <row r="752" spans="1:3" x14ac:dyDescent="0.25">
      <c r="A752" s="1">
        <v>45028.737500000003</v>
      </c>
      <c r="B752" s="1" t="s">
        <v>289</v>
      </c>
      <c r="C752" t="s">
        <v>644</v>
      </c>
    </row>
    <row r="753" spans="1:3" x14ac:dyDescent="0.25">
      <c r="A753" s="1">
        <v>45028.766666666997</v>
      </c>
      <c r="B753" s="1" t="s">
        <v>289</v>
      </c>
      <c r="C753" t="s">
        <v>645</v>
      </c>
    </row>
    <row r="754" spans="1:3" x14ac:dyDescent="0.25">
      <c r="A754" s="1">
        <v>45028.785416667</v>
      </c>
      <c r="B754" s="1" t="s">
        <v>289</v>
      </c>
      <c r="C754" t="s">
        <v>646</v>
      </c>
    </row>
    <row r="755" spans="1:3" x14ac:dyDescent="0.25">
      <c r="A755" s="1">
        <v>45027.779166667002</v>
      </c>
      <c r="B755" s="1" t="s">
        <v>289</v>
      </c>
      <c r="C755" t="s">
        <v>647</v>
      </c>
    </row>
    <row r="756" spans="1:3" x14ac:dyDescent="0.25">
      <c r="A756" s="1">
        <v>45027.818749999999</v>
      </c>
      <c r="B756" s="1" t="s">
        <v>289</v>
      </c>
      <c r="C756" t="s">
        <v>648</v>
      </c>
    </row>
    <row r="757" spans="1:3" x14ac:dyDescent="0.25">
      <c r="A757" s="1">
        <v>45029.841666667002</v>
      </c>
      <c r="B757" s="1" t="s">
        <v>289</v>
      </c>
      <c r="C757" t="s">
        <v>389</v>
      </c>
    </row>
    <row r="758" spans="1:3" x14ac:dyDescent="0.25">
      <c r="A758" s="1">
        <v>45027.877083332998</v>
      </c>
      <c r="B758" s="1" t="s">
        <v>289</v>
      </c>
      <c r="C758" t="s">
        <v>649</v>
      </c>
    </row>
    <row r="759" spans="1:3" x14ac:dyDescent="0.25">
      <c r="A759" s="1">
        <v>45028.822916666999</v>
      </c>
      <c r="B759" s="1" t="s">
        <v>289</v>
      </c>
      <c r="C759" t="s">
        <v>650</v>
      </c>
    </row>
    <row r="760" spans="1:3" x14ac:dyDescent="0.25">
      <c r="A760" s="1">
        <v>45027.714583333</v>
      </c>
      <c r="B760" s="1" t="s">
        <v>289</v>
      </c>
      <c r="C760" t="s">
        <v>651</v>
      </c>
    </row>
    <row r="761" spans="1:3" x14ac:dyDescent="0.25">
      <c r="A761" s="1">
        <v>45030.372916667002</v>
      </c>
      <c r="B761" s="1" t="s">
        <v>289</v>
      </c>
    </row>
    <row r="762" spans="1:3" x14ac:dyDescent="0.25">
      <c r="A762" s="1">
        <v>45027.885416666999</v>
      </c>
      <c r="B762" s="1" t="s">
        <v>289</v>
      </c>
      <c r="C762" t="s">
        <v>652</v>
      </c>
    </row>
    <row r="763" spans="1:3" x14ac:dyDescent="0.25">
      <c r="A763" s="1">
        <v>45028.747916667002</v>
      </c>
      <c r="B763" s="1" t="s">
        <v>289</v>
      </c>
      <c r="C763" t="s">
        <v>653</v>
      </c>
    </row>
    <row r="764" spans="1:3" x14ac:dyDescent="0.25">
      <c r="A764" s="1">
        <v>45029.727083332997</v>
      </c>
      <c r="B764" s="1" t="s">
        <v>289</v>
      </c>
      <c r="C764" t="s">
        <v>654</v>
      </c>
    </row>
    <row r="765" spans="1:3" x14ac:dyDescent="0.25">
      <c r="A765" s="1">
        <v>45027.760416666999</v>
      </c>
      <c r="B765" s="1" t="s">
        <v>289</v>
      </c>
      <c r="C765" t="s">
        <v>655</v>
      </c>
    </row>
    <row r="766" spans="1:3" x14ac:dyDescent="0.25">
      <c r="A766" s="1">
        <v>45027.745833333</v>
      </c>
      <c r="B766" s="1" t="s">
        <v>289</v>
      </c>
      <c r="C766" t="s">
        <v>656</v>
      </c>
    </row>
    <row r="767" spans="1:3" x14ac:dyDescent="0.25">
      <c r="A767" s="1">
        <v>45028.741666667003</v>
      </c>
      <c r="B767" s="1" t="s">
        <v>289</v>
      </c>
      <c r="C767" t="s">
        <v>24</v>
      </c>
    </row>
    <row r="768" spans="1:3" x14ac:dyDescent="0.25">
      <c r="A768" s="1">
        <v>45029.845833332998</v>
      </c>
      <c r="B768" s="1" t="s">
        <v>289</v>
      </c>
      <c r="C768" t="s">
        <v>657</v>
      </c>
    </row>
    <row r="769" spans="1:3" x14ac:dyDescent="0.25">
      <c r="A769" s="1">
        <v>45029.727083332997</v>
      </c>
      <c r="B769" s="1" t="s">
        <v>289</v>
      </c>
      <c r="C769" t="s">
        <v>328</v>
      </c>
    </row>
    <row r="770" spans="1:3" x14ac:dyDescent="0.25">
      <c r="A770" s="1">
        <v>45028.747916667002</v>
      </c>
      <c r="B770" s="1" t="s">
        <v>289</v>
      </c>
      <c r="C770" t="s">
        <v>658</v>
      </c>
    </row>
    <row r="771" spans="1:3" x14ac:dyDescent="0.25">
      <c r="A771" s="1">
        <v>45027.90625</v>
      </c>
      <c r="B771" s="1" t="s">
        <v>289</v>
      </c>
      <c r="C771" t="s">
        <v>659</v>
      </c>
    </row>
    <row r="772" spans="1:3" x14ac:dyDescent="0.25">
      <c r="A772" s="1">
        <v>45029.710416667003</v>
      </c>
      <c r="B772" s="1" t="s">
        <v>289</v>
      </c>
      <c r="C772" t="s">
        <v>660</v>
      </c>
    </row>
    <row r="773" spans="1:3" x14ac:dyDescent="0.25">
      <c r="A773" s="1">
        <v>45027.90625</v>
      </c>
      <c r="B773" s="1" t="s">
        <v>289</v>
      </c>
      <c r="C773" t="s">
        <v>661</v>
      </c>
    </row>
    <row r="774" spans="1:3" x14ac:dyDescent="0.25">
      <c r="A774" s="1">
        <v>45030.373611110997</v>
      </c>
      <c r="B774" s="1" t="s">
        <v>289</v>
      </c>
    </row>
    <row r="775" spans="1:3" x14ac:dyDescent="0.25">
      <c r="A775" s="1">
        <v>45029.8125</v>
      </c>
      <c r="B775" s="1" t="s">
        <v>289</v>
      </c>
      <c r="C775" t="s">
        <v>486</v>
      </c>
    </row>
    <row r="776" spans="1:3" x14ac:dyDescent="0.25">
      <c r="A776" s="1">
        <v>45028.787499999999</v>
      </c>
      <c r="B776" s="1" t="s">
        <v>289</v>
      </c>
      <c r="C776" t="s">
        <v>662</v>
      </c>
    </row>
    <row r="777" spans="1:3" x14ac:dyDescent="0.25">
      <c r="A777" s="1">
        <v>45027.889583333003</v>
      </c>
      <c r="B777" s="1" t="s">
        <v>289</v>
      </c>
      <c r="C777" t="s">
        <v>663</v>
      </c>
    </row>
    <row r="778" spans="1:3" x14ac:dyDescent="0.25">
      <c r="A778" s="1">
        <v>45029.820833332997</v>
      </c>
      <c r="B778" s="1" t="s">
        <v>289</v>
      </c>
      <c r="C778" t="s">
        <v>664</v>
      </c>
    </row>
    <row r="779" spans="1:3" x14ac:dyDescent="0.25">
      <c r="A779" s="1">
        <v>45027.797916666997</v>
      </c>
      <c r="B779" s="1" t="s">
        <v>289</v>
      </c>
      <c r="C779" t="s">
        <v>665</v>
      </c>
    </row>
    <row r="780" spans="1:3" x14ac:dyDescent="0.25">
      <c r="A780" s="1">
        <v>45028.860416666997</v>
      </c>
      <c r="B780" s="1" t="s">
        <v>289</v>
      </c>
      <c r="C780" t="s">
        <v>206</v>
      </c>
    </row>
    <row r="781" spans="1:3" x14ac:dyDescent="0.25">
      <c r="A781" s="1">
        <v>45029.779166667002</v>
      </c>
      <c r="B781" s="1" t="s">
        <v>289</v>
      </c>
      <c r="C781" t="s">
        <v>287</v>
      </c>
    </row>
    <row r="782" spans="1:3" x14ac:dyDescent="0.25">
      <c r="A782" s="1">
        <v>45029.737500000003</v>
      </c>
      <c r="B782" s="1" t="s">
        <v>289</v>
      </c>
      <c r="C782" t="s">
        <v>664</v>
      </c>
    </row>
    <row r="783" spans="1:3" x14ac:dyDescent="0.25">
      <c r="A783" s="1">
        <v>45029.714583333</v>
      </c>
      <c r="B783" s="1" t="s">
        <v>289</v>
      </c>
      <c r="C783" t="s">
        <v>666</v>
      </c>
    </row>
    <row r="784" spans="1:3" x14ac:dyDescent="0.25">
      <c r="A784" s="1">
        <v>45027.787499999999</v>
      </c>
      <c r="B784" s="1" t="s">
        <v>289</v>
      </c>
      <c r="C784" t="s">
        <v>667</v>
      </c>
    </row>
    <row r="785" spans="1:3" x14ac:dyDescent="0.25">
      <c r="A785" s="1">
        <v>45029.845833332998</v>
      </c>
      <c r="B785" s="1" t="s">
        <v>289</v>
      </c>
      <c r="C785" t="s">
        <v>410</v>
      </c>
    </row>
    <row r="786" spans="1:3" x14ac:dyDescent="0.25">
      <c r="A786" s="1">
        <v>45029.777083333</v>
      </c>
      <c r="B786" s="1" t="s">
        <v>289</v>
      </c>
      <c r="C786" t="s">
        <v>668</v>
      </c>
    </row>
    <row r="787" spans="1:3" x14ac:dyDescent="0.25">
      <c r="A787" s="1">
        <v>45029.777083333</v>
      </c>
      <c r="B787" s="1" t="s">
        <v>289</v>
      </c>
      <c r="C787" t="s">
        <v>669</v>
      </c>
    </row>
    <row r="788" spans="1:3" x14ac:dyDescent="0.25">
      <c r="A788" s="1">
        <v>45027.90625</v>
      </c>
      <c r="B788" s="1" t="s">
        <v>289</v>
      </c>
      <c r="C788" t="s">
        <v>670</v>
      </c>
    </row>
    <row r="789" spans="1:3" x14ac:dyDescent="0.25">
      <c r="A789" s="1">
        <v>45029.745833333</v>
      </c>
      <c r="B789" s="1" t="s">
        <v>289</v>
      </c>
      <c r="C789" t="s">
        <v>671</v>
      </c>
    </row>
    <row r="790" spans="1:3" x14ac:dyDescent="0.25">
      <c r="A790" s="1">
        <v>45027.883333332997</v>
      </c>
      <c r="B790" s="1" t="s">
        <v>289</v>
      </c>
      <c r="C790" t="s">
        <v>672</v>
      </c>
    </row>
    <row r="791" spans="1:3" x14ac:dyDescent="0.25">
      <c r="A791" s="1">
        <v>45027.887499999997</v>
      </c>
      <c r="B791" s="1" t="s">
        <v>289</v>
      </c>
      <c r="C791" t="s">
        <v>673</v>
      </c>
    </row>
    <row r="792" spans="1:3" x14ac:dyDescent="0.25">
      <c r="A792" s="1">
        <v>45027.8125</v>
      </c>
      <c r="B792" s="1" t="s">
        <v>289</v>
      </c>
      <c r="C792" t="s">
        <v>674</v>
      </c>
    </row>
    <row r="793" spans="1:3" x14ac:dyDescent="0.25">
      <c r="A793" s="1">
        <v>45028.743750000001</v>
      </c>
      <c r="B793" s="1" t="s">
        <v>289</v>
      </c>
      <c r="C793" t="s">
        <v>675</v>
      </c>
    </row>
    <row r="794" spans="1:3" x14ac:dyDescent="0.25">
      <c r="A794" s="1">
        <v>45027.745833333</v>
      </c>
      <c r="B794" s="1" t="s">
        <v>289</v>
      </c>
      <c r="C794" t="s">
        <v>676</v>
      </c>
    </row>
    <row r="795" spans="1:3" x14ac:dyDescent="0.25">
      <c r="A795" s="1">
        <v>45028.733333333003</v>
      </c>
      <c r="B795" s="1" t="s">
        <v>289</v>
      </c>
      <c r="C795" t="s">
        <v>677</v>
      </c>
    </row>
    <row r="796" spans="1:3" x14ac:dyDescent="0.25">
      <c r="A796" s="1">
        <v>45027.875</v>
      </c>
      <c r="B796" s="1" t="s">
        <v>289</v>
      </c>
      <c r="C796" t="s">
        <v>678</v>
      </c>
    </row>
    <row r="797" spans="1:3" x14ac:dyDescent="0.25">
      <c r="A797" s="1">
        <v>45029.785416667</v>
      </c>
      <c r="B797" s="1" t="s">
        <v>289</v>
      </c>
      <c r="C797" t="s">
        <v>586</v>
      </c>
    </row>
    <row r="798" spans="1:3" x14ac:dyDescent="0.25">
      <c r="A798" s="1">
        <v>45028.785416667</v>
      </c>
      <c r="B798" s="1" t="s">
        <v>289</v>
      </c>
      <c r="C798" t="s">
        <v>679</v>
      </c>
    </row>
    <row r="799" spans="1:3" x14ac:dyDescent="0.25">
      <c r="A799" s="1">
        <v>45029.85</v>
      </c>
      <c r="B799" s="1" t="s">
        <v>289</v>
      </c>
    </row>
    <row r="800" spans="1:3" x14ac:dyDescent="0.25">
      <c r="A800" s="1">
        <v>45028.716666667002</v>
      </c>
      <c r="B800" s="1" t="s">
        <v>289</v>
      </c>
      <c r="C800" t="s">
        <v>680</v>
      </c>
    </row>
    <row r="801" spans="1:3" x14ac:dyDescent="0.25">
      <c r="A801" s="1">
        <v>45029.731249999997</v>
      </c>
      <c r="B801" s="1" t="s">
        <v>289</v>
      </c>
      <c r="C801" t="s">
        <v>449</v>
      </c>
    </row>
    <row r="802" spans="1:3" x14ac:dyDescent="0.25">
      <c r="A802" s="1">
        <v>45028.789583332997</v>
      </c>
      <c r="B802" s="1" t="s">
        <v>289</v>
      </c>
      <c r="C802" t="s">
        <v>236</v>
      </c>
    </row>
    <row r="803" spans="1:3" x14ac:dyDescent="0.25">
      <c r="A803" s="1">
        <v>45028.710416667003</v>
      </c>
      <c r="B803" s="1" t="s">
        <v>289</v>
      </c>
      <c r="C803" t="s">
        <v>587</v>
      </c>
    </row>
    <row r="804" spans="1:3" x14ac:dyDescent="0.25">
      <c r="A804" s="1">
        <v>45028.75</v>
      </c>
      <c r="B804" s="1" t="s">
        <v>289</v>
      </c>
      <c r="C804" t="s">
        <v>681</v>
      </c>
    </row>
    <row r="805" spans="1:3" x14ac:dyDescent="0.25">
      <c r="A805" s="1">
        <v>45027.78125</v>
      </c>
      <c r="B805" s="1" t="s">
        <v>289</v>
      </c>
      <c r="C805" t="s">
        <v>682</v>
      </c>
    </row>
    <row r="806" spans="1:3" x14ac:dyDescent="0.25">
      <c r="A806" s="1">
        <v>45029.756249999999</v>
      </c>
      <c r="B806" s="1" t="s">
        <v>289</v>
      </c>
      <c r="C806" t="s">
        <v>683</v>
      </c>
    </row>
    <row r="807" spans="1:3" x14ac:dyDescent="0.25">
      <c r="A807" s="1">
        <v>45029.804166667003</v>
      </c>
      <c r="B807" s="1" t="s">
        <v>289</v>
      </c>
      <c r="C807" t="s">
        <v>619</v>
      </c>
    </row>
    <row r="808" spans="1:3" x14ac:dyDescent="0.25">
      <c r="A808" s="1">
        <v>45030.373611110997</v>
      </c>
      <c r="B808" s="1" t="s">
        <v>289</v>
      </c>
    </row>
    <row r="809" spans="1:3" x14ac:dyDescent="0.25">
      <c r="A809" s="1">
        <v>45029.729166666999</v>
      </c>
      <c r="B809" s="1" t="s">
        <v>289</v>
      </c>
      <c r="C809" t="s">
        <v>568</v>
      </c>
    </row>
    <row r="810" spans="1:3" x14ac:dyDescent="0.25">
      <c r="A810" s="1">
        <v>45029.791666666999</v>
      </c>
      <c r="B810" s="1" t="s">
        <v>289</v>
      </c>
      <c r="C810" t="s">
        <v>684</v>
      </c>
    </row>
    <row r="811" spans="1:3" x14ac:dyDescent="0.25">
      <c r="A811" s="1">
        <v>45028.785416667</v>
      </c>
      <c r="B811" s="1" t="s">
        <v>289</v>
      </c>
      <c r="C811" t="s">
        <v>73</v>
      </c>
    </row>
    <row r="812" spans="1:3" x14ac:dyDescent="0.25">
      <c r="A812" s="1">
        <v>45027.833333333001</v>
      </c>
      <c r="B812" s="1" t="s">
        <v>289</v>
      </c>
      <c r="C812" t="s">
        <v>685</v>
      </c>
    </row>
    <row r="813" spans="1:3" x14ac:dyDescent="0.25">
      <c r="A813" s="1">
        <v>45027.760416666999</v>
      </c>
      <c r="B813" s="1" t="s">
        <v>289</v>
      </c>
      <c r="C813" t="s">
        <v>686</v>
      </c>
    </row>
    <row r="814" spans="1:3" x14ac:dyDescent="0.25">
      <c r="A814" s="1">
        <v>45027.708333333001</v>
      </c>
      <c r="B814" s="1" t="s">
        <v>289</v>
      </c>
      <c r="C814" t="s">
        <v>687</v>
      </c>
    </row>
    <row r="815" spans="1:3" x14ac:dyDescent="0.25">
      <c r="A815" s="1">
        <v>45027.841666667002</v>
      </c>
      <c r="B815" s="1" t="s">
        <v>289</v>
      </c>
      <c r="C815" t="s">
        <v>688</v>
      </c>
    </row>
    <row r="816" spans="1:3" x14ac:dyDescent="0.25">
      <c r="A816" s="1">
        <v>45029.727083332997</v>
      </c>
      <c r="B816" s="1" t="s">
        <v>289</v>
      </c>
      <c r="C816" t="s">
        <v>157</v>
      </c>
    </row>
    <row r="817" spans="1:3" x14ac:dyDescent="0.25">
      <c r="A817" s="1">
        <v>45027.78125</v>
      </c>
      <c r="B817" s="1" t="s">
        <v>289</v>
      </c>
      <c r="C817" t="s">
        <v>689</v>
      </c>
    </row>
    <row r="818" spans="1:3" x14ac:dyDescent="0.25">
      <c r="A818" s="1">
        <v>45027.75</v>
      </c>
      <c r="B818" s="1" t="s">
        <v>289</v>
      </c>
      <c r="C818" t="s">
        <v>690</v>
      </c>
    </row>
    <row r="819" spans="1:3" x14ac:dyDescent="0.25">
      <c r="A819" s="1">
        <v>45029.752083332998</v>
      </c>
      <c r="B819" s="1" t="s">
        <v>289</v>
      </c>
      <c r="C819" t="s">
        <v>691</v>
      </c>
    </row>
    <row r="820" spans="1:3" x14ac:dyDescent="0.25">
      <c r="A820" s="1">
        <v>45027.8</v>
      </c>
      <c r="B820" s="1" t="s">
        <v>289</v>
      </c>
      <c r="C820" t="s">
        <v>692</v>
      </c>
    </row>
    <row r="821" spans="1:3" x14ac:dyDescent="0.25">
      <c r="A821" s="1">
        <v>45027.729166666999</v>
      </c>
      <c r="B821" s="1" t="s">
        <v>289</v>
      </c>
      <c r="C821" t="s">
        <v>693</v>
      </c>
    </row>
    <row r="822" spans="1:3" x14ac:dyDescent="0.25">
      <c r="A822" s="1">
        <v>45028.852083332997</v>
      </c>
      <c r="B822" s="1" t="s">
        <v>289</v>
      </c>
      <c r="C822" t="s">
        <v>165</v>
      </c>
    </row>
    <row r="823" spans="1:3" x14ac:dyDescent="0.25">
      <c r="A823" s="1">
        <v>45028.854166666999</v>
      </c>
      <c r="B823" s="1" t="s">
        <v>289</v>
      </c>
      <c r="C823" t="s">
        <v>694</v>
      </c>
    </row>
    <row r="824" spans="1:3" x14ac:dyDescent="0.25">
      <c r="A824" s="1">
        <v>45027.743750000001</v>
      </c>
      <c r="B824" s="1" t="s">
        <v>289</v>
      </c>
      <c r="C824" t="s">
        <v>695</v>
      </c>
    </row>
    <row r="825" spans="1:3" x14ac:dyDescent="0.25">
      <c r="A825" s="1">
        <v>45027.770833333001</v>
      </c>
      <c r="B825" s="1" t="s">
        <v>289</v>
      </c>
      <c r="C825" t="s">
        <v>696</v>
      </c>
    </row>
    <row r="826" spans="1:3" x14ac:dyDescent="0.25">
      <c r="A826" s="1">
        <v>45027.870833333</v>
      </c>
      <c r="B826" s="1" t="s">
        <v>289</v>
      </c>
      <c r="C826" t="s">
        <v>697</v>
      </c>
    </row>
    <row r="827" spans="1:3" x14ac:dyDescent="0.25">
      <c r="A827" s="1">
        <v>45029.810416667002</v>
      </c>
      <c r="B827" s="1" t="s">
        <v>289</v>
      </c>
      <c r="C827" t="s">
        <v>698</v>
      </c>
    </row>
    <row r="828" spans="1:3" x14ac:dyDescent="0.25">
      <c r="A828" s="1">
        <v>45027.885416666999</v>
      </c>
      <c r="B828" s="1" t="s">
        <v>289</v>
      </c>
      <c r="C828" t="s">
        <v>699</v>
      </c>
    </row>
    <row r="829" spans="1:3" x14ac:dyDescent="0.25">
      <c r="A829" s="1">
        <v>45027.837500000001</v>
      </c>
      <c r="B829" s="1" t="s">
        <v>289</v>
      </c>
      <c r="C829" t="s">
        <v>700</v>
      </c>
    </row>
    <row r="830" spans="1:3" x14ac:dyDescent="0.25">
      <c r="A830" s="1">
        <v>45029.793749999997</v>
      </c>
      <c r="B830" s="1" t="s">
        <v>289</v>
      </c>
      <c r="C830" t="s">
        <v>701</v>
      </c>
    </row>
    <row r="831" spans="1:3" x14ac:dyDescent="0.25">
      <c r="A831" s="1">
        <v>45027.772916667003</v>
      </c>
      <c r="B831" s="1" t="s">
        <v>289</v>
      </c>
      <c r="C831" t="s">
        <v>702</v>
      </c>
    </row>
    <row r="832" spans="1:3" x14ac:dyDescent="0.25">
      <c r="A832" s="1">
        <v>45028.831250000003</v>
      </c>
      <c r="B832" s="1" t="s">
        <v>289</v>
      </c>
      <c r="C832" t="s">
        <v>489</v>
      </c>
    </row>
    <row r="833" spans="1:3" x14ac:dyDescent="0.25">
      <c r="A833" s="1">
        <v>45027.777083333</v>
      </c>
      <c r="B833" s="1" t="s">
        <v>289</v>
      </c>
      <c r="C833" t="s">
        <v>703</v>
      </c>
    </row>
    <row r="834" spans="1:3" x14ac:dyDescent="0.25">
      <c r="A834" s="1">
        <v>45027.71875</v>
      </c>
      <c r="B834" s="1" t="s">
        <v>289</v>
      </c>
      <c r="C834" t="s">
        <v>704</v>
      </c>
    </row>
    <row r="835" spans="1:3" x14ac:dyDescent="0.25">
      <c r="A835" s="1">
        <v>45029.733333333003</v>
      </c>
      <c r="B835" s="1" t="s">
        <v>289</v>
      </c>
      <c r="C835" t="s">
        <v>705</v>
      </c>
    </row>
    <row r="836" spans="1:3" x14ac:dyDescent="0.25">
      <c r="A836" s="1">
        <v>45027.785416667</v>
      </c>
      <c r="B836" s="1" t="s">
        <v>289</v>
      </c>
      <c r="C836" t="s">
        <v>706</v>
      </c>
    </row>
    <row r="837" spans="1:3" x14ac:dyDescent="0.25">
      <c r="A837" s="1">
        <v>45030.372916667002</v>
      </c>
      <c r="B837" s="1" t="s">
        <v>289</v>
      </c>
    </row>
    <row r="838" spans="1:3" x14ac:dyDescent="0.25">
      <c r="A838" s="1">
        <v>45027.895833333001</v>
      </c>
      <c r="B838" s="1" t="s">
        <v>289</v>
      </c>
      <c r="C838" t="s">
        <v>707</v>
      </c>
    </row>
    <row r="839" spans="1:3" x14ac:dyDescent="0.25">
      <c r="A839" s="1">
        <v>45027.841666667002</v>
      </c>
      <c r="B839" s="1" t="s">
        <v>289</v>
      </c>
      <c r="C839" t="s">
        <v>708</v>
      </c>
    </row>
    <row r="840" spans="1:3" x14ac:dyDescent="0.25">
      <c r="A840" s="1">
        <v>45027.714583333</v>
      </c>
      <c r="B840" s="1" t="s">
        <v>289</v>
      </c>
      <c r="C840" t="s">
        <v>709</v>
      </c>
    </row>
    <row r="841" spans="1:3" x14ac:dyDescent="0.25">
      <c r="A841" s="1">
        <v>45029.724999999999</v>
      </c>
      <c r="B841" s="1" t="s">
        <v>289</v>
      </c>
      <c r="C841" t="s">
        <v>414</v>
      </c>
    </row>
    <row r="842" spans="1:3" x14ac:dyDescent="0.25">
      <c r="A842" s="1">
        <v>45028.835416667003</v>
      </c>
      <c r="B842" s="1" t="s">
        <v>289</v>
      </c>
      <c r="C842" t="s">
        <v>710</v>
      </c>
    </row>
    <row r="843" spans="1:3" x14ac:dyDescent="0.25">
      <c r="A843" s="1">
        <v>45027.729166666999</v>
      </c>
      <c r="B843" s="1" t="s">
        <v>289</v>
      </c>
      <c r="C843" t="s">
        <v>711</v>
      </c>
    </row>
    <row r="844" spans="1:3" x14ac:dyDescent="0.25">
      <c r="A844" s="1">
        <v>45030.372916667002</v>
      </c>
      <c r="B844" s="1" t="s">
        <v>289</v>
      </c>
    </row>
    <row r="845" spans="1:3" x14ac:dyDescent="0.25">
      <c r="A845" s="1">
        <v>45027.895833333001</v>
      </c>
      <c r="B845" s="1" t="s">
        <v>289</v>
      </c>
      <c r="C845" t="s">
        <v>712</v>
      </c>
    </row>
    <row r="846" spans="1:3" x14ac:dyDescent="0.25">
      <c r="A846" s="1">
        <v>45027.793749999997</v>
      </c>
      <c r="B846" s="1" t="s">
        <v>289</v>
      </c>
      <c r="C846" t="s">
        <v>713</v>
      </c>
    </row>
    <row r="847" spans="1:3" x14ac:dyDescent="0.25">
      <c r="A847" s="1">
        <v>45027.893750000003</v>
      </c>
      <c r="B847" s="1" t="s">
        <v>289</v>
      </c>
      <c r="C847" t="s">
        <v>714</v>
      </c>
    </row>
    <row r="848" spans="1:3" x14ac:dyDescent="0.25">
      <c r="A848" s="1">
        <v>45027.712500000001</v>
      </c>
      <c r="B848" s="1" t="s">
        <v>289</v>
      </c>
      <c r="C848" t="s">
        <v>715</v>
      </c>
    </row>
    <row r="849" spans="1:3" x14ac:dyDescent="0.25">
      <c r="A849" s="1">
        <v>45029.787499999999</v>
      </c>
      <c r="B849" s="1" t="s">
        <v>289</v>
      </c>
      <c r="C849" t="s">
        <v>716</v>
      </c>
    </row>
    <row r="850" spans="1:3" x14ac:dyDescent="0.25">
      <c r="A850" s="1">
        <v>45027.824999999997</v>
      </c>
      <c r="B850" s="1" t="s">
        <v>289</v>
      </c>
      <c r="C850" t="s">
        <v>717</v>
      </c>
    </row>
    <row r="851" spans="1:3" x14ac:dyDescent="0.25">
      <c r="A851" s="1">
        <v>45028.820833332997</v>
      </c>
      <c r="B851" s="1" t="s">
        <v>289</v>
      </c>
      <c r="C851" t="s">
        <v>718</v>
      </c>
    </row>
    <row r="852" spans="1:3" x14ac:dyDescent="0.25">
      <c r="A852" s="1">
        <v>45029.71875</v>
      </c>
      <c r="B852" s="1" t="s">
        <v>289</v>
      </c>
      <c r="C852" t="s">
        <v>684</v>
      </c>
    </row>
    <row r="853" spans="1:3" x14ac:dyDescent="0.25">
      <c r="A853" s="1">
        <v>45028.85</v>
      </c>
      <c r="B853" s="1" t="s">
        <v>289</v>
      </c>
      <c r="C853" t="s">
        <v>98</v>
      </c>
    </row>
    <row r="854" spans="1:3" x14ac:dyDescent="0.25">
      <c r="A854" s="1">
        <v>45028.84375</v>
      </c>
      <c r="B854" s="1" t="s">
        <v>289</v>
      </c>
      <c r="C854" t="s">
        <v>719</v>
      </c>
    </row>
    <row r="855" spans="1:3" x14ac:dyDescent="0.25">
      <c r="A855" s="1">
        <v>45028.783333332998</v>
      </c>
      <c r="B855" s="1" t="s">
        <v>289</v>
      </c>
      <c r="C855" t="s">
        <v>720</v>
      </c>
    </row>
    <row r="856" spans="1:3" x14ac:dyDescent="0.25">
      <c r="A856" s="1">
        <v>45027.839583333</v>
      </c>
      <c r="B856" s="1" t="s">
        <v>289</v>
      </c>
      <c r="C856" t="s">
        <v>721</v>
      </c>
    </row>
    <row r="857" spans="1:3" x14ac:dyDescent="0.25">
      <c r="A857" s="1">
        <v>45027.872916667002</v>
      </c>
      <c r="B857" s="1" t="s">
        <v>289</v>
      </c>
      <c r="C857" t="s">
        <v>722</v>
      </c>
    </row>
    <row r="858" spans="1:3" x14ac:dyDescent="0.25">
      <c r="A858" s="1">
        <v>45028.858333333003</v>
      </c>
      <c r="B858" s="1" t="s">
        <v>289</v>
      </c>
      <c r="C858" t="s">
        <v>723</v>
      </c>
    </row>
    <row r="859" spans="1:3" x14ac:dyDescent="0.25">
      <c r="A859" s="1">
        <v>45029.739583333001</v>
      </c>
      <c r="B859" s="1" t="s">
        <v>289</v>
      </c>
      <c r="C859" t="s">
        <v>304</v>
      </c>
    </row>
    <row r="860" spans="1:3" x14ac:dyDescent="0.25">
      <c r="A860" s="1">
        <v>45027.747916667002</v>
      </c>
      <c r="B860" s="1" t="s">
        <v>289</v>
      </c>
      <c r="C860" t="s">
        <v>724</v>
      </c>
    </row>
    <row r="861" spans="1:3" x14ac:dyDescent="0.25">
      <c r="A861" s="1">
        <v>45029.785416667</v>
      </c>
      <c r="B861" s="1" t="s">
        <v>289</v>
      </c>
      <c r="C861" t="s">
        <v>97</v>
      </c>
    </row>
    <row r="862" spans="1:3" x14ac:dyDescent="0.25">
      <c r="A862" s="1">
        <v>45029.745833333</v>
      </c>
      <c r="B862" s="1" t="s">
        <v>289</v>
      </c>
      <c r="C862" t="s">
        <v>725</v>
      </c>
    </row>
    <row r="863" spans="1:3" x14ac:dyDescent="0.25">
      <c r="A863" s="1">
        <v>45030.372916667002</v>
      </c>
      <c r="B863" s="1" t="s">
        <v>289</v>
      </c>
    </row>
    <row r="864" spans="1:3" x14ac:dyDescent="0.25">
      <c r="A864" s="1">
        <v>45029.71875</v>
      </c>
      <c r="B864" s="1" t="s">
        <v>289</v>
      </c>
      <c r="C864" t="s">
        <v>726</v>
      </c>
    </row>
    <row r="865" spans="1:3" x14ac:dyDescent="0.25">
      <c r="A865" s="1">
        <v>45029.793749999997</v>
      </c>
      <c r="B865" s="1" t="s">
        <v>289</v>
      </c>
      <c r="C865" t="s">
        <v>727</v>
      </c>
    </row>
    <row r="866" spans="1:3" x14ac:dyDescent="0.25">
      <c r="A866" s="1">
        <v>45028.708333333001</v>
      </c>
      <c r="B866" s="1" t="s">
        <v>289</v>
      </c>
      <c r="C866" t="s">
        <v>728</v>
      </c>
    </row>
    <row r="867" spans="1:3" x14ac:dyDescent="0.25">
      <c r="A867" s="1">
        <v>45029.731249999997</v>
      </c>
      <c r="B867" s="1" t="s">
        <v>289</v>
      </c>
      <c r="C867" t="s">
        <v>383</v>
      </c>
    </row>
    <row r="868" spans="1:3" x14ac:dyDescent="0.25">
      <c r="A868" s="1">
        <v>45029.760416666999</v>
      </c>
      <c r="B868" s="1" t="s">
        <v>289</v>
      </c>
      <c r="C868" t="s">
        <v>729</v>
      </c>
    </row>
    <row r="869" spans="1:3" x14ac:dyDescent="0.25">
      <c r="A869" s="1">
        <v>45029.791666666999</v>
      </c>
      <c r="B869" s="1" t="s">
        <v>289</v>
      </c>
    </row>
    <row r="870" spans="1:3" x14ac:dyDescent="0.25">
      <c r="A870" s="1">
        <v>45029.85</v>
      </c>
      <c r="B870" s="1" t="s">
        <v>289</v>
      </c>
    </row>
  </sheetData>
  <sortState xmlns:xlrd2="http://schemas.microsoft.com/office/spreadsheetml/2017/richdata2" ref="B2:B870">
    <sortCondition ref="B2:B8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DD7E-B17A-4BE5-9C4E-FE331C525989}">
  <dimension ref="A1:C829"/>
  <sheetViews>
    <sheetView topLeftCell="A769" workbookViewId="0">
      <selection activeCell="C31" sqref="C31"/>
    </sheetView>
  </sheetViews>
  <sheetFormatPr defaultColWidth="8.85546875" defaultRowHeight="15" x14ac:dyDescent="0.25"/>
  <cols>
    <col min="1" max="2" width="23.42578125" bestFit="1" customWidth="1"/>
    <col min="3" max="3" width="3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45392.833333333001</v>
      </c>
      <c r="B2" s="1">
        <v>45391.708333333001</v>
      </c>
      <c r="C2" t="s">
        <v>587</v>
      </c>
    </row>
    <row r="3" spans="1:3" x14ac:dyDescent="0.25">
      <c r="A3" s="1">
        <v>45391.839583333</v>
      </c>
      <c r="B3" s="1">
        <v>45391.708333333001</v>
      </c>
      <c r="C3" t="s">
        <v>262</v>
      </c>
    </row>
    <row r="4" spans="1:3" x14ac:dyDescent="0.25">
      <c r="A4" s="1">
        <v>45391.889583333003</v>
      </c>
      <c r="B4" s="1">
        <v>45391.708333333001</v>
      </c>
      <c r="C4" t="s">
        <v>471</v>
      </c>
    </row>
    <row r="5" spans="1:3" x14ac:dyDescent="0.25">
      <c r="A5" s="1">
        <v>45392.741666667003</v>
      </c>
      <c r="B5" s="1">
        <v>45391.708333333001</v>
      </c>
      <c r="C5" t="s">
        <v>258</v>
      </c>
    </row>
    <row r="6" spans="1:3" x14ac:dyDescent="0.25">
      <c r="A6" s="1">
        <v>45392.764583333003</v>
      </c>
      <c r="B6" s="1">
        <v>45391.708333333001</v>
      </c>
      <c r="C6" t="s">
        <v>330</v>
      </c>
    </row>
    <row r="7" spans="1:3" x14ac:dyDescent="0.25">
      <c r="A7" s="1">
        <v>45391.85</v>
      </c>
      <c r="B7" s="1">
        <v>45391.708333333001</v>
      </c>
      <c r="C7" t="s">
        <v>23</v>
      </c>
    </row>
    <row r="8" spans="1:3" x14ac:dyDescent="0.25">
      <c r="A8" s="1">
        <v>45392.766666666997</v>
      </c>
      <c r="B8" s="1">
        <v>45391.708333333001</v>
      </c>
      <c r="C8" t="s">
        <v>445</v>
      </c>
    </row>
    <row r="9" spans="1:3" x14ac:dyDescent="0.25">
      <c r="A9" s="1">
        <v>45391.791666666999</v>
      </c>
      <c r="B9" s="1">
        <v>45391.708333333001</v>
      </c>
      <c r="C9" t="s">
        <v>693</v>
      </c>
    </row>
    <row r="10" spans="1:3" x14ac:dyDescent="0.25">
      <c r="A10" s="1">
        <v>45391.833333333001</v>
      </c>
      <c r="B10" s="1">
        <v>45391.708333333001</v>
      </c>
      <c r="C10" t="s">
        <v>13</v>
      </c>
    </row>
    <row r="11" spans="1:3" x14ac:dyDescent="0.25">
      <c r="A11" s="1">
        <v>45391.71875</v>
      </c>
      <c r="B11" s="1">
        <v>45391.708333333001</v>
      </c>
      <c r="C11" t="s">
        <v>370</v>
      </c>
    </row>
    <row r="12" spans="1:3" x14ac:dyDescent="0.25">
      <c r="A12" s="1">
        <v>45391.881249999999</v>
      </c>
      <c r="B12" s="1">
        <v>45391.708333333001</v>
      </c>
      <c r="C12" t="s">
        <v>331</v>
      </c>
    </row>
    <row r="13" spans="1:3" x14ac:dyDescent="0.25">
      <c r="A13" s="1">
        <v>45391.78125</v>
      </c>
      <c r="B13" s="1">
        <v>45391.708333333001</v>
      </c>
      <c r="C13" t="s">
        <v>248</v>
      </c>
    </row>
    <row r="14" spans="1:3" x14ac:dyDescent="0.25">
      <c r="A14" s="1">
        <v>45391.791666666999</v>
      </c>
      <c r="B14" s="1">
        <v>45391.708333333001</v>
      </c>
      <c r="C14" t="s">
        <v>616</v>
      </c>
    </row>
    <row r="15" spans="1:3" x14ac:dyDescent="0.25">
      <c r="A15" s="1">
        <v>45393.795833333003</v>
      </c>
      <c r="B15" s="1">
        <v>45391.708333333001</v>
      </c>
    </row>
    <row r="16" spans="1:3" x14ac:dyDescent="0.25">
      <c r="A16" s="1">
        <v>45391.837500000001</v>
      </c>
      <c r="B16" s="1">
        <v>45391.708333333001</v>
      </c>
      <c r="C16" t="s">
        <v>491</v>
      </c>
    </row>
    <row r="17" spans="1:3" x14ac:dyDescent="0.25">
      <c r="A17" s="1">
        <v>45391.716666667002</v>
      </c>
      <c r="B17" s="1">
        <v>45391.708333333001</v>
      </c>
      <c r="C17" t="s">
        <v>365</v>
      </c>
    </row>
    <row r="18" spans="1:3" x14ac:dyDescent="0.25">
      <c r="A18" s="1">
        <v>45392.777083333</v>
      </c>
      <c r="B18" s="1">
        <v>45391.710416667003</v>
      </c>
      <c r="C18" t="s">
        <v>239</v>
      </c>
    </row>
    <row r="19" spans="1:3" x14ac:dyDescent="0.25">
      <c r="A19" s="1">
        <v>45392.739583333001</v>
      </c>
      <c r="B19" s="1">
        <v>45391.710416667003</v>
      </c>
      <c r="C19" t="s">
        <v>277</v>
      </c>
    </row>
    <row r="20" spans="1:3" x14ac:dyDescent="0.25">
      <c r="A20" s="1">
        <v>45391.741666667003</v>
      </c>
      <c r="B20" s="1">
        <v>45391.710416667003</v>
      </c>
      <c r="C20" t="s">
        <v>352</v>
      </c>
    </row>
    <row r="21" spans="1:3" x14ac:dyDescent="0.25">
      <c r="A21" s="1">
        <v>45392.814583332998</v>
      </c>
      <c r="B21" s="1">
        <v>45391.710416667003</v>
      </c>
      <c r="C21" t="s">
        <v>291</v>
      </c>
    </row>
    <row r="22" spans="1:3" x14ac:dyDescent="0.25">
      <c r="A22" s="1">
        <v>45392.795833333003</v>
      </c>
      <c r="B22" s="1">
        <v>45391.710416667003</v>
      </c>
      <c r="C22" t="s">
        <v>321</v>
      </c>
    </row>
    <row r="23" spans="1:3" x14ac:dyDescent="0.25">
      <c r="A23" s="1">
        <v>45391.8</v>
      </c>
      <c r="B23" s="1">
        <v>45391.710416667003</v>
      </c>
      <c r="C23" t="s">
        <v>105</v>
      </c>
    </row>
    <row r="24" spans="1:3" x14ac:dyDescent="0.25">
      <c r="A24" s="1">
        <v>45391.775000000001</v>
      </c>
      <c r="B24" s="1">
        <v>45391.710416667003</v>
      </c>
      <c r="C24" t="s">
        <v>369</v>
      </c>
    </row>
    <row r="25" spans="1:3" x14ac:dyDescent="0.25">
      <c r="A25" s="1">
        <v>45392.775000000001</v>
      </c>
      <c r="B25" s="1">
        <v>45391.710416667003</v>
      </c>
      <c r="C25" t="s">
        <v>514</v>
      </c>
    </row>
    <row r="26" spans="1:3" x14ac:dyDescent="0.25">
      <c r="A26" s="1">
        <v>45392.733333333003</v>
      </c>
      <c r="B26" s="1">
        <v>45391.710416667003</v>
      </c>
      <c r="C26" t="s">
        <v>45</v>
      </c>
    </row>
    <row r="27" spans="1:3" x14ac:dyDescent="0.25">
      <c r="A27" s="1">
        <v>45391.891666666997</v>
      </c>
      <c r="B27" s="1">
        <v>45391.710416667003</v>
      </c>
      <c r="C27" t="s">
        <v>730</v>
      </c>
    </row>
    <row r="28" spans="1:3" x14ac:dyDescent="0.25">
      <c r="A28" s="1">
        <v>45393.766666666997</v>
      </c>
      <c r="B28" s="1">
        <v>45391.710416667003</v>
      </c>
      <c r="C28" t="s">
        <v>58</v>
      </c>
    </row>
    <row r="29" spans="1:3" x14ac:dyDescent="0.25">
      <c r="A29" s="1">
        <v>45392.802083333001</v>
      </c>
      <c r="B29" s="1">
        <v>45391.710416667003</v>
      </c>
      <c r="C29" t="s">
        <v>349</v>
      </c>
    </row>
    <row r="30" spans="1:3" x14ac:dyDescent="0.25">
      <c r="A30" s="1">
        <v>45391.760416666999</v>
      </c>
      <c r="B30" s="1">
        <v>45391.710416667003</v>
      </c>
      <c r="C30" t="s">
        <v>119</v>
      </c>
    </row>
    <row r="31" spans="1:3" x14ac:dyDescent="0.25">
      <c r="A31" s="1" t="s">
        <v>289</v>
      </c>
      <c r="B31" s="1">
        <v>45391.710416667003</v>
      </c>
      <c r="C31" t="s">
        <v>731</v>
      </c>
    </row>
    <row r="32" spans="1:3" x14ac:dyDescent="0.25">
      <c r="A32" s="1">
        <v>45391.747916667002</v>
      </c>
      <c r="B32" s="1">
        <v>45391.710416667003</v>
      </c>
      <c r="C32" t="s">
        <v>411</v>
      </c>
    </row>
    <row r="33" spans="1:3" x14ac:dyDescent="0.25">
      <c r="A33" s="1">
        <v>45392.789583332997</v>
      </c>
      <c r="B33" s="1">
        <v>45391.710416667003</v>
      </c>
      <c r="C33" t="s">
        <v>607</v>
      </c>
    </row>
    <row r="34" spans="1:3" x14ac:dyDescent="0.25">
      <c r="A34" s="1">
        <v>45391.724999999999</v>
      </c>
      <c r="B34" s="1">
        <v>45391.710416667003</v>
      </c>
      <c r="C34" t="s">
        <v>623</v>
      </c>
    </row>
    <row r="35" spans="1:3" x14ac:dyDescent="0.25">
      <c r="A35" s="1">
        <v>45391.8125</v>
      </c>
      <c r="B35" s="1">
        <v>45391.710416667003</v>
      </c>
      <c r="C35" t="s">
        <v>519</v>
      </c>
    </row>
    <row r="36" spans="1:3" x14ac:dyDescent="0.25">
      <c r="A36" s="1">
        <v>45391.893750000003</v>
      </c>
      <c r="B36" s="1">
        <v>45391.710416667003</v>
      </c>
      <c r="C36" t="s">
        <v>385</v>
      </c>
    </row>
    <row r="37" spans="1:3" x14ac:dyDescent="0.25">
      <c r="A37" s="1">
        <v>45392.75</v>
      </c>
      <c r="B37" s="1">
        <v>45391.710416667003</v>
      </c>
      <c r="C37" t="s">
        <v>618</v>
      </c>
    </row>
    <row r="38" spans="1:3" x14ac:dyDescent="0.25">
      <c r="A38" s="1">
        <v>45392.787499999999</v>
      </c>
      <c r="B38" s="1">
        <v>45391.710416667003</v>
      </c>
      <c r="C38" t="s">
        <v>559</v>
      </c>
    </row>
    <row r="39" spans="1:3" x14ac:dyDescent="0.25">
      <c r="A39" s="1">
        <v>45392.745833333</v>
      </c>
      <c r="B39" s="1">
        <v>45391.710416667003</v>
      </c>
      <c r="C39" t="s">
        <v>131</v>
      </c>
    </row>
    <row r="40" spans="1:3" x14ac:dyDescent="0.25">
      <c r="A40" s="1">
        <v>45392.785416667</v>
      </c>
      <c r="B40" s="1">
        <v>45391.712500000001</v>
      </c>
      <c r="C40" t="s">
        <v>65</v>
      </c>
    </row>
    <row r="41" spans="1:3" x14ac:dyDescent="0.25">
      <c r="A41" s="1">
        <v>45391.852083332997</v>
      </c>
      <c r="B41" s="1">
        <v>45391.712500000001</v>
      </c>
      <c r="C41" t="s">
        <v>732</v>
      </c>
    </row>
    <row r="42" spans="1:3" x14ac:dyDescent="0.25">
      <c r="A42" s="1">
        <v>45391.785416667</v>
      </c>
      <c r="B42" s="1">
        <v>45391.712500000001</v>
      </c>
      <c r="C42" t="s">
        <v>530</v>
      </c>
    </row>
    <row r="43" spans="1:3" x14ac:dyDescent="0.25">
      <c r="A43" s="1">
        <v>45392.866666667003</v>
      </c>
      <c r="B43" s="1">
        <v>45391.712500000001</v>
      </c>
      <c r="C43" t="s">
        <v>535</v>
      </c>
    </row>
    <row r="44" spans="1:3" x14ac:dyDescent="0.25">
      <c r="A44" s="1">
        <v>45391.879166667</v>
      </c>
      <c r="B44" s="1">
        <v>45391.712500000001</v>
      </c>
      <c r="C44" t="s">
        <v>419</v>
      </c>
    </row>
    <row r="45" spans="1:3" x14ac:dyDescent="0.25">
      <c r="A45" s="1">
        <v>45391.814583332998</v>
      </c>
      <c r="B45" s="1">
        <v>45391.712500000001</v>
      </c>
      <c r="C45" t="s">
        <v>340</v>
      </c>
    </row>
    <row r="46" spans="1:3" x14ac:dyDescent="0.25">
      <c r="A46" s="1">
        <v>45391.764583333003</v>
      </c>
      <c r="B46" s="1">
        <v>45391.712500000001</v>
      </c>
      <c r="C46" t="s">
        <v>567</v>
      </c>
    </row>
    <row r="47" spans="1:3" x14ac:dyDescent="0.25">
      <c r="A47" s="1">
        <v>45392.85</v>
      </c>
      <c r="B47" s="1">
        <v>45391.712500000001</v>
      </c>
      <c r="C47" t="s">
        <v>661</v>
      </c>
    </row>
    <row r="48" spans="1:3" x14ac:dyDescent="0.25">
      <c r="A48" s="1">
        <v>45391.797916666997</v>
      </c>
      <c r="B48" s="1">
        <v>45391.712500000001</v>
      </c>
      <c r="C48" t="s">
        <v>216</v>
      </c>
    </row>
    <row r="49" spans="1:3" x14ac:dyDescent="0.25">
      <c r="A49" s="1">
        <v>45392.71875</v>
      </c>
      <c r="B49" s="1">
        <v>45391.712500000001</v>
      </c>
      <c r="C49" t="s">
        <v>312</v>
      </c>
    </row>
    <row r="50" spans="1:3" x14ac:dyDescent="0.25">
      <c r="A50" s="1">
        <v>45391.724999999999</v>
      </c>
      <c r="B50" s="1">
        <v>45391.712500000001</v>
      </c>
      <c r="C50" t="s">
        <v>227</v>
      </c>
    </row>
    <row r="51" spans="1:3" x14ac:dyDescent="0.25">
      <c r="A51" s="1">
        <v>45391.737500000003</v>
      </c>
      <c r="B51" s="1">
        <v>45391.712500000001</v>
      </c>
      <c r="C51" t="s">
        <v>439</v>
      </c>
    </row>
    <row r="52" spans="1:3" x14ac:dyDescent="0.25">
      <c r="A52" s="1">
        <v>45392.724999999999</v>
      </c>
      <c r="B52" s="1">
        <v>45391.712500000001</v>
      </c>
      <c r="C52" t="s">
        <v>374</v>
      </c>
    </row>
    <row r="53" spans="1:3" x14ac:dyDescent="0.25">
      <c r="A53" s="1">
        <v>45391.90625</v>
      </c>
      <c r="B53" s="1">
        <v>45391.712500000001</v>
      </c>
      <c r="C53" t="s">
        <v>6</v>
      </c>
    </row>
    <row r="54" spans="1:3" x14ac:dyDescent="0.25">
      <c r="A54" s="1">
        <v>45391.741666667003</v>
      </c>
      <c r="B54" s="1">
        <v>45391.712500000001</v>
      </c>
      <c r="C54" t="s">
        <v>360</v>
      </c>
    </row>
    <row r="55" spans="1:3" x14ac:dyDescent="0.25">
      <c r="A55" s="1">
        <v>45391.708333333001</v>
      </c>
      <c r="B55" s="1">
        <v>45391.712500000001</v>
      </c>
      <c r="C55" t="s">
        <v>342</v>
      </c>
    </row>
    <row r="56" spans="1:3" x14ac:dyDescent="0.25">
      <c r="A56" s="1">
        <v>45392.727083332997</v>
      </c>
      <c r="B56" s="1">
        <v>45391.712500000001</v>
      </c>
      <c r="C56" t="s">
        <v>260</v>
      </c>
    </row>
    <row r="57" spans="1:3" x14ac:dyDescent="0.25">
      <c r="A57" s="1">
        <v>45391.789583332997</v>
      </c>
      <c r="B57" s="1">
        <v>45391.712500000001</v>
      </c>
      <c r="C57" t="s">
        <v>733</v>
      </c>
    </row>
    <row r="58" spans="1:3" x14ac:dyDescent="0.25">
      <c r="A58" s="1">
        <v>45391.75</v>
      </c>
      <c r="B58" s="1">
        <v>45391.712500000001</v>
      </c>
      <c r="C58" t="s">
        <v>497</v>
      </c>
    </row>
    <row r="59" spans="1:3" x14ac:dyDescent="0.25">
      <c r="A59" s="1">
        <v>45391.902083333</v>
      </c>
      <c r="B59" s="1">
        <v>45391.712500000001</v>
      </c>
      <c r="C59" t="s">
        <v>80</v>
      </c>
    </row>
    <row r="60" spans="1:3" x14ac:dyDescent="0.25">
      <c r="A60" s="1">
        <v>45392.731249999997</v>
      </c>
      <c r="B60" s="1">
        <v>45391.712500000001</v>
      </c>
      <c r="C60" t="s">
        <v>285</v>
      </c>
    </row>
    <row r="61" spans="1:3" x14ac:dyDescent="0.25">
      <c r="A61" s="1" t="s">
        <v>289</v>
      </c>
      <c r="B61" s="1">
        <v>45391.712500000001</v>
      </c>
    </row>
    <row r="62" spans="1:3" x14ac:dyDescent="0.25">
      <c r="A62" s="1">
        <v>45391.889583333003</v>
      </c>
      <c r="B62" s="1">
        <v>45391.714583333</v>
      </c>
      <c r="C62" t="s">
        <v>715</v>
      </c>
    </row>
    <row r="63" spans="1:3" x14ac:dyDescent="0.25">
      <c r="A63" s="1">
        <v>45392.779166667002</v>
      </c>
      <c r="B63" s="1">
        <v>45391.714583333</v>
      </c>
      <c r="C63" t="s">
        <v>161</v>
      </c>
    </row>
    <row r="64" spans="1:3" x14ac:dyDescent="0.25">
      <c r="A64" s="1">
        <v>45392.764583333003</v>
      </c>
      <c r="B64" s="1">
        <v>45391.714583333</v>
      </c>
      <c r="C64" t="s">
        <v>101</v>
      </c>
    </row>
    <row r="65" spans="1:3" x14ac:dyDescent="0.25">
      <c r="A65" s="1">
        <v>45391.768750000003</v>
      </c>
      <c r="B65" s="1">
        <v>45391.714583333</v>
      </c>
      <c r="C65" t="s">
        <v>353</v>
      </c>
    </row>
    <row r="66" spans="1:3" x14ac:dyDescent="0.25">
      <c r="A66" s="1">
        <v>45391.85</v>
      </c>
      <c r="B66" s="1">
        <v>45391.714583333</v>
      </c>
      <c r="C66" t="s">
        <v>627</v>
      </c>
    </row>
    <row r="67" spans="1:3" x14ac:dyDescent="0.25">
      <c r="A67" s="1">
        <v>45392.847916667</v>
      </c>
      <c r="B67" s="1">
        <v>45391.714583333</v>
      </c>
      <c r="C67" t="s">
        <v>311</v>
      </c>
    </row>
    <row r="68" spans="1:3" x14ac:dyDescent="0.25">
      <c r="A68" s="1">
        <v>45391.735416666997</v>
      </c>
      <c r="B68" s="1">
        <v>45391.714583333</v>
      </c>
      <c r="C68" t="s">
        <v>244</v>
      </c>
    </row>
    <row r="69" spans="1:3" x14ac:dyDescent="0.25">
      <c r="A69" s="1">
        <v>45391.722916667</v>
      </c>
      <c r="B69" s="1">
        <v>45391.714583333</v>
      </c>
      <c r="C69" t="s">
        <v>35</v>
      </c>
    </row>
    <row r="70" spans="1:3" x14ac:dyDescent="0.25">
      <c r="A70" s="1" t="s">
        <v>289</v>
      </c>
      <c r="B70" s="1">
        <v>45391.714583333</v>
      </c>
    </row>
    <row r="71" spans="1:3" x14ac:dyDescent="0.25">
      <c r="A71" s="1">
        <v>45393.816666667</v>
      </c>
      <c r="B71" s="1">
        <v>45391.714583333</v>
      </c>
      <c r="C71" t="s">
        <v>351</v>
      </c>
    </row>
    <row r="72" spans="1:3" x14ac:dyDescent="0.25">
      <c r="A72" s="1">
        <v>45391.9</v>
      </c>
      <c r="B72" s="1">
        <v>45391.714583333</v>
      </c>
      <c r="C72" t="s">
        <v>734</v>
      </c>
    </row>
    <row r="73" spans="1:3" x14ac:dyDescent="0.25">
      <c r="A73" s="1" t="s">
        <v>289</v>
      </c>
      <c r="B73" s="1">
        <v>45391.714583333</v>
      </c>
    </row>
    <row r="74" spans="1:3" x14ac:dyDescent="0.25">
      <c r="A74" s="1">
        <v>45391.760416666999</v>
      </c>
      <c r="B74" s="1">
        <v>45391.714583333</v>
      </c>
      <c r="C74" t="s">
        <v>72</v>
      </c>
    </row>
    <row r="75" spans="1:3" x14ac:dyDescent="0.25">
      <c r="A75" s="1">
        <v>45391.879166667</v>
      </c>
      <c r="B75" s="1">
        <v>45391.714583333</v>
      </c>
      <c r="C75" t="s">
        <v>326</v>
      </c>
    </row>
    <row r="76" spans="1:3" x14ac:dyDescent="0.25">
      <c r="A76" s="1">
        <v>45391.910416667</v>
      </c>
      <c r="B76" s="1">
        <v>45391.716666667002</v>
      </c>
      <c r="C76" t="s">
        <v>565</v>
      </c>
    </row>
    <row r="77" spans="1:3" x14ac:dyDescent="0.25">
      <c r="A77" s="1">
        <v>45392.816666667</v>
      </c>
      <c r="B77" s="1">
        <v>45391.716666667002</v>
      </c>
      <c r="C77" t="s">
        <v>487</v>
      </c>
    </row>
    <row r="78" spans="1:3" x14ac:dyDescent="0.25">
      <c r="A78" s="1">
        <v>45392.731249999997</v>
      </c>
      <c r="B78" s="1">
        <v>45391.716666667002</v>
      </c>
      <c r="C78" t="s">
        <v>735</v>
      </c>
    </row>
    <row r="79" spans="1:3" x14ac:dyDescent="0.25">
      <c r="A79" s="1">
        <v>45393.775000000001</v>
      </c>
      <c r="B79" s="1">
        <v>45391.716666667002</v>
      </c>
      <c r="C79" t="s">
        <v>736</v>
      </c>
    </row>
    <row r="80" spans="1:3" x14ac:dyDescent="0.25">
      <c r="A80" s="1">
        <v>45392.735416666997</v>
      </c>
      <c r="B80" s="1">
        <v>45391.716666667002</v>
      </c>
      <c r="C80" t="s">
        <v>397</v>
      </c>
    </row>
    <row r="81" spans="1:3" x14ac:dyDescent="0.25">
      <c r="A81" s="1">
        <v>45392.793749999997</v>
      </c>
      <c r="B81" s="1">
        <v>45391.716666667002</v>
      </c>
      <c r="C81" t="s">
        <v>366</v>
      </c>
    </row>
    <row r="82" spans="1:3" x14ac:dyDescent="0.25">
      <c r="A82" s="1">
        <v>45391.829166666997</v>
      </c>
      <c r="B82" s="1">
        <v>45391.716666667002</v>
      </c>
      <c r="C82" t="s">
        <v>602</v>
      </c>
    </row>
    <row r="83" spans="1:3" x14ac:dyDescent="0.25">
      <c r="A83" s="1">
        <v>45392.729166666999</v>
      </c>
      <c r="B83" s="1">
        <v>45391.716666667002</v>
      </c>
      <c r="C83" t="s">
        <v>737</v>
      </c>
    </row>
    <row r="84" spans="1:3" x14ac:dyDescent="0.25">
      <c r="A84" s="1">
        <v>45391.854166666999</v>
      </c>
      <c r="B84" s="1">
        <v>45391.716666667002</v>
      </c>
      <c r="C84" t="s">
        <v>180</v>
      </c>
    </row>
    <row r="85" spans="1:3" x14ac:dyDescent="0.25">
      <c r="A85" s="1">
        <v>45391.818749999999</v>
      </c>
      <c r="B85" s="1">
        <v>45391.716666667002</v>
      </c>
      <c r="C85" t="s">
        <v>75</v>
      </c>
    </row>
    <row r="86" spans="1:3" x14ac:dyDescent="0.25">
      <c r="A86" s="1">
        <v>45391.716666667002</v>
      </c>
      <c r="B86" s="1">
        <v>45391.716666667002</v>
      </c>
      <c r="C86" t="s">
        <v>721</v>
      </c>
    </row>
    <row r="87" spans="1:3" x14ac:dyDescent="0.25">
      <c r="A87" s="1">
        <v>45391.866666667003</v>
      </c>
      <c r="B87" s="1">
        <v>45391.716666667002</v>
      </c>
      <c r="C87" t="s">
        <v>92</v>
      </c>
    </row>
    <row r="88" spans="1:3" x14ac:dyDescent="0.25">
      <c r="A88" s="1">
        <v>45391.71875</v>
      </c>
      <c r="B88" s="1">
        <v>45391.716666667002</v>
      </c>
      <c r="C88" t="s">
        <v>450</v>
      </c>
    </row>
    <row r="89" spans="1:3" x14ac:dyDescent="0.25">
      <c r="A89" s="1">
        <v>45392.714583333</v>
      </c>
      <c r="B89" s="1">
        <v>45391.716666667002</v>
      </c>
      <c r="C89" t="s">
        <v>281</v>
      </c>
    </row>
    <row r="90" spans="1:3" x14ac:dyDescent="0.25">
      <c r="A90" s="1">
        <v>45392.764583333003</v>
      </c>
      <c r="B90" s="1">
        <v>45391.716666667002</v>
      </c>
      <c r="C90" t="s">
        <v>130</v>
      </c>
    </row>
    <row r="91" spans="1:3" x14ac:dyDescent="0.25">
      <c r="A91" s="1">
        <v>45391.720833332998</v>
      </c>
      <c r="B91" s="1">
        <v>45391.716666667002</v>
      </c>
      <c r="C91" t="s">
        <v>571</v>
      </c>
    </row>
    <row r="92" spans="1:3" x14ac:dyDescent="0.25">
      <c r="A92" s="1">
        <v>45391.818749999999</v>
      </c>
      <c r="B92" s="1">
        <v>45391.71875</v>
      </c>
      <c r="C92" t="s">
        <v>179</v>
      </c>
    </row>
    <row r="93" spans="1:3" x14ac:dyDescent="0.25">
      <c r="A93" s="1">
        <v>45391.822916666999</v>
      </c>
      <c r="B93" s="1">
        <v>45391.71875</v>
      </c>
      <c r="C93" t="s">
        <v>77</v>
      </c>
    </row>
    <row r="94" spans="1:3" x14ac:dyDescent="0.25">
      <c r="A94" s="1">
        <v>45392.835416667003</v>
      </c>
      <c r="B94" s="1">
        <v>45391.71875</v>
      </c>
      <c r="C94" t="s">
        <v>350</v>
      </c>
    </row>
    <row r="95" spans="1:3" x14ac:dyDescent="0.25">
      <c r="A95" s="1">
        <v>45392.800000000003</v>
      </c>
      <c r="B95" s="1">
        <v>45391.71875</v>
      </c>
      <c r="C95" t="s">
        <v>53</v>
      </c>
    </row>
    <row r="96" spans="1:3" x14ac:dyDescent="0.25">
      <c r="A96" s="1">
        <v>45392.766666666997</v>
      </c>
      <c r="B96" s="1">
        <v>45391.71875</v>
      </c>
      <c r="C96" t="s">
        <v>73</v>
      </c>
    </row>
    <row r="97" spans="1:3" x14ac:dyDescent="0.25">
      <c r="A97" s="1">
        <v>45392.814583332998</v>
      </c>
      <c r="B97" s="1">
        <v>45391.71875</v>
      </c>
      <c r="C97" t="s">
        <v>499</v>
      </c>
    </row>
    <row r="98" spans="1:3" x14ac:dyDescent="0.25">
      <c r="A98" s="1">
        <v>45391.8125</v>
      </c>
      <c r="B98" s="1">
        <v>45391.71875</v>
      </c>
      <c r="C98" t="s">
        <v>495</v>
      </c>
    </row>
    <row r="99" spans="1:3" x14ac:dyDescent="0.25">
      <c r="A99" s="1">
        <v>45392.729166666999</v>
      </c>
      <c r="B99" s="1">
        <v>45391.71875</v>
      </c>
      <c r="C99" t="s">
        <v>738</v>
      </c>
    </row>
    <row r="100" spans="1:3" x14ac:dyDescent="0.25">
      <c r="A100" s="1">
        <v>45391.895833333001</v>
      </c>
      <c r="B100" s="1">
        <v>45391.71875</v>
      </c>
      <c r="C100" t="s">
        <v>301</v>
      </c>
    </row>
    <row r="101" spans="1:3" x14ac:dyDescent="0.25">
      <c r="A101" s="1">
        <v>45392.791666666999</v>
      </c>
      <c r="B101" s="1">
        <v>45391.720833332998</v>
      </c>
      <c r="C101" t="s">
        <v>508</v>
      </c>
    </row>
    <row r="102" spans="1:3" x14ac:dyDescent="0.25">
      <c r="A102" s="1">
        <v>45392.831250000003</v>
      </c>
      <c r="B102" s="1">
        <v>45391.720833332998</v>
      </c>
      <c r="C102" t="s">
        <v>217</v>
      </c>
    </row>
    <row r="103" spans="1:3" x14ac:dyDescent="0.25">
      <c r="A103" s="1">
        <v>45391.827083333003</v>
      </c>
      <c r="B103" s="1">
        <v>45391.720833332998</v>
      </c>
      <c r="C103" t="s">
        <v>322</v>
      </c>
    </row>
    <row r="104" spans="1:3" x14ac:dyDescent="0.25">
      <c r="A104" s="1">
        <v>45392.789583332997</v>
      </c>
      <c r="B104" s="1">
        <v>45391.720833332998</v>
      </c>
      <c r="C104" t="s">
        <v>645</v>
      </c>
    </row>
    <row r="105" spans="1:3" x14ac:dyDescent="0.25">
      <c r="A105" s="1" t="s">
        <v>289</v>
      </c>
      <c r="B105" s="1">
        <v>45391.720833332998</v>
      </c>
    </row>
    <row r="106" spans="1:3" x14ac:dyDescent="0.25">
      <c r="A106" s="1">
        <v>45391.797916666997</v>
      </c>
      <c r="B106" s="1">
        <v>45391.720833332998</v>
      </c>
      <c r="C106" t="s">
        <v>739</v>
      </c>
    </row>
    <row r="107" spans="1:3" x14ac:dyDescent="0.25">
      <c r="A107" s="1">
        <v>45392.831250000003</v>
      </c>
      <c r="B107" s="1">
        <v>45391.720833332998</v>
      </c>
      <c r="C107" t="s">
        <v>426</v>
      </c>
    </row>
    <row r="108" spans="1:3" x14ac:dyDescent="0.25">
      <c r="A108" s="1">
        <v>45391.883333332997</v>
      </c>
      <c r="B108" s="1">
        <v>45391.720833332998</v>
      </c>
      <c r="C108" t="s">
        <v>8</v>
      </c>
    </row>
    <row r="109" spans="1:3" x14ac:dyDescent="0.25">
      <c r="A109" s="1">
        <v>45392.791666666999</v>
      </c>
      <c r="B109" s="1">
        <v>45391.720833332998</v>
      </c>
      <c r="C109" t="s">
        <v>265</v>
      </c>
    </row>
    <row r="110" spans="1:3" x14ac:dyDescent="0.25">
      <c r="A110" s="1">
        <v>45391.802083333001</v>
      </c>
      <c r="B110" s="1">
        <v>45391.720833332998</v>
      </c>
      <c r="C110" t="s">
        <v>313</v>
      </c>
    </row>
    <row r="111" spans="1:3" x14ac:dyDescent="0.25">
      <c r="A111" s="1">
        <v>45391.779166667002</v>
      </c>
      <c r="B111" s="1">
        <v>45391.720833332998</v>
      </c>
      <c r="C111" t="s">
        <v>717</v>
      </c>
    </row>
    <row r="112" spans="1:3" x14ac:dyDescent="0.25">
      <c r="A112" s="1">
        <v>45392.727083332997</v>
      </c>
      <c r="B112" s="1">
        <v>45391.720833332998</v>
      </c>
      <c r="C112" t="s">
        <v>740</v>
      </c>
    </row>
    <row r="113" spans="1:3" x14ac:dyDescent="0.25">
      <c r="A113" s="1">
        <v>45391.739583333001</v>
      </c>
      <c r="B113" s="1">
        <v>45391.722916667</v>
      </c>
      <c r="C113" t="s">
        <v>741</v>
      </c>
    </row>
    <row r="114" spans="1:3" x14ac:dyDescent="0.25">
      <c r="A114" s="1">
        <v>45392.779166667002</v>
      </c>
      <c r="B114" s="1">
        <v>45391.722916667</v>
      </c>
      <c r="C114" t="s">
        <v>720</v>
      </c>
    </row>
    <row r="115" spans="1:3" x14ac:dyDescent="0.25">
      <c r="A115" s="1">
        <v>45391.770833333001</v>
      </c>
      <c r="B115" s="1">
        <v>45391.722916667</v>
      </c>
      <c r="C115" t="s">
        <v>742</v>
      </c>
    </row>
    <row r="116" spans="1:3" x14ac:dyDescent="0.25">
      <c r="A116" s="1">
        <v>45391.724999999999</v>
      </c>
      <c r="B116" s="1">
        <v>45391.722916667</v>
      </c>
      <c r="C116" t="s">
        <v>584</v>
      </c>
    </row>
    <row r="117" spans="1:3" x14ac:dyDescent="0.25">
      <c r="A117" s="1" t="s">
        <v>289</v>
      </c>
      <c r="B117" s="1">
        <v>45391.722916667</v>
      </c>
    </row>
    <row r="118" spans="1:3" x14ac:dyDescent="0.25">
      <c r="A118" s="1">
        <v>45392.85</v>
      </c>
      <c r="B118" s="1">
        <v>45391.722916667</v>
      </c>
      <c r="C118" t="s">
        <v>249</v>
      </c>
    </row>
    <row r="119" spans="1:3" x14ac:dyDescent="0.25">
      <c r="A119" s="1">
        <v>45391.764583333003</v>
      </c>
      <c r="B119" s="1">
        <v>45391.722916667</v>
      </c>
      <c r="C119" t="s">
        <v>743</v>
      </c>
    </row>
    <row r="120" spans="1:3" x14ac:dyDescent="0.25">
      <c r="A120" s="1" t="s">
        <v>289</v>
      </c>
      <c r="B120" s="1">
        <v>45391.722916667</v>
      </c>
    </row>
    <row r="121" spans="1:3" x14ac:dyDescent="0.25">
      <c r="A121" s="1">
        <v>45391.864583333001</v>
      </c>
      <c r="B121" s="1">
        <v>45391.722916667</v>
      </c>
      <c r="C121" t="s">
        <v>723</v>
      </c>
    </row>
    <row r="122" spans="1:3" x14ac:dyDescent="0.25">
      <c r="A122" s="1">
        <v>45392.743750000001</v>
      </c>
      <c r="B122" s="1">
        <v>45391.722916667</v>
      </c>
      <c r="C122" t="s">
        <v>465</v>
      </c>
    </row>
    <row r="123" spans="1:3" x14ac:dyDescent="0.25">
      <c r="A123" s="1">
        <v>45391.762499999997</v>
      </c>
      <c r="B123" s="1">
        <v>45391.722916667</v>
      </c>
      <c r="C123" t="s">
        <v>280</v>
      </c>
    </row>
    <row r="124" spans="1:3" x14ac:dyDescent="0.25">
      <c r="A124" s="1">
        <v>45391.911805556003</v>
      </c>
      <c r="B124" s="1">
        <v>45391.722916667</v>
      </c>
      <c r="C124" t="s">
        <v>33</v>
      </c>
    </row>
    <row r="125" spans="1:3" x14ac:dyDescent="0.25">
      <c r="A125" s="1">
        <v>45391.839583333</v>
      </c>
      <c r="B125" s="1">
        <v>45391.722916667</v>
      </c>
      <c r="C125" t="s">
        <v>66</v>
      </c>
    </row>
    <row r="126" spans="1:3" x14ac:dyDescent="0.25">
      <c r="A126" s="1">
        <v>45392.858333333003</v>
      </c>
      <c r="B126" s="1">
        <v>45391.722916667</v>
      </c>
      <c r="C126" t="s">
        <v>24</v>
      </c>
    </row>
    <row r="127" spans="1:3" x14ac:dyDescent="0.25">
      <c r="A127" s="1">
        <v>45391.731249999997</v>
      </c>
      <c r="B127" s="1">
        <v>45391.722916667</v>
      </c>
      <c r="C127" t="s">
        <v>359</v>
      </c>
    </row>
    <row r="128" spans="1:3" x14ac:dyDescent="0.25">
      <c r="A128" s="1">
        <v>45391.910416667</v>
      </c>
      <c r="B128" s="1">
        <v>45391.722916667</v>
      </c>
      <c r="C128" t="s">
        <v>433</v>
      </c>
    </row>
    <row r="129" spans="1:3" x14ac:dyDescent="0.25">
      <c r="A129" s="1">
        <v>45392.831250000003</v>
      </c>
      <c r="B129" s="1">
        <v>45391.724999999999</v>
      </c>
      <c r="C129" t="s">
        <v>106</v>
      </c>
    </row>
    <row r="130" spans="1:3" x14ac:dyDescent="0.25">
      <c r="A130" s="1">
        <v>45392.708333333001</v>
      </c>
      <c r="B130" s="1">
        <v>45391.724999999999</v>
      </c>
      <c r="C130" t="s">
        <v>362</v>
      </c>
    </row>
    <row r="131" spans="1:3" x14ac:dyDescent="0.25">
      <c r="A131" s="1">
        <v>45393.822916666999</v>
      </c>
      <c r="B131" s="1">
        <v>45391.724999999999</v>
      </c>
    </row>
    <row r="132" spans="1:3" x14ac:dyDescent="0.25">
      <c r="A132" s="1">
        <v>45391.745833333</v>
      </c>
      <c r="B132" s="1">
        <v>45391.724999999999</v>
      </c>
      <c r="C132" t="s">
        <v>529</v>
      </c>
    </row>
    <row r="133" spans="1:3" x14ac:dyDescent="0.25">
      <c r="A133" s="1">
        <v>45392.827083333003</v>
      </c>
      <c r="B133" s="1">
        <v>45391.724999999999</v>
      </c>
      <c r="C133" t="s">
        <v>299</v>
      </c>
    </row>
    <row r="134" spans="1:3" x14ac:dyDescent="0.25">
      <c r="A134" s="1">
        <v>45392.743750000001</v>
      </c>
      <c r="B134" s="1">
        <v>45391.724999999999</v>
      </c>
      <c r="C134" t="s">
        <v>417</v>
      </c>
    </row>
    <row r="135" spans="1:3" x14ac:dyDescent="0.25">
      <c r="A135" s="1">
        <v>45391.831250000003</v>
      </c>
      <c r="B135" s="1">
        <v>45391.724999999999</v>
      </c>
      <c r="C135" t="s">
        <v>541</v>
      </c>
    </row>
    <row r="136" spans="1:3" x14ac:dyDescent="0.25">
      <c r="A136" s="1" t="s">
        <v>289</v>
      </c>
      <c r="B136" s="1">
        <v>45391.724999999999</v>
      </c>
    </row>
    <row r="137" spans="1:3" x14ac:dyDescent="0.25">
      <c r="A137" s="1">
        <v>45391.90625</v>
      </c>
      <c r="B137" s="1">
        <v>45391.724999999999</v>
      </c>
      <c r="C137" t="s">
        <v>593</v>
      </c>
    </row>
    <row r="138" spans="1:3" x14ac:dyDescent="0.25">
      <c r="A138" s="1">
        <v>45391.775000000001</v>
      </c>
      <c r="B138" s="1">
        <v>45391.724999999999</v>
      </c>
      <c r="C138" t="s">
        <v>128</v>
      </c>
    </row>
    <row r="139" spans="1:3" x14ac:dyDescent="0.25">
      <c r="A139" s="1">
        <v>45392.816666667</v>
      </c>
      <c r="B139" s="1">
        <v>45391.727083332997</v>
      </c>
      <c r="C139" t="s">
        <v>61</v>
      </c>
    </row>
    <row r="140" spans="1:3" x14ac:dyDescent="0.25">
      <c r="A140" s="1">
        <v>45391.737500000003</v>
      </c>
      <c r="B140" s="1">
        <v>45391.727083332997</v>
      </c>
      <c r="C140" t="s">
        <v>381</v>
      </c>
    </row>
    <row r="141" spans="1:3" x14ac:dyDescent="0.25">
      <c r="A141" s="1">
        <v>45391.854166666999</v>
      </c>
      <c r="B141" s="1">
        <v>45391.727083332997</v>
      </c>
      <c r="C141" t="s">
        <v>744</v>
      </c>
    </row>
    <row r="142" spans="1:3" x14ac:dyDescent="0.25">
      <c r="A142" s="1">
        <v>45391.762499999997</v>
      </c>
      <c r="B142" s="1">
        <v>45391.727083332997</v>
      </c>
      <c r="C142" t="s">
        <v>686</v>
      </c>
    </row>
    <row r="143" spans="1:3" x14ac:dyDescent="0.25">
      <c r="A143" s="1">
        <v>45392.779166667002</v>
      </c>
      <c r="B143" s="1">
        <v>45391.727083332997</v>
      </c>
      <c r="C143" t="s">
        <v>12</v>
      </c>
    </row>
    <row r="144" spans="1:3" x14ac:dyDescent="0.25">
      <c r="A144" s="1">
        <v>45393.708333333001</v>
      </c>
      <c r="B144" s="1">
        <v>45391.727083332997</v>
      </c>
      <c r="C144" t="s">
        <v>122</v>
      </c>
    </row>
    <row r="145" spans="1:3" x14ac:dyDescent="0.25">
      <c r="A145" s="1">
        <v>45392.724999999999</v>
      </c>
      <c r="B145" s="1">
        <v>45391.729166666999</v>
      </c>
      <c r="C145" t="s">
        <v>745</v>
      </c>
    </row>
    <row r="146" spans="1:3" x14ac:dyDescent="0.25">
      <c r="A146" s="1" t="s">
        <v>289</v>
      </c>
      <c r="B146" s="1">
        <v>45391.729166666999</v>
      </c>
    </row>
    <row r="147" spans="1:3" x14ac:dyDescent="0.25">
      <c r="A147" s="1">
        <v>45392.852083332997</v>
      </c>
      <c r="B147" s="1">
        <v>45391.729166666999</v>
      </c>
      <c r="C147" t="s">
        <v>355</v>
      </c>
    </row>
    <row r="148" spans="1:3" x14ac:dyDescent="0.25">
      <c r="A148" s="1">
        <v>45391.845833332998</v>
      </c>
      <c r="B148" s="1">
        <v>45391.729166666999</v>
      </c>
      <c r="C148" t="s">
        <v>294</v>
      </c>
    </row>
    <row r="149" spans="1:3" x14ac:dyDescent="0.25">
      <c r="A149" s="1">
        <v>45391.789583332997</v>
      </c>
      <c r="B149" s="1">
        <v>45391.729166666999</v>
      </c>
      <c r="C149" t="s">
        <v>40</v>
      </c>
    </row>
    <row r="150" spans="1:3" x14ac:dyDescent="0.25">
      <c r="A150" s="1">
        <v>45392.745833333</v>
      </c>
      <c r="B150" s="1">
        <v>45391.729166666999</v>
      </c>
      <c r="C150" t="s">
        <v>746</v>
      </c>
    </row>
    <row r="151" spans="1:3" x14ac:dyDescent="0.25">
      <c r="A151" s="1">
        <v>45392.735416666997</v>
      </c>
      <c r="B151" s="1">
        <v>45391.729166666999</v>
      </c>
      <c r="C151" t="s">
        <v>263</v>
      </c>
    </row>
    <row r="152" spans="1:3" x14ac:dyDescent="0.25">
      <c r="A152" s="1">
        <v>45391.84375</v>
      </c>
      <c r="B152" s="1">
        <v>45391.729166666999</v>
      </c>
      <c r="C152" t="s">
        <v>11</v>
      </c>
    </row>
    <row r="153" spans="1:3" x14ac:dyDescent="0.25">
      <c r="A153" s="1">
        <v>45391.710416667003</v>
      </c>
      <c r="B153" s="1">
        <v>45391.729166666999</v>
      </c>
      <c r="C153" t="s">
        <v>493</v>
      </c>
    </row>
    <row r="154" spans="1:3" x14ac:dyDescent="0.25">
      <c r="A154" s="1">
        <v>45391.816666667</v>
      </c>
      <c r="B154" s="1">
        <v>45391.729166666999</v>
      </c>
      <c r="C154" t="s">
        <v>545</v>
      </c>
    </row>
    <row r="155" spans="1:3" x14ac:dyDescent="0.25">
      <c r="A155" s="1">
        <v>45391.864583333001</v>
      </c>
      <c r="B155" s="1">
        <v>45391.729166666999</v>
      </c>
      <c r="C155" t="s">
        <v>74</v>
      </c>
    </row>
    <row r="156" spans="1:3" x14ac:dyDescent="0.25">
      <c r="A156" s="1">
        <v>45391.839583333</v>
      </c>
      <c r="B156" s="1">
        <v>45391.729166666999</v>
      </c>
      <c r="C156" t="s">
        <v>336</v>
      </c>
    </row>
    <row r="157" spans="1:3" x14ac:dyDescent="0.25">
      <c r="A157" s="1">
        <v>45391.835416667003</v>
      </c>
      <c r="B157" s="1">
        <v>45391.729166666999</v>
      </c>
      <c r="C157" t="s">
        <v>376</v>
      </c>
    </row>
    <row r="158" spans="1:3" x14ac:dyDescent="0.25">
      <c r="A158" s="1">
        <v>45392.818749999999</v>
      </c>
      <c r="B158" s="1">
        <v>45391.729166666999</v>
      </c>
      <c r="C158" t="s">
        <v>208</v>
      </c>
    </row>
    <row r="159" spans="1:3" x14ac:dyDescent="0.25">
      <c r="A159" s="1">
        <v>45392.862500000003</v>
      </c>
      <c r="B159" s="1">
        <v>45391.729166666999</v>
      </c>
      <c r="C159" t="s">
        <v>252</v>
      </c>
    </row>
    <row r="160" spans="1:3" x14ac:dyDescent="0.25">
      <c r="A160" s="1">
        <v>45393.729166666999</v>
      </c>
      <c r="B160" s="1">
        <v>45391.729166666999</v>
      </c>
      <c r="C160" t="s">
        <v>42</v>
      </c>
    </row>
    <row r="161" spans="1:3" x14ac:dyDescent="0.25">
      <c r="A161" s="1">
        <v>45391.733333333003</v>
      </c>
      <c r="B161" s="1">
        <v>45391.729166666999</v>
      </c>
      <c r="C161" t="s">
        <v>102</v>
      </c>
    </row>
    <row r="162" spans="1:3" x14ac:dyDescent="0.25">
      <c r="A162" s="1">
        <v>45392.71875</v>
      </c>
      <c r="B162" s="1">
        <v>45391.729166666999</v>
      </c>
      <c r="C162" t="s">
        <v>109</v>
      </c>
    </row>
    <row r="163" spans="1:3" x14ac:dyDescent="0.25">
      <c r="A163" s="1">
        <v>45391.885416666999</v>
      </c>
      <c r="B163" s="1">
        <v>45391.731249999997</v>
      </c>
      <c r="C163" t="s">
        <v>747</v>
      </c>
    </row>
    <row r="164" spans="1:3" x14ac:dyDescent="0.25">
      <c r="A164" s="1">
        <v>45391.720833332998</v>
      </c>
      <c r="B164" s="1">
        <v>45391.731249999997</v>
      </c>
      <c r="C164" t="s">
        <v>17</v>
      </c>
    </row>
    <row r="165" spans="1:3" x14ac:dyDescent="0.25">
      <c r="A165" s="1">
        <v>45391.779166667002</v>
      </c>
      <c r="B165" s="1">
        <v>45391.731249999997</v>
      </c>
      <c r="C165" t="s">
        <v>118</v>
      </c>
    </row>
    <row r="166" spans="1:3" x14ac:dyDescent="0.25">
      <c r="A166" s="1">
        <v>45391.847916667</v>
      </c>
      <c r="B166" s="1">
        <v>45391.731249999997</v>
      </c>
      <c r="C166" t="s">
        <v>113</v>
      </c>
    </row>
    <row r="167" spans="1:3" x14ac:dyDescent="0.25">
      <c r="A167" s="1">
        <v>45392.791666666999</v>
      </c>
      <c r="B167" s="1">
        <v>45391.731249999997</v>
      </c>
      <c r="C167" t="s">
        <v>5</v>
      </c>
    </row>
    <row r="168" spans="1:3" x14ac:dyDescent="0.25">
      <c r="A168" s="1">
        <v>45392.731249999997</v>
      </c>
      <c r="B168" s="1">
        <v>45391.731249999997</v>
      </c>
      <c r="C168" t="s">
        <v>483</v>
      </c>
    </row>
    <row r="169" spans="1:3" x14ac:dyDescent="0.25">
      <c r="A169" s="1">
        <v>45392.741666667003</v>
      </c>
      <c r="B169" s="1">
        <v>45391.731249999997</v>
      </c>
      <c r="C169" t="s">
        <v>748</v>
      </c>
    </row>
    <row r="170" spans="1:3" x14ac:dyDescent="0.25">
      <c r="A170" s="1">
        <v>45392.772916667003</v>
      </c>
      <c r="B170" s="1">
        <v>45391.731249999997</v>
      </c>
      <c r="C170" t="s">
        <v>476</v>
      </c>
    </row>
    <row r="171" spans="1:3" x14ac:dyDescent="0.25">
      <c r="A171" s="1">
        <v>45392.856249999997</v>
      </c>
      <c r="B171" s="1">
        <v>45391.731249999997</v>
      </c>
      <c r="C171" t="s">
        <v>699</v>
      </c>
    </row>
    <row r="172" spans="1:3" x14ac:dyDescent="0.25">
      <c r="A172" s="1">
        <v>45391.764583333003</v>
      </c>
      <c r="B172" s="1">
        <v>45391.731249999997</v>
      </c>
      <c r="C172" t="s">
        <v>196</v>
      </c>
    </row>
    <row r="173" spans="1:3" x14ac:dyDescent="0.25">
      <c r="A173" s="1">
        <v>45391.772916667003</v>
      </c>
      <c r="B173" s="1">
        <v>45391.731249999997</v>
      </c>
      <c r="C173" t="s">
        <v>513</v>
      </c>
    </row>
    <row r="174" spans="1:3" x14ac:dyDescent="0.25">
      <c r="A174" s="1">
        <v>45391.870833333</v>
      </c>
      <c r="B174" s="1">
        <v>45391.731249999997</v>
      </c>
      <c r="C174" t="s">
        <v>553</v>
      </c>
    </row>
    <row r="175" spans="1:3" x14ac:dyDescent="0.25">
      <c r="A175" s="1">
        <v>45391.75</v>
      </c>
      <c r="B175" s="1">
        <v>45391.731249999997</v>
      </c>
      <c r="C175" t="s">
        <v>415</v>
      </c>
    </row>
    <row r="176" spans="1:3" x14ac:dyDescent="0.25">
      <c r="A176" s="1">
        <v>45391.720833332998</v>
      </c>
      <c r="B176" s="1">
        <v>45391.731249999997</v>
      </c>
      <c r="C176" t="s">
        <v>533</v>
      </c>
    </row>
    <row r="177" spans="1:3" x14ac:dyDescent="0.25">
      <c r="A177" s="1">
        <v>45391.783333332998</v>
      </c>
      <c r="B177" s="1">
        <v>45391.731249999997</v>
      </c>
      <c r="C177" t="s">
        <v>613</v>
      </c>
    </row>
    <row r="178" spans="1:3" x14ac:dyDescent="0.25">
      <c r="A178" s="1">
        <v>45392.737500000003</v>
      </c>
      <c r="B178" s="1">
        <v>45391.731249999997</v>
      </c>
      <c r="C178" t="s">
        <v>614</v>
      </c>
    </row>
    <row r="179" spans="1:3" x14ac:dyDescent="0.25">
      <c r="A179" s="1">
        <v>45392.837500000001</v>
      </c>
      <c r="B179" s="1">
        <v>45391.731249999997</v>
      </c>
      <c r="C179" t="s">
        <v>187</v>
      </c>
    </row>
    <row r="180" spans="1:3" x14ac:dyDescent="0.25">
      <c r="A180" s="1">
        <v>45391.902083333</v>
      </c>
      <c r="B180" s="1">
        <v>45391.731249999997</v>
      </c>
      <c r="C180" t="s">
        <v>229</v>
      </c>
    </row>
    <row r="181" spans="1:3" x14ac:dyDescent="0.25">
      <c r="A181" s="1">
        <v>45391.875</v>
      </c>
      <c r="B181" s="1">
        <v>45391.731249999997</v>
      </c>
      <c r="C181" t="s">
        <v>694</v>
      </c>
    </row>
    <row r="182" spans="1:3" x14ac:dyDescent="0.25">
      <c r="A182" s="1">
        <v>45391.845833332998</v>
      </c>
      <c r="B182" s="1">
        <v>45391.731249999997</v>
      </c>
      <c r="C182" t="s">
        <v>679</v>
      </c>
    </row>
    <row r="183" spans="1:3" x14ac:dyDescent="0.25">
      <c r="A183" s="1">
        <v>45391.872916667002</v>
      </c>
      <c r="B183" s="1">
        <v>45391.731249999997</v>
      </c>
      <c r="C183" t="s">
        <v>608</v>
      </c>
    </row>
    <row r="184" spans="1:3" x14ac:dyDescent="0.25">
      <c r="A184" s="1">
        <v>45392.779166667002</v>
      </c>
      <c r="B184" s="1">
        <v>45391.731249999997</v>
      </c>
      <c r="C184" t="s">
        <v>187</v>
      </c>
    </row>
    <row r="185" spans="1:3" x14ac:dyDescent="0.25">
      <c r="A185" s="1">
        <v>45392.747916667002</v>
      </c>
      <c r="B185" s="1">
        <v>45391.731249999997</v>
      </c>
      <c r="C185" t="s">
        <v>749</v>
      </c>
    </row>
    <row r="186" spans="1:3" x14ac:dyDescent="0.25">
      <c r="A186" s="1">
        <v>45392.75</v>
      </c>
      <c r="B186" s="1">
        <v>45391.731249999997</v>
      </c>
      <c r="C186" t="s">
        <v>24</v>
      </c>
    </row>
    <row r="187" spans="1:3" x14ac:dyDescent="0.25">
      <c r="A187" s="1">
        <v>45391.766666666997</v>
      </c>
      <c r="B187" s="1">
        <v>45391.733333333003</v>
      </c>
      <c r="C187" t="s">
        <v>601</v>
      </c>
    </row>
    <row r="188" spans="1:3" x14ac:dyDescent="0.25">
      <c r="A188" s="1">
        <v>45391.737500000003</v>
      </c>
      <c r="B188" s="1">
        <v>45391.733333333003</v>
      </c>
      <c r="C188" t="s">
        <v>29</v>
      </c>
    </row>
    <row r="189" spans="1:3" x14ac:dyDescent="0.25">
      <c r="A189" s="1">
        <v>45391.889583333003</v>
      </c>
      <c r="B189" s="1">
        <v>45391.733333333003</v>
      </c>
      <c r="C189" t="s">
        <v>405</v>
      </c>
    </row>
    <row r="190" spans="1:3" x14ac:dyDescent="0.25">
      <c r="A190" s="1">
        <v>45391.814583332998</v>
      </c>
      <c r="B190" s="1">
        <v>45391.733333333003</v>
      </c>
      <c r="C190" t="s">
        <v>182</v>
      </c>
    </row>
    <row r="191" spans="1:3" x14ac:dyDescent="0.25">
      <c r="A191" s="1" t="s">
        <v>289</v>
      </c>
      <c r="B191" s="1">
        <v>45391.733333333003</v>
      </c>
    </row>
    <row r="192" spans="1:3" x14ac:dyDescent="0.25">
      <c r="A192" s="1">
        <v>45391.854166666999</v>
      </c>
      <c r="B192" s="1">
        <v>45391.733333333003</v>
      </c>
      <c r="C192" t="s">
        <v>494</v>
      </c>
    </row>
    <row r="193" spans="1:3" x14ac:dyDescent="0.25">
      <c r="A193" s="1">
        <v>45392.737500000003</v>
      </c>
      <c r="B193" s="1">
        <v>45391.733333333003</v>
      </c>
      <c r="C193" t="s">
        <v>509</v>
      </c>
    </row>
    <row r="194" spans="1:3" x14ac:dyDescent="0.25">
      <c r="A194" s="1">
        <v>45391.747916667002</v>
      </c>
      <c r="B194" s="1">
        <v>45391.733333333003</v>
      </c>
      <c r="C194" t="s">
        <v>256</v>
      </c>
    </row>
    <row r="195" spans="1:3" x14ac:dyDescent="0.25">
      <c r="A195" s="1">
        <v>45392.739583333001</v>
      </c>
      <c r="B195" s="1">
        <v>45391.733333333003</v>
      </c>
      <c r="C195" t="s">
        <v>548</v>
      </c>
    </row>
    <row r="196" spans="1:3" x14ac:dyDescent="0.25">
      <c r="A196" s="1">
        <v>45392.856249999997</v>
      </c>
      <c r="B196" s="1">
        <v>45391.733333333003</v>
      </c>
      <c r="C196" t="s">
        <v>98</v>
      </c>
    </row>
    <row r="197" spans="1:3" x14ac:dyDescent="0.25">
      <c r="A197" s="1">
        <v>45391.827083333003</v>
      </c>
      <c r="B197" s="1">
        <v>45391.733333333003</v>
      </c>
      <c r="C197" t="s">
        <v>496</v>
      </c>
    </row>
    <row r="198" spans="1:3" x14ac:dyDescent="0.25">
      <c r="A198" s="1">
        <v>45393.78125</v>
      </c>
      <c r="B198" s="1">
        <v>45391.733333333003</v>
      </c>
      <c r="C198" t="s">
        <v>469</v>
      </c>
    </row>
    <row r="199" spans="1:3" x14ac:dyDescent="0.25">
      <c r="A199" s="1">
        <v>45391.714583333</v>
      </c>
      <c r="B199" s="1">
        <v>45391.733333333003</v>
      </c>
      <c r="C199" t="s">
        <v>582</v>
      </c>
    </row>
    <row r="200" spans="1:3" x14ac:dyDescent="0.25">
      <c r="A200" s="1">
        <v>45392.720833332998</v>
      </c>
      <c r="B200" s="1">
        <v>45391.733333333003</v>
      </c>
      <c r="C200" t="s">
        <v>358</v>
      </c>
    </row>
    <row r="201" spans="1:3" x14ac:dyDescent="0.25">
      <c r="A201" s="1">
        <v>45392.866666667003</v>
      </c>
      <c r="B201" s="1">
        <v>45391.733333333003</v>
      </c>
      <c r="C201" t="s">
        <v>750</v>
      </c>
    </row>
    <row r="202" spans="1:3" x14ac:dyDescent="0.25">
      <c r="A202" s="1">
        <v>45391.902083333</v>
      </c>
      <c r="B202" s="1">
        <v>45391.733333333003</v>
      </c>
      <c r="C202" t="s">
        <v>317</v>
      </c>
    </row>
    <row r="203" spans="1:3" x14ac:dyDescent="0.25">
      <c r="A203" s="1" t="s">
        <v>289</v>
      </c>
      <c r="B203" s="1">
        <v>45391.735416666997</v>
      </c>
    </row>
    <row r="204" spans="1:3" x14ac:dyDescent="0.25">
      <c r="A204" s="1">
        <v>45391.879166667</v>
      </c>
      <c r="B204" s="1">
        <v>45391.735416666997</v>
      </c>
      <c r="C204" t="s">
        <v>110</v>
      </c>
    </row>
    <row r="205" spans="1:3" x14ac:dyDescent="0.25">
      <c r="A205" s="1">
        <v>45392.854166666999</v>
      </c>
      <c r="B205" s="1">
        <v>45391.735416666997</v>
      </c>
      <c r="C205" t="s">
        <v>217</v>
      </c>
    </row>
    <row r="206" spans="1:3" x14ac:dyDescent="0.25">
      <c r="A206" s="1">
        <v>45391.791666666999</v>
      </c>
      <c r="B206" s="1">
        <v>45391.735416666997</v>
      </c>
      <c r="C206" t="s">
        <v>506</v>
      </c>
    </row>
    <row r="207" spans="1:3" x14ac:dyDescent="0.25">
      <c r="A207" s="1">
        <v>45391.8125</v>
      </c>
      <c r="B207" s="1">
        <v>45391.735416666997</v>
      </c>
      <c r="C207" t="s">
        <v>501</v>
      </c>
    </row>
    <row r="208" spans="1:3" x14ac:dyDescent="0.25">
      <c r="A208" s="1">
        <v>45391.835416667003</v>
      </c>
      <c r="B208" s="1">
        <v>45391.735416666997</v>
      </c>
      <c r="C208" t="s">
        <v>556</v>
      </c>
    </row>
    <row r="209" spans="1:3" x14ac:dyDescent="0.25">
      <c r="A209" s="1">
        <v>45391.824999999997</v>
      </c>
      <c r="B209" s="1">
        <v>45391.735416666997</v>
      </c>
      <c r="C209" t="s">
        <v>751</v>
      </c>
    </row>
    <row r="210" spans="1:3" x14ac:dyDescent="0.25">
      <c r="A210" s="1">
        <v>45391.847916667</v>
      </c>
      <c r="B210" s="1">
        <v>45391.735416666997</v>
      </c>
      <c r="C210" t="s">
        <v>503</v>
      </c>
    </row>
    <row r="211" spans="1:3" x14ac:dyDescent="0.25">
      <c r="A211" s="1">
        <v>45392.822916666999</v>
      </c>
      <c r="B211" s="1">
        <v>45391.735416666997</v>
      </c>
      <c r="C211" t="s">
        <v>403</v>
      </c>
    </row>
    <row r="212" spans="1:3" x14ac:dyDescent="0.25">
      <c r="A212" s="1">
        <v>45391.868750000001</v>
      </c>
      <c r="B212" s="1">
        <v>45391.735416666997</v>
      </c>
      <c r="C212" t="s">
        <v>235</v>
      </c>
    </row>
    <row r="213" spans="1:3" x14ac:dyDescent="0.25">
      <c r="A213" s="1">
        <v>45391.833333333001</v>
      </c>
      <c r="B213" s="1">
        <v>45391.737500000003</v>
      </c>
      <c r="C213" t="s">
        <v>752</v>
      </c>
    </row>
    <row r="214" spans="1:3" x14ac:dyDescent="0.25">
      <c r="A214" s="1">
        <v>45392.735416666997</v>
      </c>
      <c r="B214" s="1">
        <v>45391.737500000003</v>
      </c>
      <c r="C214" t="s">
        <v>594</v>
      </c>
    </row>
    <row r="215" spans="1:3" x14ac:dyDescent="0.25">
      <c r="A215" s="1">
        <v>45391.852083332997</v>
      </c>
      <c r="B215" s="1">
        <v>45391.737500000003</v>
      </c>
      <c r="C215" t="s">
        <v>34</v>
      </c>
    </row>
    <row r="216" spans="1:3" x14ac:dyDescent="0.25">
      <c r="A216" s="1">
        <v>45392.714583333</v>
      </c>
      <c r="B216" s="1">
        <v>45391.737500000003</v>
      </c>
      <c r="C216" t="s">
        <v>416</v>
      </c>
    </row>
    <row r="217" spans="1:3" x14ac:dyDescent="0.25">
      <c r="A217" s="1">
        <v>45391.75</v>
      </c>
      <c r="B217" s="1">
        <v>45391.737500000003</v>
      </c>
      <c r="C217" t="s">
        <v>65</v>
      </c>
    </row>
    <row r="218" spans="1:3" x14ac:dyDescent="0.25">
      <c r="A218" s="1">
        <v>45391.902083333</v>
      </c>
      <c r="B218" s="1">
        <v>45391.737500000003</v>
      </c>
      <c r="C218" t="s">
        <v>250</v>
      </c>
    </row>
    <row r="219" spans="1:3" x14ac:dyDescent="0.25">
      <c r="A219" s="1">
        <v>45392.787499999999</v>
      </c>
      <c r="B219" s="1">
        <v>45391.737500000003</v>
      </c>
      <c r="C219" t="s">
        <v>129</v>
      </c>
    </row>
    <row r="220" spans="1:3" x14ac:dyDescent="0.25">
      <c r="A220" s="1">
        <v>45392.712500000001</v>
      </c>
      <c r="B220" s="1">
        <v>45391.737500000003</v>
      </c>
      <c r="C220" t="s">
        <v>753</v>
      </c>
    </row>
    <row r="221" spans="1:3" x14ac:dyDescent="0.25">
      <c r="A221" s="1">
        <v>45392.85</v>
      </c>
      <c r="B221" s="1">
        <v>45391.737500000003</v>
      </c>
      <c r="C221" t="s">
        <v>93</v>
      </c>
    </row>
    <row r="222" spans="1:3" x14ac:dyDescent="0.25">
      <c r="A222" s="1">
        <v>45391.727083332997</v>
      </c>
      <c r="B222" s="1">
        <v>45391.737500000003</v>
      </c>
      <c r="C222" t="s">
        <v>297</v>
      </c>
    </row>
    <row r="223" spans="1:3" x14ac:dyDescent="0.25">
      <c r="A223" s="1">
        <v>45391.793749999997</v>
      </c>
      <c r="B223" s="1">
        <v>45391.737500000003</v>
      </c>
      <c r="C223" t="s">
        <v>754</v>
      </c>
    </row>
    <row r="224" spans="1:3" x14ac:dyDescent="0.25">
      <c r="A224" s="1">
        <v>45391.71875</v>
      </c>
      <c r="B224" s="1">
        <v>45391.737500000003</v>
      </c>
      <c r="C224" t="s">
        <v>706</v>
      </c>
    </row>
    <row r="225" spans="1:3" x14ac:dyDescent="0.25">
      <c r="A225" s="1">
        <v>45391.904166667002</v>
      </c>
      <c r="B225" s="1">
        <v>45391.737500000003</v>
      </c>
      <c r="C225" t="s">
        <v>526</v>
      </c>
    </row>
    <row r="226" spans="1:3" x14ac:dyDescent="0.25">
      <c r="A226" s="1">
        <v>45391.820833332997</v>
      </c>
      <c r="B226" s="1">
        <v>45391.737500000003</v>
      </c>
      <c r="C226" t="s">
        <v>215</v>
      </c>
    </row>
    <row r="227" spans="1:3" x14ac:dyDescent="0.25">
      <c r="A227" s="1">
        <v>45391.881249999999</v>
      </c>
      <c r="B227" s="1">
        <v>45391.739583333001</v>
      </c>
      <c r="C227" t="s">
        <v>447</v>
      </c>
    </row>
    <row r="228" spans="1:3" x14ac:dyDescent="0.25">
      <c r="A228" s="1">
        <v>45392.795833333003</v>
      </c>
      <c r="B228" s="1">
        <v>45391.739583333001</v>
      </c>
      <c r="C228" t="s">
        <v>203</v>
      </c>
    </row>
    <row r="229" spans="1:3" x14ac:dyDescent="0.25">
      <c r="A229" s="1">
        <v>45393.777083333</v>
      </c>
      <c r="B229" s="1">
        <v>45391.739583333001</v>
      </c>
      <c r="C229" t="s">
        <v>755</v>
      </c>
    </row>
    <row r="230" spans="1:3" x14ac:dyDescent="0.25">
      <c r="A230" s="1">
        <v>45392.800000000003</v>
      </c>
      <c r="B230" s="1">
        <v>45391.739583333001</v>
      </c>
      <c r="C230" t="s">
        <v>98</v>
      </c>
    </row>
    <row r="231" spans="1:3" x14ac:dyDescent="0.25">
      <c r="A231" s="1">
        <v>45391.908333332998</v>
      </c>
      <c r="B231" s="1">
        <v>45391.741666667003</v>
      </c>
      <c r="C231" t="s">
        <v>195</v>
      </c>
    </row>
    <row r="232" spans="1:3" x14ac:dyDescent="0.25">
      <c r="A232" s="1">
        <v>45392.775000000001</v>
      </c>
      <c r="B232" s="1">
        <v>45391.741666667003</v>
      </c>
      <c r="C232" t="s">
        <v>16</v>
      </c>
    </row>
    <row r="233" spans="1:3" x14ac:dyDescent="0.25">
      <c r="A233" s="1">
        <v>45392.841666667002</v>
      </c>
      <c r="B233" s="1">
        <v>45391.741666667003</v>
      </c>
      <c r="C233" t="s">
        <v>12</v>
      </c>
    </row>
    <row r="234" spans="1:3" x14ac:dyDescent="0.25">
      <c r="A234" s="1" t="s">
        <v>289</v>
      </c>
      <c r="B234" s="1">
        <v>45391.741666667003</v>
      </c>
    </row>
    <row r="235" spans="1:3" x14ac:dyDescent="0.25">
      <c r="A235" s="1">
        <v>45391.827083333003</v>
      </c>
      <c r="B235" s="1">
        <v>45391.743750000001</v>
      </c>
      <c r="C235" t="s">
        <v>295</v>
      </c>
    </row>
    <row r="236" spans="1:3" x14ac:dyDescent="0.25">
      <c r="A236" s="1">
        <v>45392.858333333003</v>
      </c>
      <c r="B236" s="1">
        <v>45391.743750000001</v>
      </c>
      <c r="C236" t="s">
        <v>600</v>
      </c>
    </row>
    <row r="237" spans="1:3" x14ac:dyDescent="0.25">
      <c r="A237" s="1">
        <v>45391.895833333001</v>
      </c>
      <c r="B237" s="1">
        <v>45391.743750000001</v>
      </c>
      <c r="C237" t="s">
        <v>675</v>
      </c>
    </row>
    <row r="238" spans="1:3" x14ac:dyDescent="0.25">
      <c r="A238" s="1">
        <v>45391.911805556003</v>
      </c>
      <c r="B238" s="1">
        <v>45391.743750000001</v>
      </c>
      <c r="C238" t="s">
        <v>429</v>
      </c>
    </row>
    <row r="239" spans="1:3" x14ac:dyDescent="0.25">
      <c r="A239" s="1">
        <v>45391.708333333001</v>
      </c>
      <c r="B239" s="1">
        <v>45391.743750000001</v>
      </c>
      <c r="C239" t="s">
        <v>202</v>
      </c>
    </row>
    <row r="240" spans="1:3" x14ac:dyDescent="0.25">
      <c r="A240" s="1">
        <v>45391.84375</v>
      </c>
      <c r="B240" s="1">
        <v>45391.743750000001</v>
      </c>
      <c r="C240" t="s">
        <v>659</v>
      </c>
    </row>
    <row r="241" spans="1:3" x14ac:dyDescent="0.25">
      <c r="A241" s="1">
        <v>45391.879166667</v>
      </c>
      <c r="B241" s="1">
        <v>45391.743750000001</v>
      </c>
      <c r="C241" t="s">
        <v>421</v>
      </c>
    </row>
    <row r="242" spans="1:3" x14ac:dyDescent="0.25">
      <c r="A242" s="1">
        <v>45391.766666666997</v>
      </c>
      <c r="B242" s="1">
        <v>45391.743750000001</v>
      </c>
      <c r="C242" t="s">
        <v>320</v>
      </c>
    </row>
    <row r="243" spans="1:3" x14ac:dyDescent="0.25">
      <c r="A243" s="1">
        <v>45391.787499999999</v>
      </c>
      <c r="B243" s="1">
        <v>45391.743750000001</v>
      </c>
      <c r="C243" t="s">
        <v>200</v>
      </c>
    </row>
    <row r="244" spans="1:3" x14ac:dyDescent="0.25">
      <c r="A244" s="1">
        <v>45392.708333333001</v>
      </c>
      <c r="B244" s="1">
        <v>45391.743750000001</v>
      </c>
      <c r="C244" t="s">
        <v>440</v>
      </c>
    </row>
    <row r="245" spans="1:3" x14ac:dyDescent="0.25">
      <c r="A245" s="1">
        <v>45392.722916667</v>
      </c>
      <c r="B245" s="1">
        <v>45391.743750000001</v>
      </c>
      <c r="C245" t="s">
        <v>149</v>
      </c>
    </row>
    <row r="246" spans="1:3" x14ac:dyDescent="0.25">
      <c r="A246" s="1">
        <v>45392.787499999999</v>
      </c>
      <c r="B246" s="1">
        <v>45391.745833333</v>
      </c>
      <c r="C246" t="s">
        <v>634</v>
      </c>
    </row>
    <row r="247" spans="1:3" x14ac:dyDescent="0.25">
      <c r="A247" s="1">
        <v>45392.866666667003</v>
      </c>
      <c r="B247" s="1">
        <v>45391.745833333</v>
      </c>
      <c r="C247" t="s">
        <v>610</v>
      </c>
    </row>
    <row r="248" spans="1:3" x14ac:dyDescent="0.25">
      <c r="A248" s="1">
        <v>45392.839583333</v>
      </c>
      <c r="B248" s="1">
        <v>45391.745833333</v>
      </c>
      <c r="C248" t="s">
        <v>106</v>
      </c>
    </row>
    <row r="249" spans="1:3" x14ac:dyDescent="0.25">
      <c r="A249" s="1">
        <v>45391.729166666999</v>
      </c>
      <c r="B249" s="1">
        <v>45391.745833333</v>
      </c>
      <c r="C249" t="s">
        <v>444</v>
      </c>
    </row>
    <row r="250" spans="1:3" x14ac:dyDescent="0.25">
      <c r="A250" s="1">
        <v>45392.797916666997</v>
      </c>
      <c r="B250" s="1">
        <v>45391.745833333</v>
      </c>
      <c r="C250" t="s">
        <v>583</v>
      </c>
    </row>
    <row r="251" spans="1:3" x14ac:dyDescent="0.25">
      <c r="A251" s="1">
        <v>45391.745833333</v>
      </c>
      <c r="B251" s="1">
        <v>45391.745833333</v>
      </c>
      <c r="C251" t="s">
        <v>133</v>
      </c>
    </row>
    <row r="252" spans="1:3" x14ac:dyDescent="0.25">
      <c r="A252" s="1">
        <v>45391.877083332998</v>
      </c>
      <c r="B252" s="1">
        <v>45391.745833333</v>
      </c>
      <c r="C252" t="s">
        <v>31</v>
      </c>
    </row>
    <row r="253" spans="1:3" x14ac:dyDescent="0.25">
      <c r="A253" s="1">
        <v>45392.714583333</v>
      </c>
      <c r="B253" s="1">
        <v>45391.745833333</v>
      </c>
      <c r="C253" t="s">
        <v>653</v>
      </c>
    </row>
    <row r="254" spans="1:3" x14ac:dyDescent="0.25">
      <c r="A254" s="1">
        <v>45392.793749999997</v>
      </c>
      <c r="B254" s="1">
        <v>45391.745833333</v>
      </c>
      <c r="C254" t="s">
        <v>528</v>
      </c>
    </row>
    <row r="255" spans="1:3" x14ac:dyDescent="0.25">
      <c r="A255" s="1">
        <v>45391.747916667002</v>
      </c>
      <c r="B255" s="1">
        <v>45391.745833333</v>
      </c>
      <c r="C255" t="s">
        <v>637</v>
      </c>
    </row>
    <row r="256" spans="1:3" x14ac:dyDescent="0.25">
      <c r="A256" s="1">
        <v>45391.760416666999</v>
      </c>
      <c r="B256" s="1">
        <v>45391.745833333</v>
      </c>
      <c r="C256" t="s">
        <v>10</v>
      </c>
    </row>
    <row r="257" spans="1:3" x14ac:dyDescent="0.25">
      <c r="A257" s="1">
        <v>45393.727083332997</v>
      </c>
      <c r="B257" s="1">
        <v>45391.745833333</v>
      </c>
      <c r="C257" t="s">
        <v>328</v>
      </c>
    </row>
    <row r="258" spans="1:3" x14ac:dyDescent="0.25">
      <c r="A258" s="1">
        <v>45392.71875</v>
      </c>
      <c r="B258" s="1">
        <v>45391.747916667002</v>
      </c>
      <c r="C258" t="s">
        <v>640</v>
      </c>
    </row>
    <row r="259" spans="1:3" x14ac:dyDescent="0.25">
      <c r="A259" s="1">
        <v>45392.860416666997</v>
      </c>
      <c r="B259" s="1">
        <v>45391.747916667002</v>
      </c>
      <c r="C259" t="s">
        <v>698</v>
      </c>
    </row>
    <row r="260" spans="1:3" x14ac:dyDescent="0.25">
      <c r="A260" s="1">
        <v>45391.745833333</v>
      </c>
      <c r="B260" s="1">
        <v>45391.747916667002</v>
      </c>
      <c r="C260" t="s">
        <v>756</v>
      </c>
    </row>
    <row r="261" spans="1:3" x14ac:dyDescent="0.25">
      <c r="A261" s="1">
        <v>45391.733333333003</v>
      </c>
      <c r="B261" s="1">
        <v>45391.747916667002</v>
      </c>
      <c r="C261" t="s">
        <v>373</v>
      </c>
    </row>
    <row r="262" spans="1:3" x14ac:dyDescent="0.25">
      <c r="A262" s="1">
        <v>45392.837500000001</v>
      </c>
      <c r="B262" s="1">
        <v>45391.747916667002</v>
      </c>
      <c r="C262" t="s">
        <v>226</v>
      </c>
    </row>
    <row r="263" spans="1:3" x14ac:dyDescent="0.25">
      <c r="A263" s="1">
        <v>45391.745833333</v>
      </c>
      <c r="B263" s="1">
        <v>45391.747916667002</v>
      </c>
      <c r="C263" t="s">
        <v>597</v>
      </c>
    </row>
    <row r="264" spans="1:3" x14ac:dyDescent="0.25">
      <c r="A264" s="1">
        <v>45391.85</v>
      </c>
      <c r="B264" s="1">
        <v>45391.747916667002</v>
      </c>
      <c r="C264" t="s">
        <v>15</v>
      </c>
    </row>
    <row r="265" spans="1:3" x14ac:dyDescent="0.25">
      <c r="A265" s="1">
        <v>45391.893750000003</v>
      </c>
      <c r="B265" s="1">
        <v>45391.75</v>
      </c>
      <c r="C265" t="s">
        <v>534</v>
      </c>
    </row>
    <row r="266" spans="1:3" x14ac:dyDescent="0.25">
      <c r="A266" s="1" t="s">
        <v>289</v>
      </c>
      <c r="B266" s="1">
        <v>45391.75</v>
      </c>
    </row>
    <row r="267" spans="1:3" x14ac:dyDescent="0.25">
      <c r="A267" s="1">
        <v>45392.795833333003</v>
      </c>
      <c r="B267" s="1">
        <v>45391.75</v>
      </c>
      <c r="C267" t="s">
        <v>398</v>
      </c>
    </row>
    <row r="268" spans="1:3" x14ac:dyDescent="0.25">
      <c r="A268" s="1">
        <v>45391.795833333003</v>
      </c>
      <c r="B268" s="1">
        <v>45391.75</v>
      </c>
      <c r="C268" t="s">
        <v>504</v>
      </c>
    </row>
    <row r="269" spans="1:3" x14ac:dyDescent="0.25">
      <c r="A269" s="1">
        <v>45392.762499999997</v>
      </c>
      <c r="B269" s="1">
        <v>45391.75</v>
      </c>
      <c r="C269" t="s">
        <v>132</v>
      </c>
    </row>
    <row r="270" spans="1:3" x14ac:dyDescent="0.25">
      <c r="A270" s="1">
        <v>45392.747916667002</v>
      </c>
      <c r="B270" s="1">
        <v>45391.760416666999</v>
      </c>
      <c r="C270" t="s">
        <v>307</v>
      </c>
    </row>
    <row r="271" spans="1:3" x14ac:dyDescent="0.25">
      <c r="A271" s="1">
        <v>45391.720833332998</v>
      </c>
      <c r="B271" s="1">
        <v>45391.760416666999</v>
      </c>
      <c r="C271" t="s">
        <v>240</v>
      </c>
    </row>
    <row r="272" spans="1:3" x14ac:dyDescent="0.25">
      <c r="A272" s="1">
        <v>45392.795833333003</v>
      </c>
      <c r="B272" s="1">
        <v>45391.762499999997</v>
      </c>
      <c r="C272" t="s">
        <v>170</v>
      </c>
    </row>
    <row r="273" spans="1:3" x14ac:dyDescent="0.25">
      <c r="A273" s="1">
        <v>45391.783333332998</v>
      </c>
      <c r="B273" s="1">
        <v>45391.762499999997</v>
      </c>
      <c r="C273" t="s">
        <v>687</v>
      </c>
    </row>
    <row r="274" spans="1:3" x14ac:dyDescent="0.25">
      <c r="A274" s="1" t="s">
        <v>289</v>
      </c>
      <c r="B274" s="1">
        <v>45391.762499999997</v>
      </c>
    </row>
    <row r="275" spans="1:3" x14ac:dyDescent="0.25">
      <c r="A275" s="1">
        <v>45392.814583332998</v>
      </c>
      <c r="B275" s="1">
        <v>45391.762499999997</v>
      </c>
      <c r="C275" t="s">
        <v>286</v>
      </c>
    </row>
    <row r="276" spans="1:3" x14ac:dyDescent="0.25">
      <c r="A276" s="1">
        <v>45391.875</v>
      </c>
      <c r="B276" s="1">
        <v>45391.762499999997</v>
      </c>
      <c r="C276" t="s">
        <v>95</v>
      </c>
    </row>
    <row r="277" spans="1:3" x14ac:dyDescent="0.25">
      <c r="A277" s="1">
        <v>45392.822916666999</v>
      </c>
      <c r="B277" s="1">
        <v>45391.762499999997</v>
      </c>
      <c r="C277" t="s">
        <v>4</v>
      </c>
    </row>
    <row r="278" spans="1:3" x14ac:dyDescent="0.25">
      <c r="A278" s="1">
        <v>45391.9</v>
      </c>
      <c r="B278" s="1">
        <v>45391.766666666997</v>
      </c>
      <c r="C278" t="s">
        <v>162</v>
      </c>
    </row>
    <row r="279" spans="1:3" x14ac:dyDescent="0.25">
      <c r="A279" s="1">
        <v>45391.831250000003</v>
      </c>
      <c r="B279" s="1">
        <v>45391.766666666997</v>
      </c>
      <c r="C279" t="s">
        <v>562</v>
      </c>
    </row>
    <row r="280" spans="1:3" x14ac:dyDescent="0.25">
      <c r="A280" s="1">
        <v>45391.768750000003</v>
      </c>
      <c r="B280" s="1">
        <v>45391.768750000003</v>
      </c>
      <c r="C280" t="s">
        <v>62</v>
      </c>
    </row>
    <row r="281" spans="1:3" x14ac:dyDescent="0.25">
      <c r="A281" s="1">
        <v>45392.800000000003</v>
      </c>
      <c r="B281" s="1">
        <v>45391.768750000003</v>
      </c>
      <c r="C281" t="s">
        <v>4</v>
      </c>
    </row>
    <row r="282" spans="1:3" x14ac:dyDescent="0.25">
      <c r="A282" s="1">
        <v>45392.727083332997</v>
      </c>
      <c r="B282" s="1">
        <v>45391.768750000003</v>
      </c>
      <c r="C282" t="s">
        <v>641</v>
      </c>
    </row>
    <row r="283" spans="1:3" x14ac:dyDescent="0.25">
      <c r="A283" s="1">
        <v>45391.904166667002</v>
      </c>
      <c r="B283" s="1">
        <v>45391.768750000003</v>
      </c>
      <c r="C283" t="s">
        <v>757</v>
      </c>
    </row>
    <row r="284" spans="1:3" x14ac:dyDescent="0.25">
      <c r="A284" s="1">
        <v>45391.764583333003</v>
      </c>
      <c r="B284" s="1">
        <v>45391.772916667003</v>
      </c>
      <c r="C284" t="s">
        <v>667</v>
      </c>
    </row>
    <row r="285" spans="1:3" x14ac:dyDescent="0.25">
      <c r="A285" s="1">
        <v>45391.789583332997</v>
      </c>
      <c r="B285" s="1">
        <v>45391.772916667003</v>
      </c>
      <c r="C285" t="s">
        <v>186</v>
      </c>
    </row>
    <row r="286" spans="1:3" x14ac:dyDescent="0.25">
      <c r="A286" s="1">
        <v>45392.764583333003</v>
      </c>
      <c r="B286" s="1">
        <v>45391.772916667003</v>
      </c>
      <c r="C286" t="s">
        <v>224</v>
      </c>
    </row>
    <row r="287" spans="1:3" x14ac:dyDescent="0.25">
      <c r="A287" s="1">
        <v>45392.858333333003</v>
      </c>
      <c r="B287" s="1">
        <v>45391.772916667003</v>
      </c>
      <c r="C287" t="s">
        <v>226</v>
      </c>
    </row>
    <row r="288" spans="1:3" x14ac:dyDescent="0.25">
      <c r="A288" s="1">
        <v>45391.8125</v>
      </c>
      <c r="B288" s="1">
        <v>45391.772916667003</v>
      </c>
      <c r="C288" t="s">
        <v>115</v>
      </c>
    </row>
    <row r="289" spans="1:3" x14ac:dyDescent="0.25">
      <c r="A289" s="1">
        <v>45392.775000000001</v>
      </c>
      <c r="B289" s="1">
        <v>45391.772916667003</v>
      </c>
      <c r="C289" t="s">
        <v>632</v>
      </c>
    </row>
    <row r="290" spans="1:3" x14ac:dyDescent="0.25">
      <c r="A290" s="1">
        <v>45392.760416666999</v>
      </c>
      <c r="B290" s="1">
        <v>45391.772916667003</v>
      </c>
      <c r="C290" t="s">
        <v>670</v>
      </c>
    </row>
    <row r="291" spans="1:3" x14ac:dyDescent="0.25">
      <c r="A291" s="1">
        <v>45391.820833332997</v>
      </c>
      <c r="B291" s="1">
        <v>45391.775000000001</v>
      </c>
      <c r="C291" t="s">
        <v>477</v>
      </c>
    </row>
    <row r="292" spans="1:3" x14ac:dyDescent="0.25">
      <c r="A292" s="1">
        <v>45391.895833333001</v>
      </c>
      <c r="B292" s="1">
        <v>45391.775000000001</v>
      </c>
      <c r="C292" t="s">
        <v>689</v>
      </c>
    </row>
    <row r="293" spans="1:3" x14ac:dyDescent="0.25">
      <c r="A293" s="1" t="s">
        <v>289</v>
      </c>
      <c r="B293" s="1">
        <v>45391.775000000001</v>
      </c>
    </row>
    <row r="294" spans="1:3" x14ac:dyDescent="0.25">
      <c r="A294" s="1">
        <v>45391.9</v>
      </c>
      <c r="B294" s="1">
        <v>45391.775000000001</v>
      </c>
      <c r="C294" t="s">
        <v>89</v>
      </c>
    </row>
    <row r="295" spans="1:3" x14ac:dyDescent="0.25">
      <c r="A295" s="1">
        <v>45392.787499999999</v>
      </c>
      <c r="B295" s="1">
        <v>45391.775000000001</v>
      </c>
      <c r="C295" t="s">
        <v>615</v>
      </c>
    </row>
    <row r="296" spans="1:3" x14ac:dyDescent="0.25">
      <c r="A296" s="1">
        <v>45392.716666667002</v>
      </c>
      <c r="B296" s="1">
        <v>45391.775000000001</v>
      </c>
      <c r="C296" t="s">
        <v>758</v>
      </c>
    </row>
    <row r="297" spans="1:3" x14ac:dyDescent="0.25">
      <c r="A297" s="1">
        <v>45392.722916667</v>
      </c>
      <c r="B297" s="1">
        <v>45391.775000000001</v>
      </c>
      <c r="C297" t="s">
        <v>518</v>
      </c>
    </row>
    <row r="298" spans="1:3" x14ac:dyDescent="0.25">
      <c r="A298" s="1">
        <v>45391.824999999997</v>
      </c>
      <c r="B298" s="1">
        <v>45391.777083333</v>
      </c>
      <c r="C298" t="s">
        <v>396</v>
      </c>
    </row>
    <row r="299" spans="1:3" x14ac:dyDescent="0.25">
      <c r="A299" s="1">
        <v>45392.793749999997</v>
      </c>
      <c r="B299" s="1">
        <v>45391.777083333</v>
      </c>
      <c r="C299" t="s">
        <v>652</v>
      </c>
    </row>
    <row r="300" spans="1:3" x14ac:dyDescent="0.25">
      <c r="A300" s="1">
        <v>45391.731249999997</v>
      </c>
      <c r="B300" s="1">
        <v>45391.783333332998</v>
      </c>
      <c r="C300" t="s">
        <v>759</v>
      </c>
    </row>
    <row r="301" spans="1:3" x14ac:dyDescent="0.25">
      <c r="A301" s="1">
        <v>45391.712500000001</v>
      </c>
      <c r="B301" s="1">
        <v>45391.783333332998</v>
      </c>
      <c r="C301" t="s">
        <v>302</v>
      </c>
    </row>
    <row r="302" spans="1:3" x14ac:dyDescent="0.25">
      <c r="A302" s="1">
        <v>45391.9</v>
      </c>
      <c r="B302" s="1">
        <v>45391.783333332998</v>
      </c>
      <c r="C302" t="s">
        <v>138</v>
      </c>
    </row>
    <row r="303" spans="1:3" x14ac:dyDescent="0.25">
      <c r="A303" s="1">
        <v>45391.783333332998</v>
      </c>
      <c r="B303" s="1">
        <v>45391.783333332998</v>
      </c>
      <c r="C303" t="s">
        <v>172</v>
      </c>
    </row>
    <row r="304" spans="1:3" x14ac:dyDescent="0.25">
      <c r="A304" s="1">
        <v>45392.766666666997</v>
      </c>
      <c r="B304" s="1">
        <v>45391.787499999999</v>
      </c>
      <c r="C304" t="s">
        <v>236</v>
      </c>
    </row>
    <row r="305" spans="1:3" x14ac:dyDescent="0.25">
      <c r="A305" s="1">
        <v>45392.827083333003</v>
      </c>
      <c r="B305" s="1">
        <v>45391.787499999999</v>
      </c>
      <c r="C305" t="s">
        <v>93</v>
      </c>
    </row>
    <row r="306" spans="1:3" x14ac:dyDescent="0.25">
      <c r="A306" s="1">
        <v>45391.71875</v>
      </c>
      <c r="B306" s="1">
        <v>45391.791666666999</v>
      </c>
      <c r="C306" t="s">
        <v>555</v>
      </c>
    </row>
    <row r="307" spans="1:3" x14ac:dyDescent="0.25">
      <c r="A307" s="1">
        <v>45392.827083333003</v>
      </c>
      <c r="B307" s="1">
        <v>45391.791666666999</v>
      </c>
      <c r="C307" t="s">
        <v>566</v>
      </c>
    </row>
    <row r="308" spans="1:3" x14ac:dyDescent="0.25">
      <c r="A308" s="1">
        <v>45392.733333333003</v>
      </c>
      <c r="B308" s="1">
        <v>45391.797916666997</v>
      </c>
      <c r="C308" t="s">
        <v>393</v>
      </c>
    </row>
    <row r="309" spans="1:3" x14ac:dyDescent="0.25">
      <c r="A309" s="1">
        <v>45391.733333333003</v>
      </c>
      <c r="B309" s="1">
        <v>45391.797916666997</v>
      </c>
      <c r="C309" t="s">
        <v>278</v>
      </c>
    </row>
    <row r="310" spans="1:3" x14ac:dyDescent="0.25">
      <c r="A310" s="1">
        <v>45392.789583332997</v>
      </c>
      <c r="B310" s="1">
        <v>45391.814583332998</v>
      </c>
      <c r="C310" t="s">
        <v>176</v>
      </c>
    </row>
    <row r="311" spans="1:3" x14ac:dyDescent="0.25">
      <c r="A311" s="1">
        <v>45392.775000000001</v>
      </c>
      <c r="B311" s="1">
        <v>45391.814583332998</v>
      </c>
      <c r="C311" t="s">
        <v>685</v>
      </c>
    </row>
    <row r="312" spans="1:3" x14ac:dyDescent="0.25">
      <c r="A312" s="1">
        <v>45391.814583332998</v>
      </c>
      <c r="B312" s="1">
        <v>45391.816666667</v>
      </c>
      <c r="C312" t="s">
        <v>760</v>
      </c>
    </row>
    <row r="313" spans="1:3" x14ac:dyDescent="0.25">
      <c r="A313" s="1">
        <v>45391.910416667</v>
      </c>
      <c r="B313" s="1">
        <v>45391.816666667</v>
      </c>
      <c r="C313" t="s">
        <v>339</v>
      </c>
    </row>
    <row r="314" spans="1:3" x14ac:dyDescent="0.25">
      <c r="A314" s="1">
        <v>45391.885416666999</v>
      </c>
      <c r="B314" s="1">
        <v>45391.820833332997</v>
      </c>
      <c r="C314" t="s">
        <v>674</v>
      </c>
    </row>
    <row r="315" spans="1:3" x14ac:dyDescent="0.25">
      <c r="A315" s="1">
        <v>45391.777083333</v>
      </c>
      <c r="B315" s="1">
        <v>45391.820833332997</v>
      </c>
      <c r="C315" t="s">
        <v>452</v>
      </c>
    </row>
    <row r="316" spans="1:3" x14ac:dyDescent="0.25">
      <c r="A316" s="1">
        <v>45391.779166667002</v>
      </c>
      <c r="B316" s="1">
        <v>45391.820833332997</v>
      </c>
      <c r="C316" t="s">
        <v>422</v>
      </c>
    </row>
    <row r="317" spans="1:3" x14ac:dyDescent="0.25">
      <c r="A317" s="1">
        <v>45391.824999999997</v>
      </c>
      <c r="B317" s="1">
        <v>45391.820833332997</v>
      </c>
      <c r="C317" t="s">
        <v>251</v>
      </c>
    </row>
    <row r="318" spans="1:3" x14ac:dyDescent="0.25">
      <c r="A318" s="1">
        <v>45391.829166666997</v>
      </c>
      <c r="B318" s="1">
        <v>45391.829166666997</v>
      </c>
      <c r="C318" t="s">
        <v>267</v>
      </c>
    </row>
    <row r="319" spans="1:3" x14ac:dyDescent="0.25">
      <c r="A319" s="1">
        <v>45392.860416666997</v>
      </c>
      <c r="B319" s="1">
        <v>45391.829166666997</v>
      </c>
      <c r="C319" t="s">
        <v>99</v>
      </c>
    </row>
    <row r="320" spans="1:3" x14ac:dyDescent="0.25">
      <c r="A320" s="1">
        <v>45391.737500000003</v>
      </c>
      <c r="B320" s="1">
        <v>45391.833333333001</v>
      </c>
      <c r="C320" t="s">
        <v>377</v>
      </c>
    </row>
    <row r="321" spans="1:3" x14ac:dyDescent="0.25">
      <c r="A321" s="1">
        <v>45391.777083333</v>
      </c>
      <c r="B321" s="1">
        <v>45391.833333333001</v>
      </c>
      <c r="C321" t="s">
        <v>230</v>
      </c>
    </row>
    <row r="322" spans="1:3" x14ac:dyDescent="0.25">
      <c r="A322" s="1">
        <v>45392.743750000001</v>
      </c>
      <c r="B322" s="1">
        <v>45391.833333333001</v>
      </c>
      <c r="C322" t="s">
        <v>205</v>
      </c>
    </row>
    <row r="323" spans="1:3" x14ac:dyDescent="0.25">
      <c r="A323" s="1">
        <v>45391.85</v>
      </c>
      <c r="B323" s="1">
        <v>45391.837500000001</v>
      </c>
      <c r="C323" t="s">
        <v>430</v>
      </c>
    </row>
    <row r="324" spans="1:3" x14ac:dyDescent="0.25">
      <c r="A324" s="1">
        <v>45391.722916667</v>
      </c>
      <c r="B324" s="1">
        <v>45391.837500000001</v>
      </c>
      <c r="C324" t="s">
        <v>9</v>
      </c>
    </row>
    <row r="325" spans="1:3" x14ac:dyDescent="0.25">
      <c r="A325" s="1">
        <v>45392.800000000003</v>
      </c>
      <c r="B325" s="1">
        <v>45391.839583333</v>
      </c>
      <c r="C325" t="s">
        <v>236</v>
      </c>
    </row>
    <row r="326" spans="1:3" x14ac:dyDescent="0.25">
      <c r="A326" s="1">
        <v>45392.714583333</v>
      </c>
      <c r="B326" s="1">
        <v>45391.839583333</v>
      </c>
      <c r="C326" t="s">
        <v>44</v>
      </c>
    </row>
    <row r="327" spans="1:3" x14ac:dyDescent="0.25">
      <c r="A327" s="1">
        <v>45392.770833333001</v>
      </c>
      <c r="B327" s="1">
        <v>45391.845833332998</v>
      </c>
      <c r="C327" t="s">
        <v>249</v>
      </c>
    </row>
    <row r="328" spans="1:3" x14ac:dyDescent="0.25">
      <c r="A328" s="1">
        <v>45391.887499999997</v>
      </c>
      <c r="B328" s="1">
        <v>45391.845833332998</v>
      </c>
      <c r="C328" t="s">
        <v>456</v>
      </c>
    </row>
    <row r="329" spans="1:3" x14ac:dyDescent="0.25">
      <c r="A329" s="1">
        <v>45391.762499999997</v>
      </c>
      <c r="B329" s="1">
        <v>45391.85</v>
      </c>
      <c r="C329" t="s">
        <v>145</v>
      </c>
    </row>
    <row r="330" spans="1:3" x14ac:dyDescent="0.25">
      <c r="A330" s="1">
        <v>45392.762499999997</v>
      </c>
      <c r="B330" s="1">
        <v>45391.85</v>
      </c>
      <c r="C330" t="s">
        <v>635</v>
      </c>
    </row>
    <row r="331" spans="1:3" x14ac:dyDescent="0.25">
      <c r="A331" s="1">
        <v>45391.795833333003</v>
      </c>
      <c r="B331" s="1">
        <v>45391.85</v>
      </c>
      <c r="C331" t="s">
        <v>639</v>
      </c>
    </row>
    <row r="332" spans="1:3" x14ac:dyDescent="0.25">
      <c r="A332" s="1">
        <v>45391.872916667002</v>
      </c>
      <c r="B332" s="1">
        <v>45391.85</v>
      </c>
      <c r="C332" t="s">
        <v>761</v>
      </c>
    </row>
    <row r="333" spans="1:3" x14ac:dyDescent="0.25">
      <c r="A333" s="1">
        <v>45391.793749999997</v>
      </c>
      <c r="B333" s="1">
        <v>45391.85</v>
      </c>
      <c r="C333" t="s">
        <v>762</v>
      </c>
    </row>
    <row r="334" spans="1:3" x14ac:dyDescent="0.25">
      <c r="A334" s="1">
        <v>45392.789583332997</v>
      </c>
      <c r="B334" s="1">
        <v>45391.85</v>
      </c>
      <c r="C334" t="s">
        <v>308</v>
      </c>
    </row>
    <row r="335" spans="1:3" x14ac:dyDescent="0.25">
      <c r="A335" s="1">
        <v>45391.904166667002</v>
      </c>
      <c r="B335" s="1">
        <v>45391.85</v>
      </c>
      <c r="C335" t="s">
        <v>554</v>
      </c>
    </row>
    <row r="336" spans="1:3" x14ac:dyDescent="0.25">
      <c r="A336" s="1">
        <v>45391.816666667</v>
      </c>
      <c r="B336" s="1">
        <v>45391.85</v>
      </c>
      <c r="C336" t="s">
        <v>175</v>
      </c>
    </row>
    <row r="337" spans="1:3" x14ac:dyDescent="0.25">
      <c r="A337" s="1">
        <v>45392.802083333001</v>
      </c>
      <c r="B337" s="1">
        <v>45391.864583333001</v>
      </c>
      <c r="C337" t="s">
        <v>288</v>
      </c>
    </row>
    <row r="338" spans="1:3" x14ac:dyDescent="0.25">
      <c r="A338" s="1">
        <v>45392.768750000003</v>
      </c>
      <c r="B338" s="1">
        <v>45391.864583333001</v>
      </c>
      <c r="C338" t="s">
        <v>261</v>
      </c>
    </row>
    <row r="339" spans="1:3" x14ac:dyDescent="0.25">
      <c r="A339" s="1">
        <v>45392.75</v>
      </c>
      <c r="B339" s="1">
        <v>45391.870833333</v>
      </c>
      <c r="C339" t="s">
        <v>625</v>
      </c>
    </row>
    <row r="340" spans="1:3" x14ac:dyDescent="0.25">
      <c r="A340" s="1">
        <v>45391.768750000003</v>
      </c>
      <c r="B340" s="1">
        <v>45391.870833333</v>
      </c>
      <c r="C340" t="s">
        <v>704</v>
      </c>
    </row>
    <row r="341" spans="1:3" x14ac:dyDescent="0.25">
      <c r="A341" s="1">
        <v>45391.735416666997</v>
      </c>
      <c r="B341" s="1">
        <v>45391.870833333</v>
      </c>
      <c r="C341" t="s">
        <v>714</v>
      </c>
    </row>
    <row r="342" spans="1:3" x14ac:dyDescent="0.25">
      <c r="A342" s="1">
        <v>45391.743750000001</v>
      </c>
      <c r="B342" s="1">
        <v>45391.881249999999</v>
      </c>
      <c r="C342" t="s">
        <v>763</v>
      </c>
    </row>
    <row r="343" spans="1:3" x14ac:dyDescent="0.25">
      <c r="A343" s="1">
        <v>45391.716666667002</v>
      </c>
      <c r="B343" s="1">
        <v>45391.881249999999</v>
      </c>
      <c r="C343" t="s">
        <v>338</v>
      </c>
    </row>
    <row r="344" spans="1:3" x14ac:dyDescent="0.25">
      <c r="A344" s="1">
        <v>45392.85</v>
      </c>
      <c r="B344" s="1">
        <v>45391.885416666999</v>
      </c>
      <c r="C344" t="s">
        <v>489</v>
      </c>
    </row>
    <row r="345" spans="1:3" x14ac:dyDescent="0.25">
      <c r="A345" s="1">
        <v>45391.833333333001</v>
      </c>
      <c r="B345" s="1">
        <v>45391.885416666999</v>
      </c>
      <c r="C345" t="s">
        <v>764</v>
      </c>
    </row>
    <row r="346" spans="1:3" x14ac:dyDescent="0.25">
      <c r="A346" s="1">
        <v>45392.783333332998</v>
      </c>
      <c r="B346" s="1">
        <v>45391.885416666999</v>
      </c>
      <c r="C346" t="s">
        <v>525</v>
      </c>
    </row>
    <row r="347" spans="1:3" x14ac:dyDescent="0.25">
      <c r="A347" s="1">
        <v>45391.904166667002</v>
      </c>
      <c r="B347" s="1">
        <v>45391.9</v>
      </c>
      <c r="C347" t="s">
        <v>401</v>
      </c>
    </row>
    <row r="348" spans="1:3" x14ac:dyDescent="0.25">
      <c r="A348" s="1">
        <v>45391.897916667003</v>
      </c>
      <c r="B348" s="1">
        <v>45391.9</v>
      </c>
      <c r="C348" t="s">
        <v>711</v>
      </c>
    </row>
    <row r="349" spans="1:3" x14ac:dyDescent="0.25">
      <c r="A349" s="1">
        <v>45391.908333332998</v>
      </c>
      <c r="B349" s="1">
        <v>45391.9</v>
      </c>
      <c r="C349" t="s">
        <v>482</v>
      </c>
    </row>
    <row r="350" spans="1:3" x14ac:dyDescent="0.25">
      <c r="A350" s="1">
        <v>45391.816666667</v>
      </c>
      <c r="B350" s="1">
        <v>45391.9</v>
      </c>
      <c r="C350" t="s">
        <v>67</v>
      </c>
    </row>
    <row r="351" spans="1:3" x14ac:dyDescent="0.25">
      <c r="A351" s="1" t="s">
        <v>289</v>
      </c>
      <c r="B351" s="1">
        <v>45391.9</v>
      </c>
    </row>
    <row r="352" spans="1:3" x14ac:dyDescent="0.25">
      <c r="A352" s="1" t="s">
        <v>289</v>
      </c>
      <c r="B352" s="1">
        <v>45391.904166667002</v>
      </c>
    </row>
    <row r="353" spans="1:3" x14ac:dyDescent="0.25">
      <c r="A353" s="1">
        <v>45391.847916667</v>
      </c>
      <c r="B353" s="1">
        <v>45391.904166667002</v>
      </c>
      <c r="C353" t="s">
        <v>672</v>
      </c>
    </row>
    <row r="354" spans="1:3" x14ac:dyDescent="0.25">
      <c r="A354" s="1">
        <v>45391.820833332997</v>
      </c>
      <c r="B354" s="1">
        <v>45392.708333333001</v>
      </c>
      <c r="C354" t="s">
        <v>523</v>
      </c>
    </row>
    <row r="355" spans="1:3" x14ac:dyDescent="0.25">
      <c r="A355" s="1">
        <v>45391.883333332997</v>
      </c>
      <c r="B355" s="1">
        <v>45392.708333333001</v>
      </c>
      <c r="C355" t="s">
        <v>255</v>
      </c>
    </row>
    <row r="356" spans="1:3" x14ac:dyDescent="0.25">
      <c r="A356" s="1">
        <v>45391.891666666997</v>
      </c>
      <c r="B356" s="1">
        <v>45392.708333333001</v>
      </c>
      <c r="C356" t="s">
        <v>546</v>
      </c>
    </row>
    <row r="357" spans="1:3" x14ac:dyDescent="0.25">
      <c r="A357" s="1">
        <v>45391.78125</v>
      </c>
      <c r="B357" s="1">
        <v>45392.714583333</v>
      </c>
      <c r="C357" t="s">
        <v>512</v>
      </c>
    </row>
    <row r="358" spans="1:3" x14ac:dyDescent="0.25">
      <c r="A358" s="1">
        <v>45391.797916666997</v>
      </c>
      <c r="B358" s="1">
        <v>45392.714583333</v>
      </c>
      <c r="C358" t="s">
        <v>423</v>
      </c>
    </row>
    <row r="359" spans="1:3" x14ac:dyDescent="0.25">
      <c r="A359" s="1">
        <v>45391.785416667</v>
      </c>
      <c r="B359" s="1">
        <v>45392.714583333</v>
      </c>
      <c r="C359" t="s">
        <v>135</v>
      </c>
    </row>
    <row r="360" spans="1:3" x14ac:dyDescent="0.25">
      <c r="A360" s="1">
        <v>45393.789583332997</v>
      </c>
      <c r="B360" s="1">
        <v>45392.714583333</v>
      </c>
      <c r="C360" t="s">
        <v>712</v>
      </c>
    </row>
    <row r="361" spans="1:3" x14ac:dyDescent="0.25">
      <c r="A361" s="1">
        <v>45391.729166666999</v>
      </c>
      <c r="B361" s="1">
        <v>45392.714583333</v>
      </c>
      <c r="C361" t="s">
        <v>765</v>
      </c>
    </row>
    <row r="362" spans="1:3" x14ac:dyDescent="0.25">
      <c r="A362" s="1">
        <v>45393.777083333</v>
      </c>
      <c r="B362" s="1">
        <v>45392.714583333</v>
      </c>
    </row>
    <row r="363" spans="1:3" x14ac:dyDescent="0.25">
      <c r="A363" s="1">
        <v>45391.90625</v>
      </c>
      <c r="B363" s="1">
        <v>45392.714583333</v>
      </c>
      <c r="C363" t="s">
        <v>431</v>
      </c>
    </row>
    <row r="364" spans="1:3" x14ac:dyDescent="0.25">
      <c r="A364" s="1">
        <v>45391.837500000001</v>
      </c>
      <c r="B364" s="1">
        <v>45392.714583333</v>
      </c>
      <c r="C364" t="s">
        <v>560</v>
      </c>
    </row>
    <row r="365" spans="1:3" x14ac:dyDescent="0.25">
      <c r="A365" s="1">
        <v>45392.818749999999</v>
      </c>
      <c r="B365" s="1">
        <v>45392.714583333</v>
      </c>
      <c r="C365" t="s">
        <v>245</v>
      </c>
    </row>
    <row r="366" spans="1:3" x14ac:dyDescent="0.25">
      <c r="A366" s="1">
        <v>45391.712500000001</v>
      </c>
      <c r="B366" s="1">
        <v>45392.716666667002</v>
      </c>
      <c r="C366" t="s">
        <v>678</v>
      </c>
    </row>
    <row r="367" spans="1:3" x14ac:dyDescent="0.25">
      <c r="A367" s="1" t="s">
        <v>289</v>
      </c>
      <c r="B367" s="1">
        <v>45392.716666667002</v>
      </c>
    </row>
    <row r="368" spans="1:3" x14ac:dyDescent="0.25">
      <c r="A368" s="1">
        <v>45391.891666666997</v>
      </c>
      <c r="B368" s="1">
        <v>45392.716666667002</v>
      </c>
      <c r="C368" t="s">
        <v>86</v>
      </c>
    </row>
    <row r="369" spans="1:3" x14ac:dyDescent="0.25">
      <c r="A369" s="1">
        <v>45392.770833333001</v>
      </c>
      <c r="B369" s="1">
        <v>45392.716666667002</v>
      </c>
      <c r="C369" t="s">
        <v>443</v>
      </c>
    </row>
    <row r="370" spans="1:3" x14ac:dyDescent="0.25">
      <c r="A370" s="1">
        <v>45391.84375</v>
      </c>
      <c r="B370" s="1">
        <v>45392.716666667002</v>
      </c>
      <c r="C370" t="s">
        <v>412</v>
      </c>
    </row>
    <row r="371" spans="1:3" x14ac:dyDescent="0.25">
      <c r="A371" s="1">
        <v>45391.741666667003</v>
      </c>
      <c r="B371" s="1">
        <v>45392.716666667002</v>
      </c>
      <c r="C371" t="s">
        <v>219</v>
      </c>
    </row>
    <row r="372" spans="1:3" x14ac:dyDescent="0.25">
      <c r="A372" s="1">
        <v>45391.84375</v>
      </c>
      <c r="B372" s="1">
        <v>45392.716666667002</v>
      </c>
      <c r="C372" t="s">
        <v>409</v>
      </c>
    </row>
    <row r="373" spans="1:3" x14ac:dyDescent="0.25">
      <c r="A373" s="1">
        <v>45391.839583333</v>
      </c>
      <c r="B373" s="1">
        <v>45392.71875</v>
      </c>
      <c r="C373" t="s">
        <v>218</v>
      </c>
    </row>
    <row r="374" spans="1:3" x14ac:dyDescent="0.25">
      <c r="A374" s="1">
        <v>45393.727083332997</v>
      </c>
      <c r="B374" s="1">
        <v>45392.71875</v>
      </c>
      <c r="C374" t="s">
        <v>189</v>
      </c>
    </row>
    <row r="375" spans="1:3" x14ac:dyDescent="0.25">
      <c r="A375" s="1">
        <v>45392.791666666999</v>
      </c>
      <c r="B375" s="1">
        <v>45392.71875</v>
      </c>
      <c r="C375" t="s">
        <v>467</v>
      </c>
    </row>
    <row r="376" spans="1:3" x14ac:dyDescent="0.25">
      <c r="A376" s="1" t="s">
        <v>289</v>
      </c>
      <c r="B376" s="1">
        <v>45392.71875</v>
      </c>
      <c r="C376" t="s">
        <v>766</v>
      </c>
    </row>
    <row r="377" spans="1:3" x14ac:dyDescent="0.25">
      <c r="A377" s="1">
        <v>45392.760416666999</v>
      </c>
      <c r="B377" s="1">
        <v>45392.71875</v>
      </c>
      <c r="C377" t="s">
        <v>521</v>
      </c>
    </row>
    <row r="378" spans="1:3" x14ac:dyDescent="0.25">
      <c r="A378" s="1">
        <v>45391.887499999997</v>
      </c>
      <c r="B378" s="1">
        <v>45392.71875</v>
      </c>
      <c r="C378" t="s">
        <v>279</v>
      </c>
    </row>
    <row r="379" spans="1:3" x14ac:dyDescent="0.25">
      <c r="A379" s="1">
        <v>45391.870833333</v>
      </c>
      <c r="B379" s="1">
        <v>45392.71875</v>
      </c>
      <c r="C379" t="s">
        <v>655</v>
      </c>
    </row>
    <row r="380" spans="1:3" x14ac:dyDescent="0.25">
      <c r="A380" s="1">
        <v>45393.712500000001</v>
      </c>
      <c r="B380" s="1">
        <v>45392.71875</v>
      </c>
      <c r="C380" t="s">
        <v>126</v>
      </c>
    </row>
    <row r="381" spans="1:3" x14ac:dyDescent="0.25">
      <c r="A381" s="1">
        <v>45391.885416666999</v>
      </c>
      <c r="B381" s="1">
        <v>45392.71875</v>
      </c>
      <c r="C381" t="s">
        <v>167</v>
      </c>
    </row>
    <row r="382" spans="1:3" x14ac:dyDescent="0.25">
      <c r="A382" s="1">
        <v>45391.735416666997</v>
      </c>
      <c r="B382" s="1">
        <v>45392.720833332998</v>
      </c>
      <c r="C382" t="s">
        <v>543</v>
      </c>
    </row>
    <row r="383" spans="1:3" x14ac:dyDescent="0.25">
      <c r="A383" s="1">
        <v>45391.727083332997</v>
      </c>
      <c r="B383" s="1">
        <v>45392.720833332998</v>
      </c>
      <c r="C383" t="s">
        <v>39</v>
      </c>
    </row>
    <row r="384" spans="1:3" x14ac:dyDescent="0.25">
      <c r="A384" s="1">
        <v>45392.772916667003</v>
      </c>
      <c r="B384" s="1">
        <v>45392.720833332998</v>
      </c>
      <c r="C384" t="s">
        <v>399</v>
      </c>
    </row>
    <row r="385" spans="1:3" x14ac:dyDescent="0.25">
      <c r="A385" s="1">
        <v>45392.777083333</v>
      </c>
      <c r="B385" s="1">
        <v>45392.720833332998</v>
      </c>
      <c r="C385" t="s">
        <v>681</v>
      </c>
    </row>
    <row r="386" spans="1:3" x14ac:dyDescent="0.25">
      <c r="A386" s="1">
        <v>45391.910416667</v>
      </c>
      <c r="B386" s="1">
        <v>45392.720833332998</v>
      </c>
      <c r="C386" t="s">
        <v>264</v>
      </c>
    </row>
    <row r="387" spans="1:3" x14ac:dyDescent="0.25">
      <c r="A387" s="1">
        <v>45392.8125</v>
      </c>
      <c r="B387" s="1">
        <v>45392.720833332998</v>
      </c>
      <c r="C387" t="s">
        <v>575</v>
      </c>
    </row>
    <row r="388" spans="1:3" x14ac:dyDescent="0.25">
      <c r="A388" s="1">
        <v>45392.854166666999</v>
      </c>
      <c r="B388" s="1">
        <v>45392.720833332998</v>
      </c>
      <c r="C388" t="s">
        <v>165</v>
      </c>
    </row>
    <row r="389" spans="1:3" x14ac:dyDescent="0.25">
      <c r="A389" s="1">
        <v>45391.775000000001</v>
      </c>
      <c r="B389" s="1">
        <v>45392.720833332998</v>
      </c>
      <c r="C389" t="s">
        <v>590</v>
      </c>
    </row>
    <row r="390" spans="1:3" x14ac:dyDescent="0.25">
      <c r="A390" s="1">
        <v>45392.762499999997</v>
      </c>
      <c r="B390" s="1">
        <v>45392.720833332998</v>
      </c>
      <c r="C390" t="s">
        <v>537</v>
      </c>
    </row>
    <row r="391" spans="1:3" x14ac:dyDescent="0.25">
      <c r="A391" s="1">
        <v>45391.712500000001</v>
      </c>
      <c r="B391" s="1">
        <v>45392.722916667</v>
      </c>
      <c r="C391" t="s">
        <v>500</v>
      </c>
    </row>
    <row r="392" spans="1:3" x14ac:dyDescent="0.25">
      <c r="A392" s="1">
        <v>45392.829166666997</v>
      </c>
      <c r="B392" s="1">
        <v>45392.722916667</v>
      </c>
      <c r="C392" t="s">
        <v>163</v>
      </c>
    </row>
    <row r="393" spans="1:3" x14ac:dyDescent="0.25">
      <c r="A393" s="1" t="s">
        <v>289</v>
      </c>
      <c r="B393" s="1">
        <v>45392.722916667</v>
      </c>
    </row>
    <row r="394" spans="1:3" x14ac:dyDescent="0.25">
      <c r="A394" s="1">
        <v>45391.872916667002</v>
      </c>
      <c r="B394" s="1">
        <v>45392.724999999999</v>
      </c>
      <c r="C394" t="s">
        <v>316</v>
      </c>
    </row>
    <row r="395" spans="1:3" x14ac:dyDescent="0.25">
      <c r="A395" s="1">
        <v>45392.737500000003</v>
      </c>
      <c r="B395" s="1">
        <v>45392.724999999999</v>
      </c>
      <c r="C395" t="s">
        <v>116</v>
      </c>
    </row>
    <row r="396" spans="1:3" x14ac:dyDescent="0.25">
      <c r="A396" s="1">
        <v>45391.714583333</v>
      </c>
      <c r="B396" s="1">
        <v>45392.724999999999</v>
      </c>
      <c r="C396" t="s">
        <v>375</v>
      </c>
    </row>
    <row r="397" spans="1:3" x14ac:dyDescent="0.25">
      <c r="A397" s="1">
        <v>45393.733333333003</v>
      </c>
      <c r="B397" s="1">
        <v>45392.724999999999</v>
      </c>
      <c r="C397" t="s">
        <v>384</v>
      </c>
    </row>
    <row r="398" spans="1:3" x14ac:dyDescent="0.25">
      <c r="A398" s="1">
        <v>45392.820833332997</v>
      </c>
      <c r="B398" s="1">
        <v>45392.724999999999</v>
      </c>
      <c r="C398" t="s">
        <v>151</v>
      </c>
    </row>
    <row r="399" spans="1:3" x14ac:dyDescent="0.25">
      <c r="A399" s="1">
        <v>45391.8</v>
      </c>
      <c r="B399" s="1">
        <v>45392.724999999999</v>
      </c>
      <c r="C399" t="s">
        <v>283</v>
      </c>
    </row>
    <row r="400" spans="1:3" x14ac:dyDescent="0.25">
      <c r="A400" s="1">
        <v>45391.852083332997</v>
      </c>
      <c r="B400" s="1">
        <v>45392.727083332997</v>
      </c>
      <c r="C400" t="s">
        <v>577</v>
      </c>
    </row>
    <row r="401" spans="1:3" x14ac:dyDescent="0.25">
      <c r="A401" s="1">
        <v>45391.835416667003</v>
      </c>
      <c r="B401" s="1">
        <v>45392.727083332997</v>
      </c>
      <c r="C401" t="s">
        <v>767</v>
      </c>
    </row>
    <row r="402" spans="1:3" x14ac:dyDescent="0.25">
      <c r="A402" s="1">
        <v>45392.762499999997</v>
      </c>
      <c r="B402" s="1">
        <v>45392.729166666999</v>
      </c>
      <c r="C402" t="s">
        <v>242</v>
      </c>
    </row>
    <row r="403" spans="1:3" x14ac:dyDescent="0.25">
      <c r="A403" s="1">
        <v>45391.887499999997</v>
      </c>
      <c r="B403" s="1">
        <v>45392.729166666999</v>
      </c>
      <c r="C403" t="s">
        <v>402</v>
      </c>
    </row>
    <row r="404" spans="1:3" x14ac:dyDescent="0.25">
      <c r="A404" s="1">
        <v>45391.881249999999</v>
      </c>
      <c r="B404" s="1">
        <v>45392.729166666999</v>
      </c>
      <c r="C404" t="s">
        <v>464</v>
      </c>
    </row>
    <row r="405" spans="1:3" x14ac:dyDescent="0.25">
      <c r="A405" s="1" t="s">
        <v>289</v>
      </c>
      <c r="B405" s="1">
        <v>45392.729166666999</v>
      </c>
    </row>
    <row r="406" spans="1:3" x14ac:dyDescent="0.25">
      <c r="A406" s="1">
        <v>45392.827083333003</v>
      </c>
      <c r="B406" s="1">
        <v>45392.729166666999</v>
      </c>
      <c r="C406" t="s">
        <v>547</v>
      </c>
    </row>
    <row r="407" spans="1:3" x14ac:dyDescent="0.25">
      <c r="A407" s="1">
        <v>45391.710416667003</v>
      </c>
      <c r="B407" s="1">
        <v>45392.731249999997</v>
      </c>
      <c r="C407" t="s">
        <v>332</v>
      </c>
    </row>
    <row r="408" spans="1:3" x14ac:dyDescent="0.25">
      <c r="A408" s="1">
        <v>45391.793749999997</v>
      </c>
      <c r="B408" s="1">
        <v>45392.731249999997</v>
      </c>
      <c r="C408" t="s">
        <v>551</v>
      </c>
    </row>
    <row r="409" spans="1:3" x14ac:dyDescent="0.25">
      <c r="A409" s="1">
        <v>45391.739583333001</v>
      </c>
      <c r="B409" s="1">
        <v>45392.731249999997</v>
      </c>
      <c r="C409" t="s">
        <v>432</v>
      </c>
    </row>
    <row r="410" spans="1:3" x14ac:dyDescent="0.25">
      <c r="A410" s="1">
        <v>45392.785416667</v>
      </c>
      <c r="B410" s="1">
        <v>45392.731249999997</v>
      </c>
      <c r="C410" t="s">
        <v>222</v>
      </c>
    </row>
    <row r="411" spans="1:3" x14ac:dyDescent="0.25">
      <c r="A411" s="1">
        <v>45391.802083333001</v>
      </c>
      <c r="B411" s="1">
        <v>45392.733333333003</v>
      </c>
      <c r="C411" t="s">
        <v>380</v>
      </c>
    </row>
    <row r="412" spans="1:3" x14ac:dyDescent="0.25">
      <c r="A412" s="1">
        <v>45391.735416666997</v>
      </c>
      <c r="B412" s="1">
        <v>45392.733333333003</v>
      </c>
      <c r="C412" t="s">
        <v>400</v>
      </c>
    </row>
    <row r="413" spans="1:3" x14ac:dyDescent="0.25">
      <c r="A413" s="1">
        <v>45391.708333333001</v>
      </c>
      <c r="B413" s="1">
        <v>45392.733333333003</v>
      </c>
      <c r="C413" t="s">
        <v>259</v>
      </c>
    </row>
    <row r="414" spans="1:3" x14ac:dyDescent="0.25">
      <c r="A414" s="1">
        <v>45391.841666667002</v>
      </c>
      <c r="B414" s="1">
        <v>45392.733333333003</v>
      </c>
      <c r="C414" t="s">
        <v>274</v>
      </c>
    </row>
    <row r="415" spans="1:3" x14ac:dyDescent="0.25">
      <c r="A415" s="1">
        <v>45392.839583333</v>
      </c>
      <c r="B415" s="1">
        <v>45392.733333333003</v>
      </c>
      <c r="C415" t="s">
        <v>662</v>
      </c>
    </row>
    <row r="416" spans="1:3" x14ac:dyDescent="0.25">
      <c r="A416" s="1">
        <v>45391.816666667</v>
      </c>
      <c r="B416" s="1">
        <v>45392.733333333003</v>
      </c>
      <c r="C416" t="s">
        <v>542</v>
      </c>
    </row>
    <row r="417" spans="1:3" x14ac:dyDescent="0.25">
      <c r="A417" s="1">
        <v>45391.852083332997</v>
      </c>
      <c r="B417" s="1">
        <v>45392.735416666997</v>
      </c>
      <c r="C417" t="s">
        <v>700</v>
      </c>
    </row>
    <row r="418" spans="1:3" x14ac:dyDescent="0.25">
      <c r="A418" s="1">
        <v>45391.772916667003</v>
      </c>
      <c r="B418" s="1">
        <v>45392.735416666997</v>
      </c>
      <c r="C418" t="s">
        <v>633</v>
      </c>
    </row>
    <row r="419" spans="1:3" x14ac:dyDescent="0.25">
      <c r="A419" s="1">
        <v>45391.818749999999</v>
      </c>
      <c r="B419" s="1">
        <v>45392.735416666997</v>
      </c>
      <c r="C419" t="s">
        <v>606</v>
      </c>
    </row>
    <row r="420" spans="1:3" x14ac:dyDescent="0.25">
      <c r="A420" s="1">
        <v>45391.787499999999</v>
      </c>
      <c r="B420" s="1">
        <v>45392.735416666997</v>
      </c>
      <c r="C420" t="s">
        <v>718</v>
      </c>
    </row>
    <row r="421" spans="1:3" x14ac:dyDescent="0.25">
      <c r="A421" s="1">
        <v>45391.75</v>
      </c>
      <c r="B421" s="1">
        <v>45392.735416666997</v>
      </c>
      <c r="C421" t="s">
        <v>768</v>
      </c>
    </row>
    <row r="422" spans="1:3" x14ac:dyDescent="0.25">
      <c r="A422" s="1" t="s">
        <v>289</v>
      </c>
      <c r="B422" s="1">
        <v>45392.735416666997</v>
      </c>
    </row>
    <row r="423" spans="1:3" x14ac:dyDescent="0.25">
      <c r="A423" s="1">
        <v>45392.864583333001</v>
      </c>
      <c r="B423" s="1">
        <v>45392.737500000003</v>
      </c>
      <c r="C423" t="s">
        <v>587</v>
      </c>
    </row>
    <row r="424" spans="1:3" x14ac:dyDescent="0.25">
      <c r="A424" s="1" t="s">
        <v>289</v>
      </c>
      <c r="B424" s="1">
        <v>45392.737500000003</v>
      </c>
    </row>
    <row r="425" spans="1:3" x14ac:dyDescent="0.25">
      <c r="A425" s="1">
        <v>45392.837500000001</v>
      </c>
      <c r="B425" s="1">
        <v>45392.737500000003</v>
      </c>
      <c r="C425" t="s">
        <v>120</v>
      </c>
    </row>
    <row r="426" spans="1:3" x14ac:dyDescent="0.25">
      <c r="A426" s="1">
        <v>45391.818749999999</v>
      </c>
      <c r="B426" s="1">
        <v>45392.737500000003</v>
      </c>
      <c r="C426" t="s">
        <v>651</v>
      </c>
    </row>
    <row r="427" spans="1:3" x14ac:dyDescent="0.25">
      <c r="A427" s="1">
        <v>45391.881249999999</v>
      </c>
      <c r="B427" s="1">
        <v>45392.739583333001</v>
      </c>
      <c r="C427" t="s">
        <v>48</v>
      </c>
    </row>
    <row r="428" spans="1:3" x14ac:dyDescent="0.25">
      <c r="A428" s="1" t="s">
        <v>289</v>
      </c>
      <c r="B428" s="1">
        <v>45392.739583333001</v>
      </c>
      <c r="C428" t="s">
        <v>731</v>
      </c>
    </row>
    <row r="429" spans="1:3" x14ac:dyDescent="0.25">
      <c r="A429" s="1">
        <v>45392.766666666997</v>
      </c>
      <c r="B429" s="1">
        <v>45392.739583333001</v>
      </c>
      <c r="C429" t="s">
        <v>585</v>
      </c>
    </row>
    <row r="430" spans="1:3" x14ac:dyDescent="0.25">
      <c r="A430" s="1">
        <v>45391.822916666999</v>
      </c>
      <c r="B430" s="1">
        <v>45392.739583333001</v>
      </c>
      <c r="C430" t="s">
        <v>269</v>
      </c>
    </row>
    <row r="431" spans="1:3" x14ac:dyDescent="0.25">
      <c r="A431" s="1">
        <v>45391.731249999997</v>
      </c>
      <c r="B431" s="1">
        <v>45392.741666667003</v>
      </c>
      <c r="C431" t="s">
        <v>104</v>
      </c>
    </row>
    <row r="432" spans="1:3" x14ac:dyDescent="0.25">
      <c r="A432" s="1">
        <v>45391.866666667003</v>
      </c>
      <c r="B432" s="1">
        <v>45392.741666667003</v>
      </c>
      <c r="C432" t="s">
        <v>656</v>
      </c>
    </row>
    <row r="433" spans="1:3" x14ac:dyDescent="0.25">
      <c r="A433" s="1">
        <v>45392.733333333003</v>
      </c>
      <c r="B433" s="1">
        <v>45392.743750000001</v>
      </c>
      <c r="C433" t="s">
        <v>478</v>
      </c>
    </row>
    <row r="434" spans="1:3" x14ac:dyDescent="0.25">
      <c r="A434" s="1">
        <v>45391.766666666997</v>
      </c>
      <c r="B434" s="1">
        <v>45392.743750000001</v>
      </c>
      <c r="C434" t="s">
        <v>769</v>
      </c>
    </row>
    <row r="435" spans="1:3" x14ac:dyDescent="0.25">
      <c r="A435" s="1">
        <v>45391.864583333001</v>
      </c>
      <c r="B435" s="1">
        <v>45392.743750000001</v>
      </c>
      <c r="C435" t="s">
        <v>78</v>
      </c>
    </row>
    <row r="436" spans="1:3" x14ac:dyDescent="0.25">
      <c r="A436" s="1">
        <v>45391.835416667003</v>
      </c>
      <c r="B436" s="1">
        <v>45392.743750000001</v>
      </c>
      <c r="C436" t="s">
        <v>708</v>
      </c>
    </row>
    <row r="437" spans="1:3" x14ac:dyDescent="0.25">
      <c r="A437" s="1">
        <v>45391.770833333001</v>
      </c>
      <c r="B437" s="1">
        <v>45392.745833333</v>
      </c>
      <c r="C437" t="s">
        <v>314</v>
      </c>
    </row>
    <row r="438" spans="1:3" x14ac:dyDescent="0.25">
      <c r="A438" s="1">
        <v>45392.716666667002</v>
      </c>
      <c r="B438" s="1">
        <v>45392.745833333</v>
      </c>
      <c r="C438" t="s">
        <v>276</v>
      </c>
    </row>
    <row r="439" spans="1:3" x14ac:dyDescent="0.25">
      <c r="A439" s="1">
        <v>45392.75</v>
      </c>
      <c r="B439" s="1">
        <v>45392.745833333</v>
      </c>
      <c r="C439" t="s">
        <v>770</v>
      </c>
    </row>
    <row r="440" spans="1:3" x14ac:dyDescent="0.25">
      <c r="A440" s="1">
        <v>45391.829166666997</v>
      </c>
      <c r="B440" s="1">
        <v>45392.745833333</v>
      </c>
      <c r="C440" t="s">
        <v>595</v>
      </c>
    </row>
    <row r="441" spans="1:3" x14ac:dyDescent="0.25">
      <c r="A441" s="1">
        <v>45391.775000000001</v>
      </c>
      <c r="B441" s="1">
        <v>45392.745833333</v>
      </c>
      <c r="C441" t="s">
        <v>124</v>
      </c>
    </row>
    <row r="442" spans="1:3" x14ac:dyDescent="0.25">
      <c r="A442" s="1">
        <v>45391.802083333001</v>
      </c>
      <c r="B442" s="1">
        <v>45392.745833333</v>
      </c>
      <c r="C442" t="s">
        <v>771</v>
      </c>
    </row>
    <row r="443" spans="1:3" x14ac:dyDescent="0.25">
      <c r="A443" s="1">
        <v>45391.724999999999</v>
      </c>
      <c r="B443" s="1">
        <v>45392.747916667002</v>
      </c>
      <c r="C443" t="s">
        <v>589</v>
      </c>
    </row>
    <row r="444" spans="1:3" x14ac:dyDescent="0.25">
      <c r="A444" s="1">
        <v>45392.78125</v>
      </c>
      <c r="B444" s="1">
        <v>45392.747916667002</v>
      </c>
      <c r="C444" t="s">
        <v>358</v>
      </c>
    </row>
    <row r="445" spans="1:3" x14ac:dyDescent="0.25">
      <c r="A445" s="1">
        <v>45392.845833332998</v>
      </c>
      <c r="B445" s="1">
        <v>45392.747916667002</v>
      </c>
      <c r="C445" t="s">
        <v>650</v>
      </c>
    </row>
    <row r="446" spans="1:3" x14ac:dyDescent="0.25">
      <c r="A446" s="1">
        <v>45391.716666667002</v>
      </c>
      <c r="B446" s="1">
        <v>45392.747916667002</v>
      </c>
      <c r="C446" t="s">
        <v>181</v>
      </c>
    </row>
    <row r="447" spans="1:3" x14ac:dyDescent="0.25">
      <c r="A447" s="1">
        <v>45391.837500000001</v>
      </c>
      <c r="B447" s="1">
        <v>45392.75</v>
      </c>
      <c r="C447" t="s">
        <v>367</v>
      </c>
    </row>
    <row r="448" spans="1:3" x14ac:dyDescent="0.25">
      <c r="A448" s="1">
        <v>45392.760416666999</v>
      </c>
      <c r="B448" s="1">
        <v>45392.75</v>
      </c>
      <c r="C448" t="s">
        <v>510</v>
      </c>
    </row>
    <row r="449" spans="1:3" x14ac:dyDescent="0.25">
      <c r="A449" s="1">
        <v>45392.820833332997</v>
      </c>
      <c r="B449" s="1">
        <v>45392.75</v>
      </c>
      <c r="C449" t="s">
        <v>363</v>
      </c>
    </row>
    <row r="450" spans="1:3" x14ac:dyDescent="0.25">
      <c r="A450" s="1">
        <v>45391.8</v>
      </c>
      <c r="B450" s="1">
        <v>45392.75</v>
      </c>
      <c r="C450" t="s">
        <v>539</v>
      </c>
    </row>
    <row r="451" spans="1:3" x14ac:dyDescent="0.25">
      <c r="A451" s="1">
        <v>45391.885416666999</v>
      </c>
      <c r="B451" s="1">
        <v>45392.760416666999</v>
      </c>
      <c r="C451" t="s">
        <v>348</v>
      </c>
    </row>
    <row r="452" spans="1:3" x14ac:dyDescent="0.25">
      <c r="A452" s="1">
        <v>45391.777083333</v>
      </c>
      <c r="B452" s="1">
        <v>45392.760416666999</v>
      </c>
      <c r="C452" t="s">
        <v>368</v>
      </c>
    </row>
    <row r="453" spans="1:3" x14ac:dyDescent="0.25">
      <c r="A453" s="1">
        <v>45392.852083332997</v>
      </c>
      <c r="B453" s="1">
        <v>45392.760416666999</v>
      </c>
      <c r="C453" t="s">
        <v>206</v>
      </c>
    </row>
    <row r="454" spans="1:3" x14ac:dyDescent="0.25">
      <c r="A454" s="1" t="s">
        <v>289</v>
      </c>
      <c r="B454" s="1">
        <v>45392.760416666999</v>
      </c>
    </row>
    <row r="455" spans="1:3" x14ac:dyDescent="0.25">
      <c r="A455" s="1">
        <v>45391.714583333</v>
      </c>
      <c r="B455" s="1">
        <v>45392.762499999997</v>
      </c>
      <c r="C455" t="s">
        <v>460</v>
      </c>
    </row>
    <row r="456" spans="1:3" x14ac:dyDescent="0.25">
      <c r="A456" s="1" t="s">
        <v>289</v>
      </c>
      <c r="B456" s="1">
        <v>45392.762499999997</v>
      </c>
    </row>
    <row r="457" spans="1:3" x14ac:dyDescent="0.25">
      <c r="A457" s="1">
        <v>45391.868750000001</v>
      </c>
      <c r="B457" s="1">
        <v>45392.764583333003</v>
      </c>
      <c r="C457" t="s">
        <v>515</v>
      </c>
    </row>
    <row r="458" spans="1:3" x14ac:dyDescent="0.25">
      <c r="A458" s="1">
        <v>45391.908333332998</v>
      </c>
      <c r="B458" s="1">
        <v>45392.764583333003</v>
      </c>
      <c r="C458" t="s">
        <v>579</v>
      </c>
    </row>
    <row r="459" spans="1:3" x14ac:dyDescent="0.25">
      <c r="A459" s="1">
        <v>45391.841666667002</v>
      </c>
      <c r="B459" s="1">
        <v>45392.766666666997</v>
      </c>
      <c r="C459" t="s">
        <v>695</v>
      </c>
    </row>
    <row r="460" spans="1:3" x14ac:dyDescent="0.25">
      <c r="A460" s="1">
        <v>45392.745833333</v>
      </c>
      <c r="B460" s="1">
        <v>45392.766666666997</v>
      </c>
      <c r="C460" t="s">
        <v>204</v>
      </c>
    </row>
    <row r="461" spans="1:3" x14ac:dyDescent="0.25">
      <c r="A461" s="1">
        <v>45391.889583333003</v>
      </c>
      <c r="B461" s="1">
        <v>45392.768750000003</v>
      </c>
      <c r="C461" t="s">
        <v>207</v>
      </c>
    </row>
    <row r="462" spans="1:3" x14ac:dyDescent="0.25">
      <c r="A462" s="1">
        <v>45392.860416666997</v>
      </c>
      <c r="B462" s="1">
        <v>45392.768750000003</v>
      </c>
      <c r="C462" t="s">
        <v>249</v>
      </c>
    </row>
    <row r="463" spans="1:3" x14ac:dyDescent="0.25">
      <c r="A463" s="1">
        <v>45391.733333333003</v>
      </c>
      <c r="B463" s="1">
        <v>45392.770833333001</v>
      </c>
      <c r="C463" t="s">
        <v>191</v>
      </c>
    </row>
    <row r="464" spans="1:3" x14ac:dyDescent="0.25">
      <c r="A464" s="1">
        <v>45391.770833333001</v>
      </c>
      <c r="B464" s="1">
        <v>45392.770833333001</v>
      </c>
      <c r="C464" t="s">
        <v>472</v>
      </c>
    </row>
    <row r="465" spans="1:3" x14ac:dyDescent="0.25">
      <c r="A465" s="1">
        <v>45391.739583333001</v>
      </c>
      <c r="B465" s="1">
        <v>45392.770833333001</v>
      </c>
      <c r="C465" t="s">
        <v>599</v>
      </c>
    </row>
    <row r="466" spans="1:3" x14ac:dyDescent="0.25">
      <c r="A466" s="1">
        <v>45392.8125</v>
      </c>
      <c r="B466" s="1">
        <v>45392.779166667002</v>
      </c>
      <c r="C466" t="s">
        <v>143</v>
      </c>
    </row>
    <row r="467" spans="1:3" x14ac:dyDescent="0.25">
      <c r="A467" s="1">
        <v>45391.747916667002</v>
      </c>
      <c r="B467" s="1">
        <v>45392.779166667002</v>
      </c>
      <c r="C467" t="s">
        <v>198</v>
      </c>
    </row>
    <row r="468" spans="1:3" x14ac:dyDescent="0.25">
      <c r="A468" s="1">
        <v>45392.835416667003</v>
      </c>
      <c r="B468" s="1">
        <v>45392.779166667002</v>
      </c>
      <c r="C468" t="s">
        <v>646</v>
      </c>
    </row>
    <row r="469" spans="1:3" x14ac:dyDescent="0.25">
      <c r="A469" s="1">
        <v>45392.854166666999</v>
      </c>
      <c r="B469" s="1">
        <v>45392.779166667002</v>
      </c>
      <c r="C469" t="s">
        <v>139</v>
      </c>
    </row>
    <row r="470" spans="1:3" x14ac:dyDescent="0.25">
      <c r="A470" s="1">
        <v>45393.724999999999</v>
      </c>
      <c r="B470" s="1">
        <v>45392.795833333003</v>
      </c>
      <c r="C470" t="s">
        <v>26</v>
      </c>
    </row>
    <row r="471" spans="1:3" x14ac:dyDescent="0.25">
      <c r="A471" s="1">
        <v>45391.911805556003</v>
      </c>
      <c r="B471" s="1">
        <v>45392.795833333003</v>
      </c>
      <c r="C471" t="s">
        <v>154</v>
      </c>
    </row>
    <row r="472" spans="1:3" x14ac:dyDescent="0.25">
      <c r="A472" s="1">
        <v>45392.860416666997</v>
      </c>
      <c r="B472" s="1">
        <v>45392.800000000003</v>
      </c>
      <c r="C472" t="s">
        <v>713</v>
      </c>
    </row>
    <row r="473" spans="1:3" x14ac:dyDescent="0.25">
      <c r="A473" s="1">
        <v>45392.733333333003</v>
      </c>
      <c r="B473" s="1">
        <v>45392.800000000003</v>
      </c>
      <c r="C473" t="s">
        <v>459</v>
      </c>
    </row>
    <row r="474" spans="1:3" x14ac:dyDescent="0.25">
      <c r="A474" s="1">
        <v>45391.822916666999</v>
      </c>
      <c r="B474" s="1">
        <v>45392.800000000003</v>
      </c>
      <c r="C474" t="s">
        <v>386</v>
      </c>
    </row>
    <row r="475" spans="1:3" x14ac:dyDescent="0.25">
      <c r="A475" s="1">
        <v>45391.729166666999</v>
      </c>
      <c r="B475" s="1">
        <v>45392.800000000003</v>
      </c>
      <c r="C475" t="s">
        <v>394</v>
      </c>
    </row>
    <row r="476" spans="1:3" x14ac:dyDescent="0.25">
      <c r="A476" s="1">
        <v>45393.833333333001</v>
      </c>
      <c r="B476" s="1">
        <v>45392.800000000003</v>
      </c>
      <c r="C476" t="s">
        <v>684</v>
      </c>
    </row>
    <row r="477" spans="1:3" x14ac:dyDescent="0.25">
      <c r="A477" s="1">
        <v>45391.822916666999</v>
      </c>
      <c r="B477" s="1">
        <v>45392.800000000003</v>
      </c>
      <c r="C477" t="s">
        <v>194</v>
      </c>
    </row>
    <row r="478" spans="1:3" x14ac:dyDescent="0.25">
      <c r="A478" s="1">
        <v>45391.743750000001</v>
      </c>
      <c r="B478" s="1">
        <v>45392.822916666999</v>
      </c>
      <c r="C478" t="s">
        <v>270</v>
      </c>
    </row>
    <row r="479" spans="1:3" x14ac:dyDescent="0.25">
      <c r="A479" s="1">
        <v>45392.78125</v>
      </c>
      <c r="B479" s="1">
        <v>45392.822916666999</v>
      </c>
      <c r="C479" t="s">
        <v>152</v>
      </c>
    </row>
    <row r="480" spans="1:3" x14ac:dyDescent="0.25">
      <c r="A480" s="1">
        <v>45392.747916667002</v>
      </c>
      <c r="B480" s="1">
        <v>45392.824999999997</v>
      </c>
      <c r="C480" t="s">
        <v>22</v>
      </c>
    </row>
    <row r="481" spans="1:3" x14ac:dyDescent="0.25">
      <c r="A481" s="1">
        <v>45391.762499999997</v>
      </c>
      <c r="B481" s="1">
        <v>45392.824999999997</v>
      </c>
      <c r="C481" t="s">
        <v>407</v>
      </c>
    </row>
    <row r="482" spans="1:3" x14ac:dyDescent="0.25">
      <c r="A482" s="1">
        <v>45391.772916667003</v>
      </c>
      <c r="B482" s="1">
        <v>45392.824999999997</v>
      </c>
      <c r="C482" t="s">
        <v>356</v>
      </c>
    </row>
    <row r="483" spans="1:3" x14ac:dyDescent="0.25">
      <c r="A483" s="1">
        <v>45391.78125</v>
      </c>
      <c r="B483" s="1">
        <v>45392.824999999997</v>
      </c>
      <c r="C483" t="s">
        <v>56</v>
      </c>
    </row>
    <row r="484" spans="1:3" x14ac:dyDescent="0.25">
      <c r="A484" s="1">
        <v>45391.741666667003</v>
      </c>
      <c r="B484" s="1">
        <v>45392.831250000003</v>
      </c>
      <c r="C484" t="s">
        <v>604</v>
      </c>
    </row>
    <row r="485" spans="1:3" x14ac:dyDescent="0.25">
      <c r="A485" s="1">
        <v>45391.795833333003</v>
      </c>
      <c r="B485" s="1">
        <v>45392.831250000003</v>
      </c>
      <c r="C485" t="s">
        <v>297</v>
      </c>
    </row>
    <row r="486" spans="1:3" x14ac:dyDescent="0.25">
      <c r="A486" s="1">
        <v>45392.862500000003</v>
      </c>
      <c r="B486" s="1">
        <v>45392.831250000003</v>
      </c>
      <c r="C486" t="s">
        <v>324</v>
      </c>
    </row>
    <row r="487" spans="1:3" x14ac:dyDescent="0.25">
      <c r="A487" s="1">
        <v>45391.739583333001</v>
      </c>
      <c r="B487" s="1">
        <v>45392.831250000003</v>
      </c>
      <c r="C487" t="s">
        <v>697</v>
      </c>
    </row>
    <row r="488" spans="1:3" x14ac:dyDescent="0.25">
      <c r="A488" s="1">
        <v>45392.816666667</v>
      </c>
      <c r="B488" s="1">
        <v>45392.837500000001</v>
      </c>
      <c r="C488" t="s">
        <v>291</v>
      </c>
    </row>
    <row r="489" spans="1:3" x14ac:dyDescent="0.25">
      <c r="A489" s="1">
        <v>45392.791666666999</v>
      </c>
      <c r="B489" s="1">
        <v>45392.837500000001</v>
      </c>
      <c r="C489" t="s">
        <v>261</v>
      </c>
    </row>
    <row r="490" spans="1:3" x14ac:dyDescent="0.25">
      <c r="A490" s="1">
        <v>45391.897916667003</v>
      </c>
      <c r="B490" s="1">
        <v>45392.845833332998</v>
      </c>
      <c r="C490" t="s">
        <v>427</v>
      </c>
    </row>
    <row r="491" spans="1:3" x14ac:dyDescent="0.25">
      <c r="A491" s="1">
        <v>45392.731249999997</v>
      </c>
      <c r="B491" s="1">
        <v>45392.845833332998</v>
      </c>
      <c r="C491" t="s">
        <v>772</v>
      </c>
    </row>
    <row r="492" spans="1:3" x14ac:dyDescent="0.25">
      <c r="A492" s="1">
        <v>45391.712500000001</v>
      </c>
      <c r="B492" s="1">
        <v>45392.852083332997</v>
      </c>
      <c r="C492" t="s">
        <v>658</v>
      </c>
    </row>
    <row r="493" spans="1:3" x14ac:dyDescent="0.25">
      <c r="A493" s="1">
        <v>45392.84375</v>
      </c>
      <c r="B493" s="1">
        <v>45392.852083332997</v>
      </c>
      <c r="C493" t="s">
        <v>557</v>
      </c>
    </row>
    <row r="494" spans="1:3" x14ac:dyDescent="0.25">
      <c r="A494" s="1">
        <v>45392.770833333001</v>
      </c>
      <c r="B494" s="1">
        <v>45392.852083332997</v>
      </c>
      <c r="C494" t="s">
        <v>371</v>
      </c>
    </row>
    <row r="495" spans="1:3" x14ac:dyDescent="0.25">
      <c r="A495" s="1">
        <v>45391.870833333</v>
      </c>
      <c r="B495" s="1">
        <v>45393.708333333001</v>
      </c>
      <c r="C495" t="s">
        <v>680</v>
      </c>
    </row>
    <row r="496" spans="1:3" x14ac:dyDescent="0.25">
      <c r="A496" s="1">
        <v>45391.814583332998</v>
      </c>
      <c r="B496" s="1">
        <v>45393.708333333001</v>
      </c>
      <c r="C496" t="s">
        <v>773</v>
      </c>
    </row>
    <row r="497" spans="1:3" x14ac:dyDescent="0.25">
      <c r="A497" s="1">
        <v>45392.829166666997</v>
      </c>
      <c r="B497" s="1">
        <v>45393.708333333001</v>
      </c>
      <c r="C497" t="s">
        <v>73</v>
      </c>
    </row>
    <row r="498" spans="1:3" x14ac:dyDescent="0.25">
      <c r="A498" s="1">
        <v>45391.872916667002</v>
      </c>
      <c r="B498" s="1">
        <v>45393.708333333001</v>
      </c>
      <c r="C498" t="s">
        <v>774</v>
      </c>
    </row>
    <row r="499" spans="1:3" x14ac:dyDescent="0.25">
      <c r="A499" s="1">
        <v>45392.822916666999</v>
      </c>
      <c r="B499" s="1">
        <v>45393.708333333001</v>
      </c>
      <c r="C499" t="s">
        <v>165</v>
      </c>
    </row>
    <row r="500" spans="1:3" x14ac:dyDescent="0.25">
      <c r="A500" s="1">
        <v>45391.760416666999</v>
      </c>
      <c r="B500" s="1">
        <v>45393.708333333001</v>
      </c>
      <c r="C500" t="s">
        <v>184</v>
      </c>
    </row>
    <row r="501" spans="1:3" x14ac:dyDescent="0.25">
      <c r="A501" s="1">
        <v>45391.820833332997</v>
      </c>
      <c r="B501" s="1">
        <v>45393.708333333001</v>
      </c>
      <c r="C501" t="s">
        <v>243</v>
      </c>
    </row>
    <row r="502" spans="1:3" x14ac:dyDescent="0.25">
      <c r="A502" s="1">
        <v>45391.875</v>
      </c>
      <c r="B502" s="1">
        <v>45393.708333333001</v>
      </c>
      <c r="C502" t="s">
        <v>453</v>
      </c>
    </row>
    <row r="503" spans="1:3" x14ac:dyDescent="0.25">
      <c r="A503" s="1">
        <v>45391.891666666997</v>
      </c>
      <c r="B503" s="1">
        <v>45393.708333333001</v>
      </c>
      <c r="C503" t="s">
        <v>167</v>
      </c>
    </row>
    <row r="504" spans="1:3" x14ac:dyDescent="0.25">
      <c r="A504" s="1">
        <v>45392.797916666997</v>
      </c>
      <c r="B504" s="1">
        <v>45393.708333333001</v>
      </c>
      <c r="C504" t="s">
        <v>709</v>
      </c>
    </row>
    <row r="505" spans="1:3" x14ac:dyDescent="0.25">
      <c r="A505" s="1">
        <v>45391.845833332998</v>
      </c>
      <c r="B505" s="1">
        <v>45393.708333333001</v>
      </c>
      <c r="C505" t="s">
        <v>470</v>
      </c>
    </row>
    <row r="506" spans="1:3" x14ac:dyDescent="0.25">
      <c r="A506" s="1">
        <v>45391.893750000003</v>
      </c>
      <c r="B506" s="1">
        <v>45393.708333333001</v>
      </c>
      <c r="C506" t="s">
        <v>724</v>
      </c>
    </row>
    <row r="507" spans="1:3" x14ac:dyDescent="0.25">
      <c r="A507" s="1">
        <v>45392.820833332997</v>
      </c>
      <c r="B507" s="1">
        <v>45393.708333333001</v>
      </c>
      <c r="C507" t="s">
        <v>141</v>
      </c>
    </row>
    <row r="508" spans="1:3" x14ac:dyDescent="0.25">
      <c r="A508" s="1">
        <v>45392.71875</v>
      </c>
      <c r="B508" s="1">
        <v>45393.708333333001</v>
      </c>
      <c r="C508" t="s">
        <v>282</v>
      </c>
    </row>
    <row r="509" spans="1:3" x14ac:dyDescent="0.25">
      <c r="A509" s="1">
        <v>45392.724999999999</v>
      </c>
      <c r="B509" s="1">
        <v>45393.708333333001</v>
      </c>
      <c r="C509" t="s">
        <v>692</v>
      </c>
    </row>
    <row r="510" spans="1:3" x14ac:dyDescent="0.25">
      <c r="A510" s="1">
        <v>45392.777083333</v>
      </c>
      <c r="B510" s="1">
        <v>45393.708333333001</v>
      </c>
      <c r="C510" t="s">
        <v>775</v>
      </c>
    </row>
    <row r="511" spans="1:3" x14ac:dyDescent="0.25">
      <c r="A511" s="1">
        <v>45391.904861110997</v>
      </c>
      <c r="B511" s="1">
        <v>45393.708333333001</v>
      </c>
      <c r="C511" t="s">
        <v>776</v>
      </c>
    </row>
    <row r="512" spans="1:3" x14ac:dyDescent="0.25">
      <c r="A512" s="1">
        <v>45391.777083333</v>
      </c>
      <c r="B512" s="1">
        <v>45393.708333333001</v>
      </c>
      <c r="C512" t="s">
        <v>137</v>
      </c>
    </row>
    <row r="513" spans="1:3" x14ac:dyDescent="0.25">
      <c r="A513" s="1">
        <v>45392.839583333</v>
      </c>
      <c r="B513" s="1">
        <v>45393.708333333001</v>
      </c>
      <c r="C513" t="s">
        <v>19</v>
      </c>
    </row>
    <row r="514" spans="1:3" x14ac:dyDescent="0.25">
      <c r="A514" s="1">
        <v>45391.802083333001</v>
      </c>
      <c r="B514" s="1">
        <v>45393.708333333001</v>
      </c>
      <c r="C514" t="s">
        <v>60</v>
      </c>
    </row>
    <row r="515" spans="1:3" x14ac:dyDescent="0.25">
      <c r="A515" s="1">
        <v>45392.824999999997</v>
      </c>
      <c r="B515" s="1">
        <v>45393.710416667003</v>
      </c>
      <c r="C515" t="s">
        <v>570</v>
      </c>
    </row>
    <row r="516" spans="1:3" x14ac:dyDescent="0.25">
      <c r="A516" s="1">
        <v>45391.877083332998</v>
      </c>
      <c r="B516" s="1">
        <v>45393.710416667003</v>
      </c>
      <c r="C516" t="s">
        <v>458</v>
      </c>
    </row>
    <row r="517" spans="1:3" x14ac:dyDescent="0.25">
      <c r="A517" s="1">
        <v>45391.877083332998</v>
      </c>
      <c r="B517" s="1">
        <v>45393.710416667003</v>
      </c>
      <c r="C517" t="s">
        <v>620</v>
      </c>
    </row>
    <row r="518" spans="1:3" x14ac:dyDescent="0.25">
      <c r="A518" s="1">
        <v>45391.743750000001</v>
      </c>
      <c r="B518" s="1">
        <v>45393.710416667003</v>
      </c>
      <c r="C518" t="s">
        <v>428</v>
      </c>
    </row>
    <row r="519" spans="1:3" x14ac:dyDescent="0.25">
      <c r="A519" s="1">
        <v>45391.827083333003</v>
      </c>
      <c r="B519" s="1">
        <v>45393.712500000001</v>
      </c>
      <c r="C519" t="s">
        <v>418</v>
      </c>
    </row>
    <row r="520" spans="1:3" x14ac:dyDescent="0.25">
      <c r="A520" s="1">
        <v>45391.772916667003</v>
      </c>
      <c r="B520" s="1">
        <v>45393.712500000001</v>
      </c>
      <c r="C520" t="s">
        <v>220</v>
      </c>
    </row>
    <row r="521" spans="1:3" x14ac:dyDescent="0.25">
      <c r="A521" s="1">
        <v>45391.797916666997</v>
      </c>
      <c r="B521" s="1">
        <v>45393.712500000001</v>
      </c>
      <c r="C521" t="s">
        <v>309</v>
      </c>
    </row>
    <row r="522" spans="1:3" x14ac:dyDescent="0.25">
      <c r="A522" s="1">
        <v>45392.739583333001</v>
      </c>
      <c r="B522" s="1">
        <v>45393.720833332998</v>
      </c>
      <c r="C522" t="s">
        <v>111</v>
      </c>
    </row>
    <row r="523" spans="1:3" x14ac:dyDescent="0.25">
      <c r="A523" s="1">
        <v>45392.797916666997</v>
      </c>
      <c r="B523" s="1">
        <v>45393.720833332998</v>
      </c>
      <c r="C523" t="s">
        <v>190</v>
      </c>
    </row>
    <row r="524" spans="1:3" x14ac:dyDescent="0.25">
      <c r="A524" s="1">
        <v>45392.727083332997</v>
      </c>
      <c r="B524" s="1">
        <v>45393.722916667</v>
      </c>
      <c r="C524" t="s">
        <v>466</v>
      </c>
    </row>
    <row r="525" spans="1:3" x14ac:dyDescent="0.25">
      <c r="A525" s="1">
        <v>45391.770833333001</v>
      </c>
      <c r="B525" s="1">
        <v>45393.722916667</v>
      </c>
      <c r="C525" t="s">
        <v>233</v>
      </c>
    </row>
    <row r="526" spans="1:3" x14ac:dyDescent="0.25">
      <c r="A526" s="1">
        <v>45391.791666666999</v>
      </c>
      <c r="B526" s="1">
        <v>45393.722916667</v>
      </c>
      <c r="C526" t="s">
        <v>777</v>
      </c>
    </row>
    <row r="527" spans="1:3" x14ac:dyDescent="0.25">
      <c r="A527" s="1">
        <v>45392.722916667</v>
      </c>
      <c r="B527" s="1">
        <v>45393.722916667</v>
      </c>
      <c r="C527" t="s">
        <v>502</v>
      </c>
    </row>
    <row r="528" spans="1:3" x14ac:dyDescent="0.25">
      <c r="A528" s="1">
        <v>45391.729166666999</v>
      </c>
      <c r="B528" s="1">
        <v>45393.722916667</v>
      </c>
      <c r="C528" t="s">
        <v>676</v>
      </c>
    </row>
    <row r="529" spans="1:3" x14ac:dyDescent="0.25">
      <c r="A529" s="1">
        <v>45391.845833332998</v>
      </c>
      <c r="B529" s="1">
        <v>45393.722916667</v>
      </c>
      <c r="C529" t="s">
        <v>49</v>
      </c>
    </row>
    <row r="530" spans="1:3" x14ac:dyDescent="0.25">
      <c r="A530" s="1">
        <v>45391.897916667003</v>
      </c>
      <c r="B530" s="1">
        <v>45393.724999999999</v>
      </c>
      <c r="C530" t="s">
        <v>485</v>
      </c>
    </row>
    <row r="531" spans="1:3" x14ac:dyDescent="0.25">
      <c r="A531" s="1">
        <v>45392.741666667003</v>
      </c>
      <c r="B531" s="1">
        <v>45393.724999999999</v>
      </c>
      <c r="C531" t="s">
        <v>71</v>
      </c>
    </row>
    <row r="532" spans="1:3" x14ac:dyDescent="0.25">
      <c r="A532" s="1">
        <v>45392.785416667</v>
      </c>
      <c r="B532" s="1">
        <v>45393.724999999999</v>
      </c>
      <c r="C532" t="s">
        <v>474</v>
      </c>
    </row>
    <row r="533" spans="1:3" x14ac:dyDescent="0.25">
      <c r="A533" s="1">
        <v>45391.868750000001</v>
      </c>
      <c r="B533" s="1">
        <v>45393.724999999999</v>
      </c>
      <c r="C533" t="s">
        <v>436</v>
      </c>
    </row>
    <row r="534" spans="1:3" x14ac:dyDescent="0.25">
      <c r="A534" s="1">
        <v>45392.820833332997</v>
      </c>
      <c r="B534" s="1">
        <v>45393.724999999999</v>
      </c>
      <c r="C534" t="s">
        <v>69</v>
      </c>
    </row>
    <row r="535" spans="1:3" x14ac:dyDescent="0.25">
      <c r="A535" s="1">
        <v>45392.783333332998</v>
      </c>
      <c r="B535" s="1">
        <v>45393.724999999999</v>
      </c>
      <c r="C535" t="s">
        <v>617</v>
      </c>
    </row>
    <row r="536" spans="1:3" x14ac:dyDescent="0.25">
      <c r="A536" s="1">
        <v>45391.768750000003</v>
      </c>
      <c r="B536" s="1">
        <v>45393.727083332997</v>
      </c>
      <c r="C536" t="s">
        <v>778</v>
      </c>
    </row>
    <row r="537" spans="1:3" x14ac:dyDescent="0.25">
      <c r="A537" s="1">
        <v>45391.722916667</v>
      </c>
      <c r="B537" s="1">
        <v>45393.727083332997</v>
      </c>
      <c r="C537" t="s">
        <v>779</v>
      </c>
    </row>
    <row r="538" spans="1:3" x14ac:dyDescent="0.25">
      <c r="A538" s="1">
        <v>45391.829166666997</v>
      </c>
      <c r="B538" s="1">
        <v>45393.727083332997</v>
      </c>
      <c r="C538" t="s">
        <v>325</v>
      </c>
    </row>
    <row r="539" spans="1:3" x14ac:dyDescent="0.25">
      <c r="A539" s="1">
        <v>45392.745833333</v>
      </c>
      <c r="B539" s="1">
        <v>45393.727083332997</v>
      </c>
      <c r="C539" t="s">
        <v>211</v>
      </c>
    </row>
    <row r="540" spans="1:3" x14ac:dyDescent="0.25">
      <c r="A540" s="1">
        <v>45391.827083333003</v>
      </c>
      <c r="B540" s="1">
        <v>45393.727083332997</v>
      </c>
      <c r="C540" t="s">
        <v>296</v>
      </c>
    </row>
    <row r="541" spans="1:3" x14ac:dyDescent="0.25">
      <c r="A541" s="1">
        <v>45391.783333332998</v>
      </c>
      <c r="B541" s="1">
        <v>45393.727083332997</v>
      </c>
      <c r="C541" t="s">
        <v>550</v>
      </c>
    </row>
    <row r="542" spans="1:3" x14ac:dyDescent="0.25">
      <c r="A542" s="1">
        <v>45392.739583333001</v>
      </c>
      <c r="B542" s="1">
        <v>45393.729166666999</v>
      </c>
      <c r="C542" t="s">
        <v>481</v>
      </c>
    </row>
    <row r="543" spans="1:3" x14ac:dyDescent="0.25">
      <c r="A543" s="1">
        <v>45392.824999999997</v>
      </c>
      <c r="B543" s="1">
        <v>45393.729166666999</v>
      </c>
      <c r="C543" t="s">
        <v>750</v>
      </c>
    </row>
    <row r="544" spans="1:3" x14ac:dyDescent="0.25">
      <c r="A544" s="1">
        <v>45392.772916667003</v>
      </c>
      <c r="B544" s="1">
        <v>45393.731249999997</v>
      </c>
      <c r="C544" t="s">
        <v>213</v>
      </c>
    </row>
    <row r="545" spans="1:3" x14ac:dyDescent="0.25">
      <c r="A545" s="1">
        <v>45391.90625</v>
      </c>
      <c r="B545" s="1">
        <v>45393.731249999997</v>
      </c>
      <c r="C545" t="s">
        <v>271</v>
      </c>
    </row>
    <row r="546" spans="1:3" x14ac:dyDescent="0.25">
      <c r="A546" s="1">
        <v>45392.78125</v>
      </c>
      <c r="B546" s="1">
        <v>45393.735416666997</v>
      </c>
      <c r="C546" t="s">
        <v>561</v>
      </c>
    </row>
    <row r="547" spans="1:3" x14ac:dyDescent="0.25">
      <c r="A547" s="1">
        <v>45392.777083333</v>
      </c>
      <c r="B547" s="1">
        <v>45393.735416666997</v>
      </c>
      <c r="C547" t="s">
        <v>14</v>
      </c>
    </row>
    <row r="548" spans="1:3" x14ac:dyDescent="0.25">
      <c r="A548" s="1">
        <v>45391.831250000003</v>
      </c>
      <c r="B548" s="1">
        <v>45393.737500000003</v>
      </c>
      <c r="C548" t="s">
        <v>626</v>
      </c>
    </row>
    <row r="549" spans="1:3" x14ac:dyDescent="0.25">
      <c r="A549" s="1">
        <v>45392.833333333001</v>
      </c>
      <c r="B549" s="1">
        <v>45393.737500000003</v>
      </c>
      <c r="C549" t="s">
        <v>710</v>
      </c>
    </row>
    <row r="550" spans="1:3" x14ac:dyDescent="0.25">
      <c r="A550" s="1">
        <v>45391.877083332998</v>
      </c>
      <c r="B550" s="1">
        <v>45393.739583333001</v>
      </c>
      <c r="C550" t="s">
        <v>185</v>
      </c>
    </row>
    <row r="551" spans="1:3" x14ac:dyDescent="0.25">
      <c r="A551" s="1">
        <v>45392.716666667002</v>
      </c>
      <c r="B551" s="1">
        <v>45393.739583333001</v>
      </c>
      <c r="C551" t="s">
        <v>673</v>
      </c>
    </row>
    <row r="552" spans="1:3" x14ac:dyDescent="0.25">
      <c r="A552" s="1">
        <v>45391.866666667003</v>
      </c>
      <c r="B552" s="1">
        <v>45393.739583333001</v>
      </c>
      <c r="C552" t="s">
        <v>446</v>
      </c>
    </row>
    <row r="553" spans="1:3" x14ac:dyDescent="0.25">
      <c r="A553" s="1">
        <v>45391.847916667</v>
      </c>
      <c r="B553" s="1">
        <v>45393.739583333001</v>
      </c>
      <c r="C553" t="s">
        <v>123</v>
      </c>
    </row>
    <row r="554" spans="1:3" x14ac:dyDescent="0.25">
      <c r="A554" s="1">
        <v>45392.793749999997</v>
      </c>
      <c r="B554" s="1">
        <v>45393.739583333001</v>
      </c>
      <c r="C554" t="s">
        <v>64</v>
      </c>
    </row>
    <row r="555" spans="1:3" x14ac:dyDescent="0.25">
      <c r="A555" s="1">
        <v>45391.893750000003</v>
      </c>
      <c r="B555" s="1">
        <v>45393.739583333001</v>
      </c>
      <c r="C555" t="s">
        <v>87</v>
      </c>
    </row>
    <row r="556" spans="1:3" x14ac:dyDescent="0.25">
      <c r="A556" s="1">
        <v>45392.743750000001</v>
      </c>
      <c r="B556" s="1">
        <v>45393.741666667003</v>
      </c>
      <c r="C556" t="s">
        <v>780</v>
      </c>
    </row>
    <row r="557" spans="1:3" x14ac:dyDescent="0.25">
      <c r="A557" s="1">
        <v>45391.868750000001</v>
      </c>
      <c r="B557" s="1">
        <v>45393.741666667003</v>
      </c>
      <c r="C557" t="s">
        <v>592</v>
      </c>
    </row>
    <row r="558" spans="1:3" x14ac:dyDescent="0.25">
      <c r="A558" s="1" t="s">
        <v>289</v>
      </c>
      <c r="B558" s="1">
        <v>45393.743750000001</v>
      </c>
    </row>
    <row r="559" spans="1:3" x14ac:dyDescent="0.25">
      <c r="A559" s="1">
        <v>45392.841666667002</v>
      </c>
      <c r="B559" s="1">
        <v>45393.743750000001</v>
      </c>
      <c r="C559" t="s">
        <v>527</v>
      </c>
    </row>
    <row r="560" spans="1:3" x14ac:dyDescent="0.25">
      <c r="A560" s="1" t="s">
        <v>289</v>
      </c>
      <c r="B560" s="1">
        <v>45393.745833333</v>
      </c>
    </row>
    <row r="561" spans="1:3" x14ac:dyDescent="0.25">
      <c r="A561" s="1">
        <v>45391.837500000001</v>
      </c>
      <c r="B561" s="1">
        <v>45393.745833333</v>
      </c>
      <c r="C561" t="s">
        <v>284</v>
      </c>
    </row>
    <row r="562" spans="1:3" x14ac:dyDescent="0.25">
      <c r="A562" s="1">
        <v>45392.829166666997</v>
      </c>
      <c r="B562" s="1">
        <v>45393.747916667002</v>
      </c>
      <c r="C562" t="s">
        <v>576</v>
      </c>
    </row>
    <row r="563" spans="1:3" x14ac:dyDescent="0.25">
      <c r="A563" s="1">
        <v>45392.845833332998</v>
      </c>
      <c r="B563" s="1">
        <v>45393.747916667002</v>
      </c>
      <c r="C563" t="s">
        <v>232</v>
      </c>
    </row>
    <row r="564" spans="1:3" x14ac:dyDescent="0.25">
      <c r="A564" s="1">
        <v>45392.768750000003</v>
      </c>
      <c r="B564" s="1">
        <v>45393.75</v>
      </c>
      <c r="C564" t="s">
        <v>468</v>
      </c>
    </row>
    <row r="565" spans="1:3" x14ac:dyDescent="0.25">
      <c r="A565" s="1">
        <v>45391.714583333</v>
      </c>
      <c r="B565" s="1">
        <v>45393.75</v>
      </c>
      <c r="C565" t="s">
        <v>588</v>
      </c>
    </row>
    <row r="566" spans="1:3" x14ac:dyDescent="0.25">
      <c r="A566" s="1">
        <v>45392.747916667002</v>
      </c>
      <c r="B566" s="1">
        <v>45393.762499999997</v>
      </c>
      <c r="C566" t="s">
        <v>425</v>
      </c>
    </row>
    <row r="567" spans="1:3" x14ac:dyDescent="0.25">
      <c r="A567" s="1">
        <v>45392.858333333003</v>
      </c>
      <c r="B567" s="1">
        <v>45393.762499999997</v>
      </c>
      <c r="C567" t="s">
        <v>22</v>
      </c>
    </row>
    <row r="568" spans="1:3" x14ac:dyDescent="0.25">
      <c r="A568" s="1">
        <v>45391.824999999997</v>
      </c>
      <c r="B568" s="1">
        <v>45393.766666666997</v>
      </c>
      <c r="C568" t="s">
        <v>649</v>
      </c>
    </row>
    <row r="569" spans="1:3" x14ac:dyDescent="0.25">
      <c r="A569" s="1">
        <v>45391.908333332998</v>
      </c>
      <c r="B569" s="1">
        <v>45393.766666666997</v>
      </c>
      <c r="C569" t="s">
        <v>238</v>
      </c>
    </row>
    <row r="570" spans="1:3" x14ac:dyDescent="0.25">
      <c r="A570" s="1">
        <v>45392.741666667003</v>
      </c>
      <c r="B570" s="1">
        <v>45393.770833333001</v>
      </c>
      <c r="C570" t="s">
        <v>642</v>
      </c>
    </row>
    <row r="571" spans="1:3" x14ac:dyDescent="0.25">
      <c r="A571" s="1">
        <v>45392.737500000003</v>
      </c>
      <c r="B571" s="1">
        <v>45393.770833333001</v>
      </c>
      <c r="C571" t="s">
        <v>781</v>
      </c>
    </row>
    <row r="572" spans="1:3" x14ac:dyDescent="0.25">
      <c r="A572" s="1">
        <v>45391.785416667</v>
      </c>
      <c r="B572" s="1">
        <v>45393.777083333</v>
      </c>
      <c r="C572" t="s">
        <v>782</v>
      </c>
    </row>
    <row r="573" spans="1:3" x14ac:dyDescent="0.25">
      <c r="A573" s="1">
        <v>45391.883333332997</v>
      </c>
      <c r="B573" s="1">
        <v>45393.777083333</v>
      </c>
      <c r="C573" t="s">
        <v>164</v>
      </c>
    </row>
    <row r="574" spans="1:3" x14ac:dyDescent="0.25">
      <c r="A574" s="1">
        <v>45391.731249999997</v>
      </c>
      <c r="B574" s="1">
        <v>45393.779166667002</v>
      </c>
      <c r="C574" t="s">
        <v>392</v>
      </c>
    </row>
    <row r="575" spans="1:3" x14ac:dyDescent="0.25">
      <c r="A575" s="1">
        <v>45392.835416667003</v>
      </c>
      <c r="B575" s="1">
        <v>45393.779166667002</v>
      </c>
      <c r="C575" t="s">
        <v>498</v>
      </c>
    </row>
    <row r="576" spans="1:3" x14ac:dyDescent="0.25">
      <c r="A576" s="1">
        <v>45392.829166666997</v>
      </c>
      <c r="B576" s="1">
        <v>45393.779166667002</v>
      </c>
      <c r="C576" t="s">
        <v>276</v>
      </c>
    </row>
    <row r="577" spans="1:3" x14ac:dyDescent="0.25">
      <c r="A577" s="1">
        <v>45391.789583332997</v>
      </c>
      <c r="B577" s="1">
        <v>45393.779166667002</v>
      </c>
      <c r="C577" t="s">
        <v>663</v>
      </c>
    </row>
    <row r="578" spans="1:3" x14ac:dyDescent="0.25">
      <c r="A578" s="1">
        <v>45392.720833332998</v>
      </c>
      <c r="B578" s="1">
        <v>45393.779166667002</v>
      </c>
      <c r="C578" t="s">
        <v>18</v>
      </c>
    </row>
    <row r="579" spans="1:3" x14ac:dyDescent="0.25">
      <c r="A579" s="1">
        <v>45391.779166667002</v>
      </c>
      <c r="B579" s="1">
        <v>45393.779166667002</v>
      </c>
      <c r="C579" t="s">
        <v>354</v>
      </c>
    </row>
    <row r="580" spans="1:3" x14ac:dyDescent="0.25">
      <c r="A580" s="1">
        <v>45392.720833332998</v>
      </c>
      <c r="B580" s="1">
        <v>45393.783333332998</v>
      </c>
      <c r="C580" t="s">
        <v>241</v>
      </c>
    </row>
    <row r="581" spans="1:3" x14ac:dyDescent="0.25">
      <c r="A581" s="1">
        <v>45391.866666667003</v>
      </c>
      <c r="B581" s="1">
        <v>45393.783333332998</v>
      </c>
      <c r="C581" t="s">
        <v>434</v>
      </c>
    </row>
    <row r="582" spans="1:3" x14ac:dyDescent="0.25">
      <c r="A582" s="1">
        <v>45393.724999999999</v>
      </c>
      <c r="B582" s="1">
        <v>45393.785416667</v>
      </c>
      <c r="C582" t="s">
        <v>28</v>
      </c>
    </row>
    <row r="583" spans="1:3" x14ac:dyDescent="0.25">
      <c r="A583" s="1">
        <v>45392.772916667003</v>
      </c>
      <c r="B583" s="1">
        <v>45393.785416667</v>
      </c>
      <c r="C583" t="s">
        <v>237</v>
      </c>
    </row>
    <row r="584" spans="1:3" x14ac:dyDescent="0.25">
      <c r="A584" s="1">
        <v>45391.766666666997</v>
      </c>
      <c r="B584" s="1">
        <v>45393.787499999999</v>
      </c>
      <c r="C584" t="s">
        <v>134</v>
      </c>
    </row>
    <row r="585" spans="1:3" x14ac:dyDescent="0.25">
      <c r="A585" s="1">
        <v>45392.768750000003</v>
      </c>
      <c r="B585" s="1">
        <v>45393.787499999999</v>
      </c>
      <c r="C585" t="s">
        <v>117</v>
      </c>
    </row>
    <row r="586" spans="1:3" x14ac:dyDescent="0.25">
      <c r="A586" s="1">
        <v>45391.743750000001</v>
      </c>
      <c r="B586" s="1">
        <v>45393.789583332997</v>
      </c>
      <c r="C586" t="s">
        <v>52</v>
      </c>
    </row>
    <row r="587" spans="1:3" x14ac:dyDescent="0.25">
      <c r="A587" s="1">
        <v>45391.875</v>
      </c>
      <c r="B587" s="1">
        <v>45393.789583332997</v>
      </c>
      <c r="C587" t="s">
        <v>624</v>
      </c>
    </row>
    <row r="588" spans="1:3" x14ac:dyDescent="0.25">
      <c r="A588" s="1">
        <v>45391.864583333001</v>
      </c>
      <c r="B588" s="1">
        <v>45393.791666666999</v>
      </c>
      <c r="C588" t="s">
        <v>168</v>
      </c>
    </row>
    <row r="589" spans="1:3" x14ac:dyDescent="0.25">
      <c r="A589" s="1">
        <v>45391.727083332997</v>
      </c>
      <c r="B589" s="1">
        <v>45393.791666666999</v>
      </c>
      <c r="C589" t="s">
        <v>540</v>
      </c>
    </row>
    <row r="590" spans="1:3" x14ac:dyDescent="0.25">
      <c r="A590" s="1">
        <v>45391.841666667002</v>
      </c>
      <c r="B590" s="1">
        <v>45393.791666666999</v>
      </c>
      <c r="C590" t="s">
        <v>682</v>
      </c>
    </row>
    <row r="591" spans="1:3" x14ac:dyDescent="0.25">
      <c r="A591" s="1">
        <v>45391.833333333001</v>
      </c>
      <c r="B591" s="1">
        <v>45393.791666666999</v>
      </c>
      <c r="C591" t="s">
        <v>63</v>
      </c>
    </row>
    <row r="592" spans="1:3" x14ac:dyDescent="0.25">
      <c r="A592" s="1">
        <v>45391.887499999997</v>
      </c>
      <c r="B592" s="1">
        <v>45393.793749999997</v>
      </c>
      <c r="C592" t="s">
        <v>293</v>
      </c>
    </row>
    <row r="593" spans="1:3" x14ac:dyDescent="0.25">
      <c r="A593" s="1">
        <v>45392.78125</v>
      </c>
      <c r="B593" s="1">
        <v>45393.793749999997</v>
      </c>
      <c r="C593" t="s">
        <v>507</v>
      </c>
    </row>
    <row r="594" spans="1:3" x14ac:dyDescent="0.25">
      <c r="A594" s="1">
        <v>45392.833333333001</v>
      </c>
      <c r="B594" s="1">
        <v>45393.793749999997</v>
      </c>
      <c r="C594" t="s">
        <v>246</v>
      </c>
    </row>
    <row r="595" spans="1:3" x14ac:dyDescent="0.25">
      <c r="A595" s="1">
        <v>45391.710416667003</v>
      </c>
      <c r="B595" s="1">
        <v>45393.793749999997</v>
      </c>
      <c r="C595" t="s">
        <v>201</v>
      </c>
    </row>
    <row r="596" spans="1:3" x14ac:dyDescent="0.25">
      <c r="A596" s="1">
        <v>45392.835416667003</v>
      </c>
      <c r="B596" s="1">
        <v>45393.795833333003</v>
      </c>
      <c r="C596" t="s">
        <v>57</v>
      </c>
    </row>
    <row r="597" spans="1:3" x14ac:dyDescent="0.25">
      <c r="A597" s="1">
        <v>45392.785416667</v>
      </c>
      <c r="B597" s="1">
        <v>45393.795833333003</v>
      </c>
      <c r="C597" t="s">
        <v>636</v>
      </c>
    </row>
    <row r="598" spans="1:3" x14ac:dyDescent="0.25">
      <c r="A598" s="1">
        <v>45392.783333332998</v>
      </c>
      <c r="B598" s="1">
        <v>45393.802083333001</v>
      </c>
      <c r="C598" t="s">
        <v>20</v>
      </c>
    </row>
    <row r="599" spans="1:3" x14ac:dyDescent="0.25">
      <c r="A599" s="1">
        <v>45392.770833333001</v>
      </c>
      <c r="B599" s="1">
        <v>45393.802083333001</v>
      </c>
      <c r="C599" t="s">
        <v>707</v>
      </c>
    </row>
    <row r="600" spans="1:3" x14ac:dyDescent="0.25">
      <c r="A600" s="1">
        <v>45391.727083332997</v>
      </c>
      <c r="B600" s="1">
        <v>45393.814583332998</v>
      </c>
      <c r="C600" t="s">
        <v>103</v>
      </c>
    </row>
    <row r="601" spans="1:3" x14ac:dyDescent="0.25">
      <c r="A601" s="1">
        <v>45391.883333332997</v>
      </c>
      <c r="B601" s="1">
        <v>45393.814583332998</v>
      </c>
      <c r="C601" t="s">
        <v>563</v>
      </c>
    </row>
    <row r="602" spans="1:3" x14ac:dyDescent="0.25">
      <c r="A602" s="1">
        <v>45391.785416667</v>
      </c>
      <c r="B602" s="1">
        <v>45393.816666667</v>
      </c>
      <c r="C602" t="s">
        <v>648</v>
      </c>
    </row>
    <row r="603" spans="1:3" x14ac:dyDescent="0.25">
      <c r="A603" s="1">
        <v>45391.854166666999</v>
      </c>
      <c r="B603" s="1">
        <v>45393.816666667</v>
      </c>
      <c r="C603" t="s">
        <v>382</v>
      </c>
    </row>
    <row r="604" spans="1:3" x14ac:dyDescent="0.25">
      <c r="A604" s="1">
        <v>45392.845833332998</v>
      </c>
      <c r="B604" s="1">
        <v>45393.824999999997</v>
      </c>
      <c r="C604" t="s">
        <v>647</v>
      </c>
    </row>
    <row r="605" spans="1:3" x14ac:dyDescent="0.25">
      <c r="A605" s="1">
        <v>45392.847916667</v>
      </c>
      <c r="B605" s="1">
        <v>45393.824999999997</v>
      </c>
      <c r="C605" t="s">
        <v>388</v>
      </c>
    </row>
    <row r="606" spans="1:3" x14ac:dyDescent="0.25">
      <c r="A606" s="1">
        <v>45392.862500000003</v>
      </c>
      <c r="B606" s="1" t="s">
        <v>289</v>
      </c>
      <c r="C606" t="s">
        <v>125</v>
      </c>
    </row>
    <row r="607" spans="1:3" x14ac:dyDescent="0.25">
      <c r="A607" s="1">
        <v>45391.787499999999</v>
      </c>
      <c r="B607" s="1" t="s">
        <v>289</v>
      </c>
      <c r="C607" t="s">
        <v>404</v>
      </c>
    </row>
    <row r="608" spans="1:3" x14ac:dyDescent="0.25">
      <c r="A608" s="1">
        <v>45391.710416667003</v>
      </c>
      <c r="B608" s="1" t="s">
        <v>289</v>
      </c>
      <c r="C608" t="s">
        <v>27</v>
      </c>
    </row>
    <row r="609" spans="1:3" x14ac:dyDescent="0.25">
      <c r="A609" s="1">
        <v>45392.720833332998</v>
      </c>
      <c r="B609" s="1" t="s">
        <v>289</v>
      </c>
      <c r="C609" t="s">
        <v>522</v>
      </c>
    </row>
    <row r="610" spans="1:3" x14ac:dyDescent="0.25">
      <c r="A610" s="1">
        <v>45391.795833333003</v>
      </c>
      <c r="B610" s="1" t="s">
        <v>289</v>
      </c>
      <c r="C610" t="s">
        <v>690</v>
      </c>
    </row>
    <row r="611" spans="1:3" x14ac:dyDescent="0.25">
      <c r="A611" s="1">
        <v>45392.712500000001</v>
      </c>
      <c r="B611" s="1" t="s">
        <v>289</v>
      </c>
      <c r="C611" t="s">
        <v>783</v>
      </c>
    </row>
    <row r="612" spans="1:3" x14ac:dyDescent="0.25">
      <c r="A612" s="1">
        <v>45393.737500000003</v>
      </c>
      <c r="B612" s="1" t="s">
        <v>289</v>
      </c>
    </row>
    <row r="613" spans="1:3" x14ac:dyDescent="0.25">
      <c r="A613" s="1">
        <v>45392.822916666999</v>
      </c>
      <c r="B613" s="1" t="s">
        <v>289</v>
      </c>
      <c r="C613" t="s">
        <v>107</v>
      </c>
    </row>
    <row r="614" spans="1:3" x14ac:dyDescent="0.25">
      <c r="A614" s="1">
        <v>45391.895833333001</v>
      </c>
      <c r="B614" s="1" t="s">
        <v>289</v>
      </c>
      <c r="C614" t="s">
        <v>347</v>
      </c>
    </row>
    <row r="615" spans="1:3" x14ac:dyDescent="0.25">
      <c r="A615" s="1">
        <v>45392.831250000003</v>
      </c>
      <c r="B615" s="1" t="s">
        <v>289</v>
      </c>
      <c r="C615" t="s">
        <v>426</v>
      </c>
    </row>
    <row r="616" spans="1:3" x14ac:dyDescent="0.25">
      <c r="A616" s="1">
        <v>45392.847916667</v>
      </c>
      <c r="B616" s="1" t="s">
        <v>289</v>
      </c>
      <c r="C616" t="s">
        <v>142</v>
      </c>
    </row>
    <row r="617" spans="1:3" x14ac:dyDescent="0.25">
      <c r="A617" s="1">
        <v>45392.729166666999</v>
      </c>
      <c r="B617" s="1" t="s">
        <v>289</v>
      </c>
      <c r="C617" t="s">
        <v>36</v>
      </c>
    </row>
    <row r="618" spans="1:3" x14ac:dyDescent="0.25">
      <c r="A618" s="1">
        <v>45392.760416666999</v>
      </c>
      <c r="B618" s="1" t="s">
        <v>289</v>
      </c>
      <c r="C618" t="s">
        <v>81</v>
      </c>
    </row>
    <row r="619" spans="1:3" x14ac:dyDescent="0.25">
      <c r="A619" s="1">
        <v>45391.787499999999</v>
      </c>
      <c r="B619" s="1" t="s">
        <v>289</v>
      </c>
      <c r="C619" t="s">
        <v>148</v>
      </c>
    </row>
    <row r="620" spans="1:3" x14ac:dyDescent="0.25">
      <c r="A620" s="1">
        <v>45392.841666667002</v>
      </c>
      <c r="B620" s="1" t="s">
        <v>289</v>
      </c>
      <c r="C620" t="s">
        <v>159</v>
      </c>
    </row>
    <row r="621" spans="1:3" x14ac:dyDescent="0.25">
      <c r="A621" s="1">
        <v>45391.722916667</v>
      </c>
      <c r="B621" s="1" t="s">
        <v>289</v>
      </c>
      <c r="C621" t="s">
        <v>413</v>
      </c>
    </row>
    <row r="622" spans="1:3" x14ac:dyDescent="0.25">
      <c r="A622" s="1" t="s">
        <v>289</v>
      </c>
      <c r="B622" s="1" t="s">
        <v>289</v>
      </c>
    </row>
    <row r="623" spans="1:3" x14ac:dyDescent="0.25">
      <c r="A623" s="1">
        <v>45393.772916667003</v>
      </c>
      <c r="B623" s="1" t="s">
        <v>289</v>
      </c>
      <c r="C623" t="s">
        <v>318</v>
      </c>
    </row>
    <row r="624" spans="1:3" x14ac:dyDescent="0.25">
      <c r="A624" s="1">
        <v>45393.714583333</v>
      </c>
      <c r="B624" s="1" t="s">
        <v>289</v>
      </c>
    </row>
    <row r="625" spans="1:3" x14ac:dyDescent="0.25">
      <c r="A625" s="1">
        <v>45393.824999999997</v>
      </c>
      <c r="B625" s="1" t="s">
        <v>289</v>
      </c>
      <c r="C625" t="s">
        <v>766</v>
      </c>
    </row>
    <row r="626" spans="1:3" x14ac:dyDescent="0.25">
      <c r="A626" s="1">
        <v>45393.802083333001</v>
      </c>
      <c r="B626" s="1" t="s">
        <v>289</v>
      </c>
      <c r="C626" t="s">
        <v>206</v>
      </c>
    </row>
    <row r="627" spans="1:3" x14ac:dyDescent="0.25">
      <c r="A627" s="1">
        <v>45393.779166667002</v>
      </c>
      <c r="B627" s="1" t="s">
        <v>289</v>
      </c>
      <c r="C627" t="s">
        <v>253</v>
      </c>
    </row>
    <row r="628" spans="1:3" x14ac:dyDescent="0.25">
      <c r="A628" s="1">
        <v>45393.831250000003</v>
      </c>
      <c r="B628" s="1" t="s">
        <v>289</v>
      </c>
    </row>
    <row r="629" spans="1:3" x14ac:dyDescent="0.25">
      <c r="A629" s="1">
        <v>45393.783333332998</v>
      </c>
      <c r="B629" s="1" t="s">
        <v>289</v>
      </c>
      <c r="C629" t="s">
        <v>784</v>
      </c>
    </row>
    <row r="630" spans="1:3" x14ac:dyDescent="0.25">
      <c r="A630" s="1">
        <v>45393.822916666999</v>
      </c>
      <c r="B630" s="1" t="s">
        <v>289</v>
      </c>
      <c r="C630" t="s">
        <v>43</v>
      </c>
    </row>
    <row r="631" spans="1:3" x14ac:dyDescent="0.25">
      <c r="A631" s="1">
        <v>45393.814583332998</v>
      </c>
      <c r="B631" s="1" t="s">
        <v>289</v>
      </c>
      <c r="C631" t="s">
        <v>785</v>
      </c>
    </row>
    <row r="632" spans="1:3" x14ac:dyDescent="0.25">
      <c r="A632" s="1">
        <v>45393.785416667</v>
      </c>
      <c r="B632" s="1" t="s">
        <v>289</v>
      </c>
      <c r="C632" t="s">
        <v>389</v>
      </c>
    </row>
    <row r="633" spans="1:3" x14ac:dyDescent="0.25">
      <c r="A633" s="1">
        <v>45393.720833332998</v>
      </c>
      <c r="B633" s="1" t="s">
        <v>289</v>
      </c>
      <c r="C633" t="s">
        <v>505</v>
      </c>
    </row>
    <row r="634" spans="1:3" x14ac:dyDescent="0.25">
      <c r="A634" s="1">
        <v>45393.768750000003</v>
      </c>
      <c r="B634" s="1" t="s">
        <v>289</v>
      </c>
      <c r="C634" t="s">
        <v>140</v>
      </c>
    </row>
    <row r="635" spans="1:3" x14ac:dyDescent="0.25">
      <c r="A635" s="1">
        <v>45393.816666667</v>
      </c>
      <c r="B635" s="1" t="s">
        <v>289</v>
      </c>
      <c r="C635" t="s">
        <v>414</v>
      </c>
    </row>
    <row r="636" spans="1:3" x14ac:dyDescent="0.25">
      <c r="A636" s="1">
        <v>45393.797916666997</v>
      </c>
      <c r="B636" s="1" t="s">
        <v>289</v>
      </c>
      <c r="C636" t="s">
        <v>586</v>
      </c>
    </row>
    <row r="637" spans="1:3" x14ac:dyDescent="0.25">
      <c r="A637" s="1">
        <v>45393.793749999997</v>
      </c>
      <c r="B637" s="1" t="s">
        <v>289</v>
      </c>
    </row>
    <row r="638" spans="1:3" x14ac:dyDescent="0.25">
      <c r="A638" s="1">
        <v>45393.714583333</v>
      </c>
      <c r="B638" s="1" t="s">
        <v>289</v>
      </c>
      <c r="C638" t="s">
        <v>786</v>
      </c>
    </row>
    <row r="639" spans="1:3" x14ac:dyDescent="0.25">
      <c r="A639" s="1">
        <v>45393.829166666997</v>
      </c>
      <c r="B639" s="1" t="s">
        <v>289</v>
      </c>
      <c r="C639" t="s">
        <v>298</v>
      </c>
    </row>
    <row r="640" spans="1:3" x14ac:dyDescent="0.25">
      <c r="A640" s="1">
        <v>45393.766666666997</v>
      </c>
      <c r="B640" s="1" t="s">
        <v>289</v>
      </c>
      <c r="C640" t="s">
        <v>372</v>
      </c>
    </row>
    <row r="641" spans="1:3" x14ac:dyDescent="0.25">
      <c r="A641" s="1">
        <v>45393.737500000003</v>
      </c>
      <c r="B641" s="1" t="s">
        <v>289</v>
      </c>
      <c r="C641" t="s">
        <v>654</v>
      </c>
    </row>
    <row r="642" spans="1:3" x14ac:dyDescent="0.25">
      <c r="A642" s="1">
        <v>45393.8125</v>
      </c>
      <c r="B642" s="1" t="s">
        <v>289</v>
      </c>
      <c r="C642" t="s">
        <v>787</v>
      </c>
    </row>
    <row r="643" spans="1:3" x14ac:dyDescent="0.25">
      <c r="A643" s="1">
        <v>45393.824999999997</v>
      </c>
      <c r="B643" s="1" t="s">
        <v>289</v>
      </c>
      <c r="C643" t="s">
        <v>147</v>
      </c>
    </row>
    <row r="644" spans="1:3" x14ac:dyDescent="0.25">
      <c r="A644" s="1">
        <v>45393.741666667003</v>
      </c>
      <c r="B644" s="1" t="s">
        <v>289</v>
      </c>
      <c r="C644" t="s">
        <v>457</v>
      </c>
    </row>
    <row r="645" spans="1:3" x14ac:dyDescent="0.25">
      <c r="A645" s="1">
        <v>45393.8125</v>
      </c>
      <c r="B645" s="1" t="s">
        <v>289</v>
      </c>
      <c r="C645" t="s">
        <v>85</v>
      </c>
    </row>
    <row r="646" spans="1:3" x14ac:dyDescent="0.25">
      <c r="A646" s="1">
        <v>45393.820833332997</v>
      </c>
      <c r="B646" s="1" t="s">
        <v>289</v>
      </c>
      <c r="C646" t="s">
        <v>169</v>
      </c>
    </row>
    <row r="647" spans="1:3" x14ac:dyDescent="0.25">
      <c r="A647" s="1">
        <v>45393.795833333003</v>
      </c>
      <c r="B647" s="1" t="s">
        <v>289</v>
      </c>
      <c r="C647" t="s">
        <v>189</v>
      </c>
    </row>
    <row r="648" spans="1:3" x14ac:dyDescent="0.25">
      <c r="A648" s="1">
        <v>45393.735416666997</v>
      </c>
      <c r="B648" s="1" t="s">
        <v>289</v>
      </c>
      <c r="C648" t="s">
        <v>727</v>
      </c>
    </row>
    <row r="649" spans="1:3" x14ac:dyDescent="0.25">
      <c r="A649" s="1">
        <v>45393.8</v>
      </c>
      <c r="B649" s="1" t="s">
        <v>289</v>
      </c>
      <c r="C649" t="s">
        <v>451</v>
      </c>
    </row>
    <row r="650" spans="1:3" x14ac:dyDescent="0.25">
      <c r="A650" s="1">
        <v>45393.731249999997</v>
      </c>
      <c r="B650" s="1" t="s">
        <v>289</v>
      </c>
      <c r="C650" t="s">
        <v>788</v>
      </c>
    </row>
    <row r="651" spans="1:3" x14ac:dyDescent="0.25">
      <c r="A651" s="1">
        <v>45393.739583333001</v>
      </c>
      <c r="B651" s="1" t="s">
        <v>289</v>
      </c>
      <c r="C651" t="s">
        <v>304</v>
      </c>
    </row>
    <row r="652" spans="1:3" x14ac:dyDescent="0.25">
      <c r="A652" s="1">
        <v>45393.793749999997</v>
      </c>
      <c r="B652" s="1" t="s">
        <v>289</v>
      </c>
      <c r="C652" t="s">
        <v>787</v>
      </c>
    </row>
    <row r="653" spans="1:3" x14ac:dyDescent="0.25">
      <c r="A653" s="1">
        <v>45393.797916666997</v>
      </c>
      <c r="B653" s="1" t="s">
        <v>289</v>
      </c>
      <c r="C653" t="s">
        <v>784</v>
      </c>
    </row>
    <row r="654" spans="1:3" x14ac:dyDescent="0.25">
      <c r="A654" s="1">
        <v>45393.720833332998</v>
      </c>
      <c r="B654" s="1" t="s">
        <v>289</v>
      </c>
      <c r="C654" t="s">
        <v>669</v>
      </c>
    </row>
    <row r="655" spans="1:3" x14ac:dyDescent="0.25">
      <c r="A655" s="1">
        <v>45393.710416667003</v>
      </c>
      <c r="B655" s="1" t="s">
        <v>289</v>
      </c>
      <c r="C655" t="s">
        <v>361</v>
      </c>
    </row>
    <row r="656" spans="1:3" x14ac:dyDescent="0.25">
      <c r="A656" s="1">
        <v>45393.747916667002</v>
      </c>
      <c r="B656" s="1" t="s">
        <v>289</v>
      </c>
      <c r="C656" t="s">
        <v>30</v>
      </c>
    </row>
    <row r="657" spans="1:3" x14ac:dyDescent="0.25">
      <c r="A657" s="1">
        <v>45393.708333333001</v>
      </c>
      <c r="B657" s="1" t="s">
        <v>289</v>
      </c>
      <c r="C657" t="s">
        <v>789</v>
      </c>
    </row>
    <row r="658" spans="1:3" x14ac:dyDescent="0.25">
      <c r="A658" s="1">
        <v>45393.829166666997</v>
      </c>
      <c r="B658" s="1" t="s">
        <v>289</v>
      </c>
      <c r="C658" t="s">
        <v>96</v>
      </c>
    </row>
    <row r="659" spans="1:3" x14ac:dyDescent="0.25">
      <c r="A659" s="1">
        <v>45393.729166666999</v>
      </c>
      <c r="B659" s="1" t="s">
        <v>289</v>
      </c>
      <c r="C659" t="s">
        <v>26</v>
      </c>
    </row>
    <row r="660" spans="1:3" x14ac:dyDescent="0.25">
      <c r="A660" s="1">
        <v>45393.733333333003</v>
      </c>
      <c r="B660" s="1" t="s">
        <v>289</v>
      </c>
      <c r="C660" t="s">
        <v>603</v>
      </c>
    </row>
    <row r="661" spans="1:3" x14ac:dyDescent="0.25">
      <c r="A661" s="1">
        <v>45393.710416667003</v>
      </c>
      <c r="B661" s="1" t="s">
        <v>289</v>
      </c>
      <c r="C661" t="s">
        <v>598</v>
      </c>
    </row>
    <row r="662" spans="1:3" x14ac:dyDescent="0.25">
      <c r="A662" s="1">
        <v>45393.712500000001</v>
      </c>
      <c r="B662" s="1" t="s">
        <v>289</v>
      </c>
      <c r="C662" t="s">
        <v>390</v>
      </c>
    </row>
    <row r="663" spans="1:3" x14ac:dyDescent="0.25">
      <c r="A663" s="1">
        <v>45393.71875</v>
      </c>
      <c r="B663" s="1" t="s">
        <v>289</v>
      </c>
      <c r="C663" t="s">
        <v>300</v>
      </c>
    </row>
    <row r="664" spans="1:3" x14ac:dyDescent="0.25">
      <c r="A664" s="1">
        <v>45392.722916667</v>
      </c>
      <c r="B664" s="1" t="s">
        <v>289</v>
      </c>
      <c r="C664" t="s">
        <v>127</v>
      </c>
    </row>
    <row r="665" spans="1:3" x14ac:dyDescent="0.25">
      <c r="A665" s="1">
        <v>45393.835416667003</v>
      </c>
      <c r="B665" s="1" t="s">
        <v>289</v>
      </c>
      <c r="C665" t="s">
        <v>449</v>
      </c>
    </row>
    <row r="666" spans="1:3" x14ac:dyDescent="0.25">
      <c r="A666" s="1">
        <v>45393.791666666999</v>
      </c>
      <c r="B666" s="1" t="s">
        <v>289</v>
      </c>
      <c r="C666" t="s">
        <v>664</v>
      </c>
    </row>
    <row r="667" spans="1:3" x14ac:dyDescent="0.25">
      <c r="A667" s="1">
        <v>45393.789583332997</v>
      </c>
      <c r="B667" s="1" t="s">
        <v>289</v>
      </c>
      <c r="C667" t="s">
        <v>160</v>
      </c>
    </row>
    <row r="668" spans="1:3" x14ac:dyDescent="0.25">
      <c r="A668" s="1">
        <v>45393.824999999997</v>
      </c>
      <c r="B668" s="1" t="s">
        <v>289</v>
      </c>
      <c r="C668" t="s">
        <v>469</v>
      </c>
    </row>
    <row r="669" spans="1:3" x14ac:dyDescent="0.25">
      <c r="A669" s="1">
        <v>45393.816666667</v>
      </c>
      <c r="B669" s="1" t="s">
        <v>289</v>
      </c>
      <c r="C669" t="s">
        <v>212</v>
      </c>
    </row>
    <row r="670" spans="1:3" x14ac:dyDescent="0.25">
      <c r="A670" s="1">
        <v>45393.768750000003</v>
      </c>
      <c r="B670" s="1" t="s">
        <v>289</v>
      </c>
      <c r="C670" t="s">
        <v>668</v>
      </c>
    </row>
    <row r="671" spans="1:3" x14ac:dyDescent="0.25">
      <c r="A671" s="1">
        <v>45393.762499999997</v>
      </c>
      <c r="B671" s="1" t="s">
        <v>289</v>
      </c>
      <c r="C671" t="s">
        <v>586</v>
      </c>
    </row>
    <row r="672" spans="1:3" x14ac:dyDescent="0.25">
      <c r="A672" s="1">
        <v>45392.724999999999</v>
      </c>
      <c r="B672" s="1" t="s">
        <v>289</v>
      </c>
      <c r="C672" t="s">
        <v>247</v>
      </c>
    </row>
    <row r="673" spans="1:3" x14ac:dyDescent="0.25">
      <c r="A673" s="1">
        <v>45393.731249999997</v>
      </c>
      <c r="B673" s="1" t="s">
        <v>289</v>
      </c>
      <c r="C673" t="s">
        <v>516</v>
      </c>
    </row>
    <row r="674" spans="1:3" x14ac:dyDescent="0.25">
      <c r="A674" s="1">
        <v>45393.833333333001</v>
      </c>
      <c r="B674" s="1" t="s">
        <v>289</v>
      </c>
      <c r="C674" t="s">
        <v>406</v>
      </c>
    </row>
    <row r="675" spans="1:3" x14ac:dyDescent="0.25">
      <c r="A675" s="1">
        <v>45393.824999999997</v>
      </c>
      <c r="B675" s="1" t="s">
        <v>289</v>
      </c>
      <c r="C675" t="s">
        <v>55</v>
      </c>
    </row>
    <row r="676" spans="1:3" x14ac:dyDescent="0.25">
      <c r="A676" s="1">
        <v>45393.802083333001</v>
      </c>
      <c r="B676" s="1" t="s">
        <v>289</v>
      </c>
    </row>
    <row r="677" spans="1:3" x14ac:dyDescent="0.25">
      <c r="A677" s="1">
        <v>45393.835416667003</v>
      </c>
      <c r="B677" s="1" t="s">
        <v>289</v>
      </c>
      <c r="C677" t="s">
        <v>516</v>
      </c>
    </row>
    <row r="678" spans="1:3" x14ac:dyDescent="0.25">
      <c r="A678" s="1">
        <v>45393.779166667002</v>
      </c>
      <c r="B678" s="1" t="s">
        <v>289</v>
      </c>
      <c r="C678" t="s">
        <v>257</v>
      </c>
    </row>
    <row r="679" spans="1:3" x14ac:dyDescent="0.25">
      <c r="A679" s="1">
        <v>45393.8</v>
      </c>
      <c r="B679" s="1" t="s">
        <v>289</v>
      </c>
    </row>
    <row r="680" spans="1:3" x14ac:dyDescent="0.25">
      <c r="A680" s="1">
        <v>45393.743750000001</v>
      </c>
      <c r="B680" s="1" t="s">
        <v>289</v>
      </c>
      <c r="C680" t="s">
        <v>558</v>
      </c>
    </row>
    <row r="681" spans="1:3" x14ac:dyDescent="0.25">
      <c r="A681" s="1">
        <v>45393.787499999999</v>
      </c>
      <c r="B681" s="1" t="s">
        <v>289</v>
      </c>
      <c r="C681" t="s">
        <v>337</v>
      </c>
    </row>
    <row r="682" spans="1:3" x14ac:dyDescent="0.25">
      <c r="A682" s="1">
        <v>45393.770833333001</v>
      </c>
      <c r="B682" s="1" t="s">
        <v>289</v>
      </c>
      <c r="C682" t="s">
        <v>221</v>
      </c>
    </row>
    <row r="683" spans="1:3" x14ac:dyDescent="0.25">
      <c r="A683" s="1">
        <v>45393.802083333001</v>
      </c>
      <c r="B683" s="1" t="s">
        <v>289</v>
      </c>
    </row>
    <row r="684" spans="1:3" x14ac:dyDescent="0.25">
      <c r="A684" s="1">
        <v>45393.731249999997</v>
      </c>
      <c r="B684" s="1" t="s">
        <v>289</v>
      </c>
      <c r="C684" t="s">
        <v>210</v>
      </c>
    </row>
    <row r="685" spans="1:3" x14ac:dyDescent="0.25">
      <c r="A685" s="1">
        <v>45393.714583333</v>
      </c>
      <c r="B685" s="1" t="s">
        <v>289</v>
      </c>
      <c r="C685" t="s">
        <v>552</v>
      </c>
    </row>
    <row r="686" spans="1:3" x14ac:dyDescent="0.25">
      <c r="A686" s="1">
        <v>45393.764583333003</v>
      </c>
      <c r="B686" s="1" t="s">
        <v>289</v>
      </c>
      <c r="C686" t="s">
        <v>90</v>
      </c>
    </row>
    <row r="687" spans="1:3" x14ac:dyDescent="0.25">
      <c r="A687" s="1">
        <v>45393.829166666997</v>
      </c>
      <c r="B687" s="1" t="s">
        <v>289</v>
      </c>
      <c r="C687" t="s">
        <v>51</v>
      </c>
    </row>
    <row r="688" spans="1:3" x14ac:dyDescent="0.25">
      <c r="A688" s="1">
        <v>45393.768750000003</v>
      </c>
      <c r="B688" s="1" t="s">
        <v>289</v>
      </c>
      <c r="C688" t="s">
        <v>622</v>
      </c>
    </row>
    <row r="689" spans="1:3" x14ac:dyDescent="0.25">
      <c r="A689" s="1">
        <v>45393.714583333</v>
      </c>
      <c r="B689" s="1" t="s">
        <v>289</v>
      </c>
      <c r="C689" t="s">
        <v>272</v>
      </c>
    </row>
    <row r="690" spans="1:3" x14ac:dyDescent="0.25">
      <c r="A690" s="1">
        <v>45393.710416667003</v>
      </c>
      <c r="B690" s="1" t="s">
        <v>289</v>
      </c>
      <c r="C690" t="s">
        <v>130</v>
      </c>
    </row>
    <row r="691" spans="1:3" x14ac:dyDescent="0.25">
      <c r="A691" s="1">
        <v>45393.787499999999</v>
      </c>
      <c r="B691" s="1" t="s">
        <v>289</v>
      </c>
      <c r="C691" t="s">
        <v>790</v>
      </c>
    </row>
    <row r="692" spans="1:3" x14ac:dyDescent="0.25">
      <c r="A692" s="1">
        <v>45393.745833333</v>
      </c>
      <c r="B692" s="1" t="s">
        <v>289</v>
      </c>
      <c r="C692" t="s">
        <v>705</v>
      </c>
    </row>
    <row r="693" spans="1:3" x14ac:dyDescent="0.25">
      <c r="A693" s="1">
        <v>45393.837500000001</v>
      </c>
      <c r="B693" s="1" t="s">
        <v>289</v>
      </c>
      <c r="C693" t="s">
        <v>791</v>
      </c>
    </row>
    <row r="694" spans="1:3" x14ac:dyDescent="0.25">
      <c r="A694" s="1">
        <v>45393.720833332998</v>
      </c>
      <c r="B694" s="1" t="s">
        <v>289</v>
      </c>
      <c r="C694" t="s">
        <v>51</v>
      </c>
    </row>
    <row r="695" spans="1:3" x14ac:dyDescent="0.25">
      <c r="A695" s="1">
        <v>45393.837500000001</v>
      </c>
      <c r="B695" s="1" t="s">
        <v>289</v>
      </c>
      <c r="C695" t="s">
        <v>108</v>
      </c>
    </row>
    <row r="696" spans="1:3" x14ac:dyDescent="0.25">
      <c r="A696" s="1">
        <v>45393.814583332998</v>
      </c>
      <c r="B696" s="1" t="s">
        <v>289</v>
      </c>
    </row>
    <row r="697" spans="1:3" x14ac:dyDescent="0.25">
      <c r="A697" s="1">
        <v>45393.777083333</v>
      </c>
      <c r="B697" s="1" t="s">
        <v>289</v>
      </c>
      <c r="C697" t="s">
        <v>792</v>
      </c>
    </row>
    <row r="698" spans="1:3" x14ac:dyDescent="0.25">
      <c r="A698" s="1">
        <v>45393.71875</v>
      </c>
      <c r="B698" s="1" t="s">
        <v>289</v>
      </c>
      <c r="C698" t="s">
        <v>605</v>
      </c>
    </row>
    <row r="699" spans="1:3" x14ac:dyDescent="0.25">
      <c r="A699" s="1">
        <v>45393.762499999997</v>
      </c>
      <c r="B699" s="1" t="s">
        <v>289</v>
      </c>
      <c r="C699" t="s">
        <v>572</v>
      </c>
    </row>
    <row r="700" spans="1:3" x14ac:dyDescent="0.25">
      <c r="A700" s="1">
        <v>45393.760416666999</v>
      </c>
      <c r="B700" s="1" t="s">
        <v>289</v>
      </c>
      <c r="C700" t="s">
        <v>609</v>
      </c>
    </row>
    <row r="701" spans="1:3" x14ac:dyDescent="0.25">
      <c r="A701" s="1">
        <v>45393.772916667003</v>
      </c>
      <c r="B701" s="1" t="s">
        <v>289</v>
      </c>
      <c r="C701" t="s">
        <v>793</v>
      </c>
    </row>
    <row r="702" spans="1:3" x14ac:dyDescent="0.25">
      <c r="A702" s="1">
        <v>45393.795833333003</v>
      </c>
      <c r="B702" s="1" t="s">
        <v>289</v>
      </c>
      <c r="C702" t="s">
        <v>414</v>
      </c>
    </row>
    <row r="703" spans="1:3" x14ac:dyDescent="0.25">
      <c r="A703" s="1">
        <v>45393.743750000001</v>
      </c>
      <c r="B703" s="1" t="s">
        <v>289</v>
      </c>
      <c r="C703" t="s">
        <v>631</v>
      </c>
    </row>
    <row r="704" spans="1:3" x14ac:dyDescent="0.25">
      <c r="A704" s="1">
        <v>45393.802083333001</v>
      </c>
      <c r="B704" s="1" t="s">
        <v>289</v>
      </c>
      <c r="C704" t="s">
        <v>84</v>
      </c>
    </row>
    <row r="705" spans="1:3" x14ac:dyDescent="0.25">
      <c r="A705" s="1">
        <v>45393.722916667</v>
      </c>
      <c r="B705" s="1" t="s">
        <v>289</v>
      </c>
      <c r="C705" t="s">
        <v>544</v>
      </c>
    </row>
    <row r="706" spans="1:3" x14ac:dyDescent="0.25">
      <c r="A706" s="1">
        <v>45393.722916667</v>
      </c>
      <c r="B706" s="1" t="s">
        <v>289</v>
      </c>
      <c r="C706" t="s">
        <v>157</v>
      </c>
    </row>
    <row r="707" spans="1:3" x14ac:dyDescent="0.25">
      <c r="A707" s="1">
        <v>45393.71875</v>
      </c>
      <c r="B707" s="1" t="s">
        <v>289</v>
      </c>
      <c r="C707" t="s">
        <v>532</v>
      </c>
    </row>
    <row r="708" spans="1:3" x14ac:dyDescent="0.25">
      <c r="A708" s="1">
        <v>45393.793749999997</v>
      </c>
      <c r="B708" s="1" t="s">
        <v>289</v>
      </c>
      <c r="C708" t="s">
        <v>794</v>
      </c>
    </row>
    <row r="709" spans="1:3" x14ac:dyDescent="0.25">
      <c r="A709" s="1">
        <v>45393.837500000001</v>
      </c>
      <c r="B709" s="1" t="s">
        <v>289</v>
      </c>
      <c r="C709" t="s">
        <v>383</v>
      </c>
    </row>
    <row r="710" spans="1:3" x14ac:dyDescent="0.25">
      <c r="A710" s="1">
        <v>45393.716666667002</v>
      </c>
      <c r="B710" s="1" t="s">
        <v>289</v>
      </c>
      <c r="C710" t="s">
        <v>725</v>
      </c>
    </row>
    <row r="711" spans="1:3" x14ac:dyDescent="0.25">
      <c r="A711" s="1">
        <v>45393.835416667003</v>
      </c>
      <c r="B711" s="1" t="s">
        <v>289</v>
      </c>
      <c r="C711" t="s">
        <v>170</v>
      </c>
    </row>
    <row r="712" spans="1:3" x14ac:dyDescent="0.25">
      <c r="A712" s="1">
        <v>45393.772916667003</v>
      </c>
      <c r="B712" s="1" t="s">
        <v>289</v>
      </c>
      <c r="C712" t="s">
        <v>345</v>
      </c>
    </row>
    <row r="713" spans="1:3" x14ac:dyDescent="0.25">
      <c r="A713" s="1">
        <v>45393.829166666997</v>
      </c>
      <c r="B713" s="1" t="s">
        <v>289</v>
      </c>
    </row>
    <row r="714" spans="1:3" x14ac:dyDescent="0.25">
      <c r="A714" s="1">
        <v>45393.797916666997</v>
      </c>
      <c r="B714" s="1" t="s">
        <v>289</v>
      </c>
      <c r="C714" t="s">
        <v>225</v>
      </c>
    </row>
    <row r="715" spans="1:3" x14ac:dyDescent="0.25">
      <c r="A715" s="1">
        <v>45393.783333332998</v>
      </c>
      <c r="B715" s="1" t="s">
        <v>289</v>
      </c>
      <c r="C715" t="s">
        <v>406</v>
      </c>
    </row>
    <row r="716" spans="1:3" x14ac:dyDescent="0.25">
      <c r="A716" s="1">
        <v>45393.741666667003</v>
      </c>
      <c r="B716" s="1" t="s">
        <v>289</v>
      </c>
      <c r="C716" t="s">
        <v>475</v>
      </c>
    </row>
    <row r="717" spans="1:3" x14ac:dyDescent="0.25">
      <c r="A717" s="1">
        <v>45393.727083332997</v>
      </c>
      <c r="B717" s="1" t="s">
        <v>289</v>
      </c>
      <c r="C717" t="s">
        <v>212</v>
      </c>
    </row>
    <row r="718" spans="1:3" x14ac:dyDescent="0.25">
      <c r="A718" s="1">
        <v>45393.791666666999</v>
      </c>
      <c r="B718" s="1" t="s">
        <v>289</v>
      </c>
      <c r="C718" t="s">
        <v>129</v>
      </c>
    </row>
    <row r="719" spans="1:3" x14ac:dyDescent="0.25">
      <c r="A719" s="1">
        <v>45393.731249999997</v>
      </c>
      <c r="B719" s="1" t="s">
        <v>289</v>
      </c>
      <c r="C719" t="s">
        <v>319</v>
      </c>
    </row>
    <row r="720" spans="1:3" x14ac:dyDescent="0.25">
      <c r="A720" s="1">
        <v>45393.791666666999</v>
      </c>
      <c r="B720" s="1" t="s">
        <v>289</v>
      </c>
    </row>
    <row r="721" spans="1:3" x14ac:dyDescent="0.25">
      <c r="A721" s="1">
        <v>45393.710416667003</v>
      </c>
      <c r="B721" s="1" t="s">
        <v>289</v>
      </c>
      <c r="C721" t="s">
        <v>795</v>
      </c>
    </row>
    <row r="722" spans="1:3" x14ac:dyDescent="0.25">
      <c r="A722" s="1">
        <v>45393.766666666997</v>
      </c>
      <c r="B722" s="1" t="s">
        <v>289</v>
      </c>
      <c r="C722" t="s">
        <v>306</v>
      </c>
    </row>
    <row r="723" spans="1:3" x14ac:dyDescent="0.25">
      <c r="A723" s="1">
        <v>45393.829166666997</v>
      </c>
      <c r="B723" s="1" t="s">
        <v>289</v>
      </c>
      <c r="C723" t="s">
        <v>505</v>
      </c>
    </row>
    <row r="724" spans="1:3" x14ac:dyDescent="0.25">
      <c r="A724" s="1">
        <v>45393.783333332998</v>
      </c>
      <c r="B724" s="1" t="s">
        <v>289</v>
      </c>
      <c r="C724" t="s">
        <v>796</v>
      </c>
    </row>
    <row r="725" spans="1:3" x14ac:dyDescent="0.25">
      <c r="A725" s="1">
        <v>45393.777083333</v>
      </c>
      <c r="B725" s="1" t="s">
        <v>289</v>
      </c>
      <c r="C725" t="s">
        <v>171</v>
      </c>
    </row>
    <row r="726" spans="1:3" x14ac:dyDescent="0.25">
      <c r="A726" s="1">
        <v>45393.733333333003</v>
      </c>
      <c r="B726" s="1" t="s">
        <v>289</v>
      </c>
      <c r="C726" t="s">
        <v>225</v>
      </c>
    </row>
    <row r="727" spans="1:3" x14ac:dyDescent="0.25">
      <c r="A727" s="1">
        <v>45393.775000000001</v>
      </c>
      <c r="B727" s="1" t="s">
        <v>289</v>
      </c>
      <c r="C727" t="s">
        <v>574</v>
      </c>
    </row>
    <row r="728" spans="1:3" x14ac:dyDescent="0.25">
      <c r="A728" s="1">
        <v>45393.770833333001</v>
      </c>
      <c r="B728" s="1" t="s">
        <v>289</v>
      </c>
      <c r="C728" t="s">
        <v>574</v>
      </c>
    </row>
    <row r="729" spans="1:3" x14ac:dyDescent="0.25">
      <c r="A729" s="1">
        <v>45393.735416666997</v>
      </c>
      <c r="B729" s="1" t="s">
        <v>289</v>
      </c>
      <c r="C729" t="s">
        <v>691</v>
      </c>
    </row>
    <row r="730" spans="1:3" x14ac:dyDescent="0.25">
      <c r="A730" s="1">
        <v>45393.78125</v>
      </c>
      <c r="B730" s="1" t="s">
        <v>289</v>
      </c>
      <c r="C730" t="s">
        <v>343</v>
      </c>
    </row>
    <row r="731" spans="1:3" x14ac:dyDescent="0.25">
      <c r="A731" s="1">
        <v>45393.741666667003</v>
      </c>
      <c r="B731" s="1" t="s">
        <v>289</v>
      </c>
      <c r="C731" t="s">
        <v>54</v>
      </c>
    </row>
    <row r="732" spans="1:3" x14ac:dyDescent="0.25">
      <c r="A732" s="1">
        <v>45393.733333333003</v>
      </c>
      <c r="B732" s="1" t="s">
        <v>289</v>
      </c>
      <c r="C732" t="s">
        <v>435</v>
      </c>
    </row>
    <row r="733" spans="1:3" x14ac:dyDescent="0.25">
      <c r="A733" s="1">
        <v>45393.745833333</v>
      </c>
      <c r="B733" s="1" t="s">
        <v>289</v>
      </c>
      <c r="C733" t="s">
        <v>173</v>
      </c>
    </row>
    <row r="734" spans="1:3" x14ac:dyDescent="0.25">
      <c r="A734" s="1">
        <v>45393.8125</v>
      </c>
      <c r="B734" s="1" t="s">
        <v>289</v>
      </c>
      <c r="C734" t="s">
        <v>37</v>
      </c>
    </row>
    <row r="735" spans="1:3" x14ac:dyDescent="0.25">
      <c r="A735" s="1">
        <v>45393.708333333001</v>
      </c>
      <c r="B735" s="1" t="s">
        <v>289</v>
      </c>
      <c r="C735" t="s">
        <v>188</v>
      </c>
    </row>
    <row r="736" spans="1:3" x14ac:dyDescent="0.25">
      <c r="A736" s="1">
        <v>45393.837500000001</v>
      </c>
      <c r="B736" s="1" t="s">
        <v>289</v>
      </c>
      <c r="C736" t="s">
        <v>643</v>
      </c>
    </row>
    <row r="737" spans="1:3" x14ac:dyDescent="0.25">
      <c r="A737" s="1">
        <v>45393.708333333001</v>
      </c>
      <c r="B737" s="1" t="s">
        <v>289</v>
      </c>
      <c r="C737" t="s">
        <v>192</v>
      </c>
    </row>
    <row r="738" spans="1:3" x14ac:dyDescent="0.25">
      <c r="A738" s="1">
        <v>45393.787499999999</v>
      </c>
      <c r="B738" s="1" t="s">
        <v>289</v>
      </c>
      <c r="C738" t="s">
        <v>157</v>
      </c>
    </row>
    <row r="739" spans="1:3" x14ac:dyDescent="0.25">
      <c r="A739" s="1">
        <v>45393.720833332998</v>
      </c>
      <c r="B739" s="1" t="s">
        <v>289</v>
      </c>
      <c r="C739" t="s">
        <v>424</v>
      </c>
    </row>
    <row r="740" spans="1:3" x14ac:dyDescent="0.25">
      <c r="A740" s="1">
        <v>45393.827083333003</v>
      </c>
      <c r="B740" s="1" t="s">
        <v>289</v>
      </c>
      <c r="C740" t="s">
        <v>794</v>
      </c>
    </row>
    <row r="741" spans="1:3" x14ac:dyDescent="0.25">
      <c r="A741" s="1">
        <v>45393.766666666997</v>
      </c>
      <c r="B741" s="1" t="s">
        <v>289</v>
      </c>
      <c r="C741" t="s">
        <v>791</v>
      </c>
    </row>
    <row r="742" spans="1:3" x14ac:dyDescent="0.25">
      <c r="A742" s="1">
        <v>45393.791666666999</v>
      </c>
      <c r="B742" s="1" t="s">
        <v>289</v>
      </c>
      <c r="C742" t="s">
        <v>169</v>
      </c>
    </row>
    <row r="743" spans="1:3" x14ac:dyDescent="0.25">
      <c r="A743" s="1">
        <v>45393.71875</v>
      </c>
      <c r="B743" s="1" t="s">
        <v>289</v>
      </c>
      <c r="C743" t="s">
        <v>638</v>
      </c>
    </row>
    <row r="744" spans="1:3" x14ac:dyDescent="0.25">
      <c r="A744" s="1">
        <v>45393.764583333003</v>
      </c>
      <c r="B744" s="1" t="s">
        <v>289</v>
      </c>
      <c r="C744" t="s">
        <v>611</v>
      </c>
    </row>
    <row r="745" spans="1:3" x14ac:dyDescent="0.25">
      <c r="A745" s="1">
        <v>45393.712500000001</v>
      </c>
      <c r="B745" s="1" t="s">
        <v>289</v>
      </c>
      <c r="C745" t="s">
        <v>323</v>
      </c>
    </row>
    <row r="746" spans="1:3" x14ac:dyDescent="0.25">
      <c r="A746" s="1">
        <v>45393.712500000001</v>
      </c>
      <c r="B746" s="1" t="s">
        <v>289</v>
      </c>
      <c r="C746" t="s">
        <v>225</v>
      </c>
    </row>
    <row r="747" spans="1:3" x14ac:dyDescent="0.25">
      <c r="A747" s="1">
        <v>45393.729166666999</v>
      </c>
      <c r="B747" s="1" t="s">
        <v>289</v>
      </c>
      <c r="C747" t="s">
        <v>684</v>
      </c>
    </row>
    <row r="748" spans="1:3" x14ac:dyDescent="0.25">
      <c r="A748" s="1">
        <v>45393.747916667002</v>
      </c>
      <c r="B748" s="1" t="s">
        <v>289</v>
      </c>
      <c r="C748" t="s">
        <v>79</v>
      </c>
    </row>
    <row r="749" spans="1:3" x14ac:dyDescent="0.25">
      <c r="A749" s="1">
        <v>45393.75</v>
      </c>
      <c r="B749" s="1" t="s">
        <v>289</v>
      </c>
      <c r="C749" t="s">
        <v>630</v>
      </c>
    </row>
    <row r="750" spans="1:3" x14ac:dyDescent="0.25">
      <c r="A750" s="1">
        <v>45393.816666667</v>
      </c>
      <c r="B750" s="1" t="s">
        <v>289</v>
      </c>
      <c r="C750" t="s">
        <v>127</v>
      </c>
    </row>
    <row r="751" spans="1:3" x14ac:dyDescent="0.25">
      <c r="A751" s="1">
        <v>45393.818749999999</v>
      </c>
      <c r="B751" s="1" t="s">
        <v>289</v>
      </c>
      <c r="C751" t="s">
        <v>173</v>
      </c>
    </row>
    <row r="752" spans="1:3" x14ac:dyDescent="0.25">
      <c r="A752" s="1">
        <v>45393.735416666997</v>
      </c>
      <c r="B752" s="1" t="s">
        <v>289</v>
      </c>
      <c r="C752" t="s">
        <v>797</v>
      </c>
    </row>
    <row r="753" spans="1:3" x14ac:dyDescent="0.25">
      <c r="A753" s="1">
        <v>45393.739583333001</v>
      </c>
      <c r="B753" s="1" t="s">
        <v>289</v>
      </c>
      <c r="C753" t="s">
        <v>798</v>
      </c>
    </row>
    <row r="754" spans="1:3" x14ac:dyDescent="0.25">
      <c r="A754" s="1">
        <v>45393.724999999999</v>
      </c>
      <c r="B754" s="1" t="s">
        <v>289</v>
      </c>
      <c r="C754" t="s">
        <v>318</v>
      </c>
    </row>
    <row r="755" spans="1:3" x14ac:dyDescent="0.25">
      <c r="A755" s="1">
        <v>45393.785416667</v>
      </c>
      <c r="B755" s="1" t="s">
        <v>289</v>
      </c>
      <c r="C755" t="s">
        <v>171</v>
      </c>
    </row>
    <row r="756" spans="1:3" x14ac:dyDescent="0.25">
      <c r="A756" s="1">
        <v>45393.75</v>
      </c>
      <c r="B756" s="1" t="s">
        <v>289</v>
      </c>
      <c r="C756" t="s">
        <v>150</v>
      </c>
    </row>
    <row r="757" spans="1:3" x14ac:dyDescent="0.25">
      <c r="A757" s="1">
        <v>45393.789583332997</v>
      </c>
      <c r="B757" s="1" t="s">
        <v>289</v>
      </c>
      <c r="C757" t="s">
        <v>799</v>
      </c>
    </row>
    <row r="758" spans="1:3" x14ac:dyDescent="0.25">
      <c r="A758" s="1">
        <v>45393.818749999999</v>
      </c>
      <c r="B758" s="1" t="s">
        <v>289</v>
      </c>
      <c r="C758" t="s">
        <v>97</v>
      </c>
    </row>
    <row r="759" spans="1:3" x14ac:dyDescent="0.25">
      <c r="A759" s="1">
        <v>45393.822916666999</v>
      </c>
      <c r="B759" s="1" t="s">
        <v>289</v>
      </c>
    </row>
    <row r="760" spans="1:3" x14ac:dyDescent="0.25">
      <c r="A760" s="1">
        <v>45393.8</v>
      </c>
      <c r="B760" s="1" t="s">
        <v>289</v>
      </c>
      <c r="C760" t="s">
        <v>420</v>
      </c>
    </row>
    <row r="761" spans="1:3" x14ac:dyDescent="0.25">
      <c r="A761" s="1">
        <v>45393.814583332998</v>
      </c>
      <c r="B761" s="1" t="s">
        <v>289</v>
      </c>
      <c r="C761" t="s">
        <v>147</v>
      </c>
    </row>
    <row r="762" spans="1:3" x14ac:dyDescent="0.25">
      <c r="A762" s="1">
        <v>45393.75</v>
      </c>
      <c r="B762" s="1" t="s">
        <v>289</v>
      </c>
      <c r="C762" t="s">
        <v>96</v>
      </c>
    </row>
    <row r="763" spans="1:3" x14ac:dyDescent="0.25">
      <c r="A763" s="1">
        <v>45393.724999999999</v>
      </c>
      <c r="B763" s="1" t="s">
        <v>289</v>
      </c>
      <c r="C763" t="s">
        <v>484</v>
      </c>
    </row>
    <row r="764" spans="1:3" x14ac:dyDescent="0.25">
      <c r="A764" s="1">
        <v>45392.716666667002</v>
      </c>
      <c r="B764" s="1" t="s">
        <v>289</v>
      </c>
      <c r="C764" t="s">
        <v>214</v>
      </c>
    </row>
    <row r="765" spans="1:3" x14ac:dyDescent="0.25">
      <c r="A765" s="1">
        <v>45393.739583333001</v>
      </c>
      <c r="B765" s="1" t="s">
        <v>289</v>
      </c>
      <c r="C765" t="s">
        <v>84</v>
      </c>
    </row>
    <row r="766" spans="1:3" x14ac:dyDescent="0.25">
      <c r="A766" s="1">
        <v>45393.770833333001</v>
      </c>
      <c r="B766" s="1" t="s">
        <v>289</v>
      </c>
      <c r="C766" t="s">
        <v>480</v>
      </c>
    </row>
    <row r="767" spans="1:3" x14ac:dyDescent="0.25">
      <c r="A767" s="1">
        <v>45393.760416666999</v>
      </c>
      <c r="B767" s="1" t="s">
        <v>289</v>
      </c>
      <c r="C767" t="s">
        <v>136</v>
      </c>
    </row>
    <row r="768" spans="1:3" x14ac:dyDescent="0.25">
      <c r="A768" s="1">
        <v>45393.764583333003</v>
      </c>
      <c r="B768" s="1" t="s">
        <v>289</v>
      </c>
      <c r="C768" t="s">
        <v>524</v>
      </c>
    </row>
    <row r="769" spans="1:3" x14ac:dyDescent="0.25">
      <c r="A769" s="1">
        <v>45393.745833333</v>
      </c>
      <c r="B769" s="1" t="s">
        <v>289</v>
      </c>
      <c r="C769" t="s">
        <v>47</v>
      </c>
    </row>
    <row r="770" spans="1:3" x14ac:dyDescent="0.25">
      <c r="A770" s="1">
        <v>45393.727083332997</v>
      </c>
      <c r="B770" s="1" t="s">
        <v>289</v>
      </c>
      <c r="C770" t="s">
        <v>800</v>
      </c>
    </row>
    <row r="771" spans="1:3" x14ac:dyDescent="0.25">
      <c r="A771" s="1">
        <v>45393.78125</v>
      </c>
      <c r="B771" s="1" t="s">
        <v>289</v>
      </c>
      <c r="C771" t="s">
        <v>88</v>
      </c>
    </row>
    <row r="772" spans="1:3" x14ac:dyDescent="0.25">
      <c r="A772" s="1">
        <v>45393.818749999999</v>
      </c>
      <c r="B772" s="1" t="s">
        <v>289</v>
      </c>
    </row>
    <row r="773" spans="1:3" x14ac:dyDescent="0.25">
      <c r="A773" s="1">
        <v>45393.722916667</v>
      </c>
      <c r="B773" s="1" t="s">
        <v>289</v>
      </c>
      <c r="C773" t="s">
        <v>88</v>
      </c>
    </row>
    <row r="774" spans="1:3" x14ac:dyDescent="0.25">
      <c r="A774" s="1">
        <v>45393.775000000001</v>
      </c>
      <c r="B774" s="1" t="s">
        <v>289</v>
      </c>
      <c r="C774" t="s">
        <v>801</v>
      </c>
    </row>
    <row r="775" spans="1:3" x14ac:dyDescent="0.25">
      <c r="A775" s="1">
        <v>45393.827083333003</v>
      </c>
      <c r="B775" s="1" t="s">
        <v>289</v>
      </c>
      <c r="C775" t="s">
        <v>351</v>
      </c>
    </row>
    <row r="776" spans="1:3" x14ac:dyDescent="0.25">
      <c r="A776" s="1">
        <v>45393.787499999999</v>
      </c>
      <c r="B776" s="1" t="s">
        <v>289</v>
      </c>
      <c r="C776" t="s">
        <v>802</v>
      </c>
    </row>
    <row r="777" spans="1:3" x14ac:dyDescent="0.25">
      <c r="A777" s="1">
        <v>45393.797916666997</v>
      </c>
      <c r="B777" s="1" t="s">
        <v>289</v>
      </c>
      <c r="C777" t="s">
        <v>568</v>
      </c>
    </row>
    <row r="778" spans="1:3" x14ac:dyDescent="0.25">
      <c r="A778" s="1">
        <v>45393.743750000001</v>
      </c>
      <c r="B778" s="1" t="s">
        <v>289</v>
      </c>
      <c r="C778" t="s">
        <v>3</v>
      </c>
    </row>
    <row r="779" spans="1:3" x14ac:dyDescent="0.25">
      <c r="A779" s="1">
        <v>45393.716666667002</v>
      </c>
      <c r="B779" s="1" t="s">
        <v>289</v>
      </c>
      <c r="C779" t="s">
        <v>199</v>
      </c>
    </row>
    <row r="780" spans="1:3" x14ac:dyDescent="0.25">
      <c r="A780" s="1">
        <v>45393.822916666999</v>
      </c>
      <c r="B780" s="1" t="s">
        <v>289</v>
      </c>
      <c r="C780" t="s">
        <v>197</v>
      </c>
    </row>
    <row r="781" spans="1:3" x14ac:dyDescent="0.25">
      <c r="A781" s="1">
        <v>45393.785416667</v>
      </c>
      <c r="B781" s="1" t="s">
        <v>289</v>
      </c>
      <c r="C781" t="s">
        <v>790</v>
      </c>
    </row>
    <row r="782" spans="1:3" x14ac:dyDescent="0.25">
      <c r="A782" s="1">
        <v>45393.785416667</v>
      </c>
      <c r="B782" s="1" t="s">
        <v>289</v>
      </c>
      <c r="C782" t="s">
        <v>379</v>
      </c>
    </row>
    <row r="783" spans="1:3" x14ac:dyDescent="0.25">
      <c r="A783" s="1">
        <v>45393.747916667002</v>
      </c>
      <c r="B783" s="1" t="s">
        <v>289</v>
      </c>
      <c r="C783" t="s">
        <v>144</v>
      </c>
    </row>
    <row r="784" spans="1:3" x14ac:dyDescent="0.25">
      <c r="A784" s="1">
        <v>45393.833333333001</v>
      </c>
      <c r="B784" s="1" t="s">
        <v>289</v>
      </c>
      <c r="C784" t="s">
        <v>328</v>
      </c>
    </row>
    <row r="785" spans="1:3" x14ac:dyDescent="0.25">
      <c r="A785" s="1">
        <v>45393.772916667003</v>
      </c>
      <c r="B785" s="1" t="s">
        <v>289</v>
      </c>
      <c r="C785" t="s">
        <v>628</v>
      </c>
    </row>
    <row r="786" spans="1:3" x14ac:dyDescent="0.25">
      <c r="A786" s="1">
        <v>45393.827083333003</v>
      </c>
      <c r="B786" s="1" t="s">
        <v>289</v>
      </c>
      <c r="C786" t="s">
        <v>489</v>
      </c>
    </row>
    <row r="787" spans="1:3" x14ac:dyDescent="0.25">
      <c r="A787" s="1">
        <v>45393.716666667002</v>
      </c>
      <c r="B787" s="1" t="s">
        <v>289</v>
      </c>
      <c r="C787" t="s">
        <v>671</v>
      </c>
    </row>
    <row r="788" spans="1:3" x14ac:dyDescent="0.25">
      <c r="A788" s="1">
        <v>45393.827083333003</v>
      </c>
      <c r="B788" s="1" t="s">
        <v>289</v>
      </c>
      <c r="C788" t="s">
        <v>232</v>
      </c>
    </row>
    <row r="789" spans="1:3" x14ac:dyDescent="0.25">
      <c r="A789" s="1">
        <v>45393.747916667002</v>
      </c>
      <c r="B789" s="1" t="s">
        <v>289</v>
      </c>
      <c r="C789" t="s">
        <v>449</v>
      </c>
    </row>
    <row r="790" spans="1:3" x14ac:dyDescent="0.25">
      <c r="A790" s="1">
        <v>45393.737500000003</v>
      </c>
      <c r="B790" s="1" t="s">
        <v>289</v>
      </c>
      <c r="C790" t="s">
        <v>568</v>
      </c>
    </row>
    <row r="791" spans="1:3" x14ac:dyDescent="0.25">
      <c r="A791" s="1">
        <v>45393.739583333001</v>
      </c>
      <c r="B791" s="1" t="s">
        <v>289</v>
      </c>
      <c r="C791" t="s">
        <v>803</v>
      </c>
    </row>
    <row r="792" spans="1:3" x14ac:dyDescent="0.25">
      <c r="A792" s="1">
        <v>45393.831250000003</v>
      </c>
      <c r="B792" s="1" t="s">
        <v>289</v>
      </c>
      <c r="C792" t="s">
        <v>785</v>
      </c>
    </row>
    <row r="793" spans="1:3" x14ac:dyDescent="0.25">
      <c r="A793" s="1">
        <v>45393.833333333001</v>
      </c>
      <c r="B793" s="1" t="s">
        <v>289</v>
      </c>
      <c r="C793" t="s">
        <v>305</v>
      </c>
    </row>
    <row r="794" spans="1:3" x14ac:dyDescent="0.25">
      <c r="A794" s="1">
        <v>45393.743750000001</v>
      </c>
      <c r="B794" s="1" t="s">
        <v>289</v>
      </c>
      <c r="C794" t="s">
        <v>804</v>
      </c>
    </row>
    <row r="795" spans="1:3" x14ac:dyDescent="0.25">
      <c r="A795" s="1">
        <v>45393.708333333001</v>
      </c>
      <c r="B795" s="1" t="s">
        <v>289</v>
      </c>
      <c r="C795" t="s">
        <v>112</v>
      </c>
    </row>
    <row r="796" spans="1:3" x14ac:dyDescent="0.25">
      <c r="A796" s="1">
        <v>45393.783333332998</v>
      </c>
      <c r="B796" s="1" t="s">
        <v>289</v>
      </c>
      <c r="C796" t="s">
        <v>210</v>
      </c>
    </row>
    <row r="797" spans="1:3" x14ac:dyDescent="0.25">
      <c r="A797" s="1">
        <v>45393.722916667</v>
      </c>
      <c r="B797" s="1" t="s">
        <v>289</v>
      </c>
      <c r="C797" t="s">
        <v>140</v>
      </c>
    </row>
    <row r="798" spans="1:3" x14ac:dyDescent="0.25">
      <c r="A798" s="1">
        <v>45393.762499999997</v>
      </c>
      <c r="B798" s="1" t="s">
        <v>289</v>
      </c>
      <c r="C798" t="s">
        <v>805</v>
      </c>
    </row>
    <row r="799" spans="1:3" x14ac:dyDescent="0.25">
      <c r="A799" s="1">
        <v>45393.8</v>
      </c>
      <c r="B799" s="1" t="s">
        <v>289</v>
      </c>
      <c r="C799" t="s">
        <v>315</v>
      </c>
    </row>
    <row r="800" spans="1:3" x14ac:dyDescent="0.25">
      <c r="A800" s="1">
        <v>45393.831250000003</v>
      </c>
      <c r="B800" s="1" t="s">
        <v>289</v>
      </c>
      <c r="C800" t="s">
        <v>160</v>
      </c>
    </row>
    <row r="801" spans="1:3" x14ac:dyDescent="0.25">
      <c r="A801" s="1">
        <v>45393.770833333001</v>
      </c>
      <c r="B801" s="1" t="s">
        <v>289</v>
      </c>
      <c r="C801" t="s">
        <v>82</v>
      </c>
    </row>
    <row r="802" spans="1:3" x14ac:dyDescent="0.25">
      <c r="A802" s="1" t="s">
        <v>289</v>
      </c>
      <c r="B802" s="1" t="s">
        <v>289</v>
      </c>
    </row>
    <row r="803" spans="1:3" x14ac:dyDescent="0.25">
      <c r="A803" s="1">
        <v>45393.775000000001</v>
      </c>
      <c r="B803" s="1" t="s">
        <v>289</v>
      </c>
    </row>
    <row r="804" spans="1:3" x14ac:dyDescent="0.25">
      <c r="A804" s="1">
        <v>45393.768750000003</v>
      </c>
      <c r="B804" s="1" t="s">
        <v>289</v>
      </c>
      <c r="C804" t="s">
        <v>345</v>
      </c>
    </row>
    <row r="805" spans="1:3" x14ac:dyDescent="0.25">
      <c r="A805" s="1">
        <v>45393.745833333</v>
      </c>
      <c r="B805" s="1" t="s">
        <v>289</v>
      </c>
      <c r="C805" t="s">
        <v>43</v>
      </c>
    </row>
    <row r="806" spans="1:3" x14ac:dyDescent="0.25">
      <c r="A806" s="1">
        <v>45393.735416666997</v>
      </c>
      <c r="B806" s="1" t="s">
        <v>289</v>
      </c>
      <c r="C806" t="s">
        <v>197</v>
      </c>
    </row>
    <row r="807" spans="1:3" x14ac:dyDescent="0.25">
      <c r="A807" s="1">
        <v>45393.78125</v>
      </c>
      <c r="B807" s="1" t="s">
        <v>289</v>
      </c>
    </row>
    <row r="808" spans="1:3" x14ac:dyDescent="0.25">
      <c r="A808" s="1">
        <v>45393.710416667003</v>
      </c>
      <c r="B808" s="1" t="s">
        <v>289</v>
      </c>
      <c r="C808" t="s">
        <v>660</v>
      </c>
    </row>
    <row r="809" spans="1:3" x14ac:dyDescent="0.25">
      <c r="A809" s="1">
        <v>45393.820833332997</v>
      </c>
      <c r="B809" s="1" t="s">
        <v>289</v>
      </c>
    </row>
    <row r="810" spans="1:3" x14ac:dyDescent="0.25">
      <c r="A810" s="1">
        <v>45393.789583332997</v>
      </c>
      <c r="B810" s="1" t="s">
        <v>289</v>
      </c>
      <c r="C810" t="s">
        <v>55</v>
      </c>
    </row>
    <row r="811" spans="1:3" x14ac:dyDescent="0.25">
      <c r="A811" s="1">
        <v>45393.820833332997</v>
      </c>
      <c r="B811" s="1" t="s">
        <v>289</v>
      </c>
      <c r="C811" t="s">
        <v>158</v>
      </c>
    </row>
    <row r="812" spans="1:3" x14ac:dyDescent="0.25">
      <c r="A812" s="1">
        <v>45393.779166667002</v>
      </c>
      <c r="B812" s="1" t="s">
        <v>289</v>
      </c>
      <c r="C812" t="s">
        <v>383</v>
      </c>
    </row>
    <row r="813" spans="1:3" x14ac:dyDescent="0.25">
      <c r="A813" s="1">
        <v>45393.779166667002</v>
      </c>
      <c r="B813" s="1" t="s">
        <v>289</v>
      </c>
      <c r="C813" t="s">
        <v>799</v>
      </c>
    </row>
    <row r="814" spans="1:3" x14ac:dyDescent="0.25">
      <c r="A814" s="1">
        <v>45393.833333333001</v>
      </c>
      <c r="B814" s="1" t="s">
        <v>289</v>
      </c>
      <c r="C814" t="s">
        <v>802</v>
      </c>
    </row>
    <row r="815" spans="1:3" x14ac:dyDescent="0.25">
      <c r="A815" s="1">
        <v>45393.764583333003</v>
      </c>
      <c r="B815" s="1" t="s">
        <v>289</v>
      </c>
      <c r="C815" t="s">
        <v>234</v>
      </c>
    </row>
    <row r="816" spans="1:3" x14ac:dyDescent="0.25">
      <c r="A816" s="1">
        <v>45393.795833333003</v>
      </c>
      <c r="B816" s="1" t="s">
        <v>289</v>
      </c>
      <c r="C816" t="s">
        <v>3</v>
      </c>
    </row>
    <row r="817" spans="1:3" x14ac:dyDescent="0.25">
      <c r="A817" s="1">
        <v>45393.820833332997</v>
      </c>
      <c r="B817" s="1" t="s">
        <v>289</v>
      </c>
      <c r="C817" t="s">
        <v>664</v>
      </c>
    </row>
    <row r="818" spans="1:3" x14ac:dyDescent="0.25">
      <c r="A818" s="1">
        <v>45393.831250000003</v>
      </c>
      <c r="B818" s="1" t="s">
        <v>289</v>
      </c>
      <c r="C818" t="s">
        <v>257</v>
      </c>
    </row>
    <row r="819" spans="1:3" x14ac:dyDescent="0.25">
      <c r="A819" s="1">
        <v>45393.8125</v>
      </c>
      <c r="B819" s="1" t="s">
        <v>289</v>
      </c>
      <c r="C819" t="s">
        <v>206</v>
      </c>
    </row>
    <row r="820" spans="1:3" x14ac:dyDescent="0.25">
      <c r="A820" s="1">
        <v>45393.75</v>
      </c>
      <c r="B820" s="1" t="s">
        <v>289</v>
      </c>
      <c r="C820" t="s">
        <v>580</v>
      </c>
    </row>
    <row r="821" spans="1:3" x14ac:dyDescent="0.25">
      <c r="A821" s="1">
        <v>45393.737500000003</v>
      </c>
      <c r="B821" s="1" t="s">
        <v>289</v>
      </c>
      <c r="C821" t="s">
        <v>364</v>
      </c>
    </row>
    <row r="822" spans="1:3" x14ac:dyDescent="0.25">
      <c r="A822" s="1">
        <v>45393.814583332998</v>
      </c>
      <c r="B822" s="1" t="s">
        <v>289</v>
      </c>
      <c r="C822" t="s">
        <v>304</v>
      </c>
    </row>
    <row r="823" spans="1:3" x14ac:dyDescent="0.25">
      <c r="A823" s="1">
        <v>45393.741666667003</v>
      </c>
      <c r="B823" s="1" t="s">
        <v>289</v>
      </c>
      <c r="C823" t="s">
        <v>97</v>
      </c>
    </row>
    <row r="824" spans="1:3" x14ac:dyDescent="0.25">
      <c r="A824" s="1">
        <v>45393.729166666999</v>
      </c>
      <c r="B824" s="1" t="s">
        <v>289</v>
      </c>
      <c r="C824" t="s">
        <v>303</v>
      </c>
    </row>
    <row r="825" spans="1:3" x14ac:dyDescent="0.25">
      <c r="A825" s="1">
        <v>45393.760416666999</v>
      </c>
      <c r="B825" s="1" t="s">
        <v>289</v>
      </c>
      <c r="C825" t="s">
        <v>153</v>
      </c>
    </row>
    <row r="826" spans="1:3" x14ac:dyDescent="0.25">
      <c r="A826" s="1">
        <v>45393.793749999997</v>
      </c>
      <c r="B826" s="1" t="s">
        <v>289</v>
      </c>
    </row>
    <row r="827" spans="1:3" x14ac:dyDescent="0.25">
      <c r="A827" s="1">
        <v>45393.760416666999</v>
      </c>
      <c r="B827" s="1" t="s">
        <v>289</v>
      </c>
      <c r="C827" t="s">
        <v>806</v>
      </c>
    </row>
    <row r="828" spans="1:3" x14ac:dyDescent="0.25">
      <c r="A828" s="1">
        <v>45393.818749999999</v>
      </c>
      <c r="B828" s="1" t="s">
        <v>289</v>
      </c>
    </row>
    <row r="829" spans="1:3" x14ac:dyDescent="0.25">
      <c r="A829" s="1">
        <v>45393.710416667003</v>
      </c>
      <c r="B829" s="1" t="s">
        <v>289</v>
      </c>
    </row>
  </sheetData>
  <sortState xmlns:xlrd2="http://schemas.microsoft.com/office/spreadsheetml/2017/richdata2" ref="B2:B829">
    <sortCondition ref="B2:B8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DA33-8B3E-45BC-8D19-C87840590F3A}">
  <dimension ref="A1:C782"/>
  <sheetViews>
    <sheetView topLeftCell="A713" workbookViewId="0">
      <selection activeCell="C11" sqref="C11"/>
    </sheetView>
  </sheetViews>
  <sheetFormatPr defaultColWidth="8.85546875" defaultRowHeight="15" x14ac:dyDescent="0.25"/>
  <cols>
    <col min="1" max="2" width="23.42578125" bestFit="1" customWidth="1"/>
    <col min="3" max="3" width="3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45755.887499999997</v>
      </c>
      <c r="B2" s="1">
        <v>45755.708333333001</v>
      </c>
      <c r="C2" t="s">
        <v>674</v>
      </c>
    </row>
    <row r="3" spans="1:3" x14ac:dyDescent="0.25">
      <c r="A3" s="1">
        <v>45755.708333333001</v>
      </c>
      <c r="B3" s="1">
        <v>45755.708333333001</v>
      </c>
      <c r="C3" t="s">
        <v>686</v>
      </c>
    </row>
    <row r="4" spans="1:3" x14ac:dyDescent="0.25">
      <c r="A4" s="1">
        <v>45755.883333332997</v>
      </c>
      <c r="B4" s="1">
        <v>45755.708333333001</v>
      </c>
      <c r="C4" t="s">
        <v>259</v>
      </c>
    </row>
    <row r="5" spans="1:3" x14ac:dyDescent="0.25">
      <c r="A5" s="1">
        <v>45755.827083333003</v>
      </c>
      <c r="B5" s="1">
        <v>45755.708333333001</v>
      </c>
      <c r="C5" t="s">
        <v>715</v>
      </c>
    </row>
    <row r="6" spans="1:3" x14ac:dyDescent="0.25">
      <c r="A6" s="1">
        <v>45755.764583333003</v>
      </c>
      <c r="B6" s="1">
        <v>45755.708333333001</v>
      </c>
      <c r="C6" t="s">
        <v>718</v>
      </c>
    </row>
    <row r="7" spans="1:3" x14ac:dyDescent="0.25">
      <c r="A7" s="1">
        <v>45755.891666666997</v>
      </c>
      <c r="B7" s="1">
        <v>45755.708333333001</v>
      </c>
      <c r="C7" t="s">
        <v>667</v>
      </c>
    </row>
    <row r="8" spans="1:3" x14ac:dyDescent="0.25">
      <c r="A8" s="1">
        <v>45755.708333333001</v>
      </c>
      <c r="B8" s="1">
        <v>45755.708333333001</v>
      </c>
      <c r="C8" t="s">
        <v>218</v>
      </c>
    </row>
    <row r="9" spans="1:3" x14ac:dyDescent="0.25">
      <c r="A9" s="1">
        <v>45755.893750000003</v>
      </c>
      <c r="B9" s="1">
        <v>45755.708333333001</v>
      </c>
      <c r="C9" t="s">
        <v>80</v>
      </c>
    </row>
    <row r="10" spans="1:3" x14ac:dyDescent="0.25">
      <c r="A10" s="1">
        <v>45755.864583333001</v>
      </c>
      <c r="B10" s="1">
        <v>45755.708333333001</v>
      </c>
      <c r="C10" t="s">
        <v>11</v>
      </c>
    </row>
    <row r="11" spans="1:3" x14ac:dyDescent="0.25">
      <c r="A11" s="1">
        <v>45755.708333333001</v>
      </c>
      <c r="B11" s="1">
        <v>45755.708333333001</v>
      </c>
      <c r="C11" t="s">
        <v>248</v>
      </c>
    </row>
    <row r="12" spans="1:3" x14ac:dyDescent="0.25">
      <c r="A12" s="1">
        <v>45755.802083333001</v>
      </c>
      <c r="B12" s="1">
        <v>45755.708333333001</v>
      </c>
      <c r="C12" t="s">
        <v>321</v>
      </c>
    </row>
    <row r="13" spans="1:3" x14ac:dyDescent="0.25">
      <c r="A13" s="1">
        <v>45755.889583333003</v>
      </c>
      <c r="B13" s="1">
        <v>45755.708333333001</v>
      </c>
      <c r="C13" t="s">
        <v>62</v>
      </c>
    </row>
    <row r="14" spans="1:3" x14ac:dyDescent="0.25">
      <c r="A14" s="1">
        <v>45755.887499999997</v>
      </c>
      <c r="B14" s="1">
        <v>45755.708333333001</v>
      </c>
      <c r="C14" t="s">
        <v>201</v>
      </c>
    </row>
    <row r="15" spans="1:3" x14ac:dyDescent="0.25">
      <c r="A15" s="1">
        <v>45755.831250000003</v>
      </c>
      <c r="B15" s="1">
        <v>45755.708333333001</v>
      </c>
      <c r="C15" t="s">
        <v>450</v>
      </c>
    </row>
    <row r="16" spans="1:3" x14ac:dyDescent="0.25">
      <c r="A16" s="1">
        <v>45755.916666666999</v>
      </c>
      <c r="B16" s="1">
        <v>45755.708333333001</v>
      </c>
      <c r="C16" t="s">
        <v>519</v>
      </c>
    </row>
    <row r="17" spans="1:3" x14ac:dyDescent="0.25">
      <c r="A17" s="1">
        <v>45755.795833333003</v>
      </c>
      <c r="B17" s="1">
        <v>45755.708333333001</v>
      </c>
      <c r="C17" t="s">
        <v>295</v>
      </c>
    </row>
    <row r="18" spans="1:3" x14ac:dyDescent="0.25">
      <c r="A18" s="1">
        <v>45755.775000000001</v>
      </c>
      <c r="B18" s="1">
        <v>45755.708333333001</v>
      </c>
      <c r="C18" t="s">
        <v>711</v>
      </c>
    </row>
    <row r="19" spans="1:3" x14ac:dyDescent="0.25">
      <c r="A19" s="1">
        <v>45755.708333333001</v>
      </c>
      <c r="B19" s="1">
        <v>45755.708333333001</v>
      </c>
      <c r="C19" t="s">
        <v>293</v>
      </c>
    </row>
    <row r="20" spans="1:3" x14ac:dyDescent="0.25">
      <c r="A20" s="1">
        <v>45755.90625</v>
      </c>
      <c r="B20" s="1">
        <v>45755.708333333001</v>
      </c>
      <c r="C20" t="s">
        <v>61</v>
      </c>
    </row>
    <row r="21" spans="1:3" x14ac:dyDescent="0.25">
      <c r="A21" s="1">
        <v>45755.824999999997</v>
      </c>
      <c r="B21" s="1">
        <v>45755.708333333001</v>
      </c>
      <c r="C21" t="s">
        <v>342</v>
      </c>
    </row>
    <row r="22" spans="1:3" x14ac:dyDescent="0.25">
      <c r="A22" s="1">
        <v>45755.902083333</v>
      </c>
      <c r="B22" s="1">
        <v>45755.710416667003</v>
      </c>
      <c r="C22" t="s">
        <v>709</v>
      </c>
    </row>
    <row r="23" spans="1:3" x14ac:dyDescent="0.25">
      <c r="A23" s="1">
        <v>45755.902083333</v>
      </c>
      <c r="B23" s="1">
        <v>45755.710416667003</v>
      </c>
      <c r="C23" t="s">
        <v>132</v>
      </c>
    </row>
    <row r="24" spans="1:3" x14ac:dyDescent="0.25">
      <c r="A24" s="1">
        <v>45755.710416667003</v>
      </c>
      <c r="B24" s="1">
        <v>45755.710416667003</v>
      </c>
      <c r="C24" t="s">
        <v>685</v>
      </c>
    </row>
    <row r="25" spans="1:3" x14ac:dyDescent="0.25">
      <c r="A25" s="1">
        <v>45755.797916666997</v>
      </c>
      <c r="B25" s="1">
        <v>45755.710416667003</v>
      </c>
      <c r="C25" t="s">
        <v>396</v>
      </c>
    </row>
    <row r="26" spans="1:3" x14ac:dyDescent="0.25">
      <c r="A26" s="1">
        <v>45756.741666667003</v>
      </c>
      <c r="B26" s="1">
        <v>45755.710416667003</v>
      </c>
      <c r="C26" t="s">
        <v>398</v>
      </c>
    </row>
    <row r="27" spans="1:3" x14ac:dyDescent="0.25">
      <c r="A27" s="1">
        <v>45755.847916667</v>
      </c>
      <c r="B27" s="1">
        <v>45755.710416667003</v>
      </c>
      <c r="C27" t="s">
        <v>332</v>
      </c>
    </row>
    <row r="28" spans="1:3" x14ac:dyDescent="0.25">
      <c r="A28" s="1">
        <v>45755.877083332998</v>
      </c>
      <c r="B28" s="1">
        <v>45755.710416667003</v>
      </c>
      <c r="C28" t="s">
        <v>184</v>
      </c>
    </row>
    <row r="29" spans="1:3" x14ac:dyDescent="0.25">
      <c r="A29" s="1">
        <v>45755.783333332998</v>
      </c>
      <c r="B29" s="1">
        <v>45755.710416667003</v>
      </c>
      <c r="C29" t="s">
        <v>512</v>
      </c>
    </row>
    <row r="30" spans="1:3" x14ac:dyDescent="0.25">
      <c r="A30" s="1">
        <v>45755.9</v>
      </c>
      <c r="B30" s="1">
        <v>45755.710416667003</v>
      </c>
      <c r="C30" t="s">
        <v>15</v>
      </c>
    </row>
    <row r="31" spans="1:3" x14ac:dyDescent="0.25">
      <c r="A31" s="1">
        <v>45755.710416667003</v>
      </c>
      <c r="B31" s="1">
        <v>45755.710416667003</v>
      </c>
      <c r="C31" t="s">
        <v>493</v>
      </c>
    </row>
    <row r="32" spans="1:3" x14ac:dyDescent="0.25">
      <c r="A32" s="1">
        <v>45755.739583333001</v>
      </c>
      <c r="B32" s="1">
        <v>45755.710416667003</v>
      </c>
      <c r="C32" t="s">
        <v>494</v>
      </c>
    </row>
    <row r="33" spans="1:3" x14ac:dyDescent="0.25">
      <c r="A33" s="1">
        <v>45755.791666666999</v>
      </c>
      <c r="B33" s="1">
        <v>45755.710416667003</v>
      </c>
      <c r="C33" t="s">
        <v>503</v>
      </c>
    </row>
    <row r="34" spans="1:3" x14ac:dyDescent="0.25">
      <c r="A34" s="1">
        <v>45755.710416667003</v>
      </c>
      <c r="B34" s="1">
        <v>45755.710416667003</v>
      </c>
      <c r="C34" t="s">
        <v>482</v>
      </c>
    </row>
    <row r="35" spans="1:3" x14ac:dyDescent="0.25">
      <c r="A35" s="1">
        <v>45755.818749999999</v>
      </c>
      <c r="B35" s="1">
        <v>45755.710416667003</v>
      </c>
      <c r="C35" t="s">
        <v>10</v>
      </c>
    </row>
    <row r="36" spans="1:3" x14ac:dyDescent="0.25">
      <c r="A36" s="1">
        <v>45755.775000000001</v>
      </c>
      <c r="B36" s="1">
        <v>45755.710416667003</v>
      </c>
      <c r="C36" t="s">
        <v>678</v>
      </c>
    </row>
    <row r="37" spans="1:3" x14ac:dyDescent="0.25">
      <c r="A37" s="1">
        <v>45755.8</v>
      </c>
      <c r="B37" s="1">
        <v>45755.710416667003</v>
      </c>
      <c r="C37" t="s">
        <v>604</v>
      </c>
    </row>
    <row r="38" spans="1:3" x14ac:dyDescent="0.25">
      <c r="A38" s="1">
        <v>45755.872916667002</v>
      </c>
      <c r="B38" s="1">
        <v>45755.710416667003</v>
      </c>
      <c r="C38" t="s">
        <v>560</v>
      </c>
    </row>
    <row r="39" spans="1:3" x14ac:dyDescent="0.25">
      <c r="A39" s="1">
        <v>45755.893750000003</v>
      </c>
      <c r="B39" s="1">
        <v>45755.710416667003</v>
      </c>
      <c r="C39" t="s">
        <v>431</v>
      </c>
    </row>
    <row r="40" spans="1:3" x14ac:dyDescent="0.25">
      <c r="A40" s="1">
        <v>45755.833333333001</v>
      </c>
      <c r="B40" s="1">
        <v>45755.710416667003</v>
      </c>
      <c r="C40" t="s">
        <v>533</v>
      </c>
    </row>
    <row r="41" spans="1:3" x14ac:dyDescent="0.25">
      <c r="A41" s="1">
        <v>45755.772916667003</v>
      </c>
      <c r="B41" s="1">
        <v>45755.710416667003</v>
      </c>
      <c r="C41" t="s">
        <v>539</v>
      </c>
    </row>
    <row r="42" spans="1:3" x14ac:dyDescent="0.25">
      <c r="A42" s="1">
        <v>45755.893750000003</v>
      </c>
      <c r="B42" s="1">
        <v>45755.710416667003</v>
      </c>
      <c r="C42" t="s">
        <v>118</v>
      </c>
    </row>
    <row r="43" spans="1:3" x14ac:dyDescent="0.25">
      <c r="A43" s="1">
        <v>45755.710416667003</v>
      </c>
      <c r="B43" s="1">
        <v>45755.710416667003</v>
      </c>
      <c r="C43" t="s">
        <v>415</v>
      </c>
    </row>
    <row r="44" spans="1:3" x14ac:dyDescent="0.25">
      <c r="A44" s="1">
        <v>45755.712500000001</v>
      </c>
      <c r="B44" s="1">
        <v>45755.712500000001</v>
      </c>
      <c r="C44" t="s">
        <v>659</v>
      </c>
    </row>
    <row r="45" spans="1:3" x14ac:dyDescent="0.25">
      <c r="A45" s="1">
        <v>45755.827083333003</v>
      </c>
      <c r="B45" s="1">
        <v>45755.712500000001</v>
      </c>
      <c r="C45" t="s">
        <v>200</v>
      </c>
    </row>
    <row r="46" spans="1:3" x14ac:dyDescent="0.25">
      <c r="A46" s="1">
        <v>45755.770833333001</v>
      </c>
      <c r="B46" s="1">
        <v>45755.712500000001</v>
      </c>
      <c r="C46" t="s">
        <v>302</v>
      </c>
    </row>
    <row r="47" spans="1:3" x14ac:dyDescent="0.25">
      <c r="A47" s="1">
        <v>45755.78125</v>
      </c>
      <c r="B47" s="1">
        <v>45755.712500000001</v>
      </c>
      <c r="C47" t="s">
        <v>185</v>
      </c>
    </row>
    <row r="48" spans="1:3" x14ac:dyDescent="0.25">
      <c r="A48" s="1">
        <v>45755.852083332997</v>
      </c>
      <c r="B48" s="1">
        <v>45755.712500000001</v>
      </c>
      <c r="C48" t="s">
        <v>350</v>
      </c>
    </row>
    <row r="49" spans="1:3" x14ac:dyDescent="0.25">
      <c r="A49" s="1">
        <v>45755.883333332997</v>
      </c>
      <c r="B49" s="1">
        <v>45755.712500000001</v>
      </c>
      <c r="C49" t="s">
        <v>339</v>
      </c>
    </row>
    <row r="50" spans="1:3" x14ac:dyDescent="0.25">
      <c r="A50" s="1">
        <v>45755.783333332998</v>
      </c>
      <c r="B50" s="1">
        <v>45755.712500000001</v>
      </c>
      <c r="C50" t="s">
        <v>658</v>
      </c>
    </row>
    <row r="51" spans="1:3" x14ac:dyDescent="0.25">
      <c r="A51" s="1">
        <v>45755.879166667</v>
      </c>
      <c r="B51" s="1">
        <v>45755.712500000001</v>
      </c>
      <c r="C51" t="s">
        <v>624</v>
      </c>
    </row>
    <row r="52" spans="1:3" x14ac:dyDescent="0.25">
      <c r="A52" s="1">
        <v>45755.895833333001</v>
      </c>
      <c r="B52" s="1">
        <v>45755.712500000001</v>
      </c>
      <c r="C52" t="s">
        <v>367</v>
      </c>
    </row>
    <row r="53" spans="1:3" x14ac:dyDescent="0.25">
      <c r="A53" s="1">
        <v>45755.837500000001</v>
      </c>
      <c r="B53" s="1">
        <v>45755.712500000001</v>
      </c>
      <c r="C53" t="s">
        <v>464</v>
      </c>
    </row>
    <row r="54" spans="1:3" x14ac:dyDescent="0.25">
      <c r="A54" s="1">
        <v>45755.712500000001</v>
      </c>
      <c r="B54" s="1">
        <v>45755.712500000001</v>
      </c>
      <c r="C54" t="s">
        <v>592</v>
      </c>
    </row>
    <row r="55" spans="1:3" x14ac:dyDescent="0.25">
      <c r="A55" s="1">
        <v>45755.770833333001</v>
      </c>
      <c r="B55" s="1">
        <v>45755.712500000001</v>
      </c>
      <c r="C55" t="s">
        <v>687</v>
      </c>
    </row>
    <row r="56" spans="1:3" x14ac:dyDescent="0.25">
      <c r="A56" s="1">
        <v>45755.897916667003</v>
      </c>
      <c r="B56" s="1">
        <v>45755.712500000001</v>
      </c>
      <c r="C56" t="s">
        <v>168</v>
      </c>
    </row>
    <row r="57" spans="1:3" x14ac:dyDescent="0.25">
      <c r="A57" s="1">
        <v>45755.712500000001</v>
      </c>
      <c r="B57" s="1">
        <v>45755.712500000001</v>
      </c>
      <c r="C57" t="s">
        <v>700</v>
      </c>
    </row>
    <row r="58" spans="1:3" x14ac:dyDescent="0.25">
      <c r="A58" s="1">
        <v>45756.783333332998</v>
      </c>
      <c r="B58" s="1">
        <v>45755.712500000001</v>
      </c>
      <c r="C58" t="s">
        <v>534</v>
      </c>
    </row>
    <row r="59" spans="1:3" x14ac:dyDescent="0.25">
      <c r="A59" s="1">
        <v>45755.902083333</v>
      </c>
      <c r="B59" s="1">
        <v>45755.712500000001</v>
      </c>
      <c r="C59" t="s">
        <v>460</v>
      </c>
    </row>
    <row r="60" spans="1:3" x14ac:dyDescent="0.25">
      <c r="A60" s="1">
        <v>45755.712500000001</v>
      </c>
      <c r="B60" s="1">
        <v>45755.712500000001</v>
      </c>
      <c r="C60" t="s">
        <v>86</v>
      </c>
    </row>
    <row r="61" spans="1:3" x14ac:dyDescent="0.25">
      <c r="A61" s="1">
        <v>45755.777083333</v>
      </c>
      <c r="B61" s="1">
        <v>45755.712500000001</v>
      </c>
      <c r="C61" t="s">
        <v>655</v>
      </c>
    </row>
    <row r="62" spans="1:3" x14ac:dyDescent="0.25">
      <c r="A62" s="1">
        <v>45755.847916667</v>
      </c>
      <c r="B62" s="1">
        <v>45755.712500000001</v>
      </c>
      <c r="C62" t="s">
        <v>584</v>
      </c>
    </row>
    <row r="63" spans="1:3" x14ac:dyDescent="0.25">
      <c r="A63" s="1">
        <v>45755.845833332998</v>
      </c>
      <c r="B63" s="1">
        <v>45755.712500000001</v>
      </c>
      <c r="C63" t="s">
        <v>27</v>
      </c>
    </row>
    <row r="64" spans="1:3" x14ac:dyDescent="0.25">
      <c r="A64" s="1">
        <v>45755.85</v>
      </c>
      <c r="B64" s="1">
        <v>45755.714583333</v>
      </c>
      <c r="C64" t="s">
        <v>582</v>
      </c>
    </row>
    <row r="65" spans="1:3" x14ac:dyDescent="0.25">
      <c r="A65" s="1">
        <v>45755.8</v>
      </c>
      <c r="B65" s="1">
        <v>45755.714583333</v>
      </c>
      <c r="C65" t="s">
        <v>446</v>
      </c>
    </row>
    <row r="66" spans="1:3" x14ac:dyDescent="0.25">
      <c r="A66" s="1">
        <v>45755.714583333</v>
      </c>
      <c r="B66" s="1">
        <v>45755.714583333</v>
      </c>
      <c r="C66" t="s">
        <v>13</v>
      </c>
    </row>
    <row r="67" spans="1:3" x14ac:dyDescent="0.25">
      <c r="A67" s="1">
        <v>45755.829166666997</v>
      </c>
      <c r="B67" s="1">
        <v>45755.714583333</v>
      </c>
      <c r="C67" t="s">
        <v>535</v>
      </c>
    </row>
    <row r="68" spans="1:3" x14ac:dyDescent="0.25">
      <c r="A68" s="1">
        <v>45755.793749999997</v>
      </c>
      <c r="B68" s="1">
        <v>45755.714583333</v>
      </c>
      <c r="C68" t="s">
        <v>706</v>
      </c>
    </row>
    <row r="69" spans="1:3" x14ac:dyDescent="0.25">
      <c r="A69" s="1">
        <v>45755.891666666997</v>
      </c>
      <c r="B69" s="1">
        <v>45755.714583333</v>
      </c>
      <c r="C69" t="s">
        <v>102</v>
      </c>
    </row>
    <row r="70" spans="1:3" x14ac:dyDescent="0.25">
      <c r="A70" s="1">
        <v>45755.714583333</v>
      </c>
      <c r="B70" s="1">
        <v>45755.714583333</v>
      </c>
      <c r="C70" t="s">
        <v>317</v>
      </c>
    </row>
    <row r="71" spans="1:3" x14ac:dyDescent="0.25">
      <c r="A71" s="1">
        <v>45755.891666666997</v>
      </c>
      <c r="B71" s="1">
        <v>45755.714583333</v>
      </c>
      <c r="C71" t="s">
        <v>500</v>
      </c>
    </row>
    <row r="72" spans="1:3" x14ac:dyDescent="0.25">
      <c r="A72" s="1">
        <v>45755.714583333</v>
      </c>
      <c r="B72" s="1">
        <v>45755.714583333</v>
      </c>
      <c r="C72" t="s">
        <v>181</v>
      </c>
    </row>
    <row r="73" spans="1:3" x14ac:dyDescent="0.25">
      <c r="A73" s="1">
        <v>45756.762499999997</v>
      </c>
      <c r="B73" s="1">
        <v>45755.714583333</v>
      </c>
      <c r="C73" t="s">
        <v>458</v>
      </c>
    </row>
    <row r="74" spans="1:3" x14ac:dyDescent="0.25">
      <c r="A74" s="1">
        <v>45756.785416667</v>
      </c>
      <c r="B74" s="1">
        <v>45755.714583333</v>
      </c>
      <c r="C74" t="s">
        <v>562</v>
      </c>
    </row>
    <row r="75" spans="1:3" x14ac:dyDescent="0.25">
      <c r="A75" s="1">
        <v>45756.814583332998</v>
      </c>
      <c r="B75" s="1">
        <v>45755.714583333</v>
      </c>
      <c r="C75" t="s">
        <v>626</v>
      </c>
    </row>
    <row r="76" spans="1:3" x14ac:dyDescent="0.25">
      <c r="A76" s="1">
        <v>45755.883333332997</v>
      </c>
      <c r="B76" s="1">
        <v>45755.714583333</v>
      </c>
      <c r="C76" t="s">
        <v>556</v>
      </c>
    </row>
    <row r="77" spans="1:3" x14ac:dyDescent="0.25">
      <c r="A77" s="1">
        <v>45755.714583333</v>
      </c>
      <c r="B77" s="1">
        <v>45755.714583333</v>
      </c>
      <c r="C77" t="s">
        <v>331</v>
      </c>
    </row>
    <row r="78" spans="1:3" x14ac:dyDescent="0.25">
      <c r="A78" s="1">
        <v>45755.785416667</v>
      </c>
      <c r="B78" s="1">
        <v>45755.714583333</v>
      </c>
      <c r="C78" t="s">
        <v>202</v>
      </c>
    </row>
    <row r="79" spans="1:3" x14ac:dyDescent="0.25">
      <c r="A79" s="1">
        <v>45756.84375</v>
      </c>
      <c r="B79" s="1">
        <v>45755.714583333</v>
      </c>
      <c r="C79" t="s">
        <v>541</v>
      </c>
    </row>
    <row r="80" spans="1:3" x14ac:dyDescent="0.25">
      <c r="A80" s="1">
        <v>45755.820833332997</v>
      </c>
      <c r="B80" s="1">
        <v>45755.716666667002</v>
      </c>
      <c r="C80" t="s">
        <v>369</v>
      </c>
    </row>
    <row r="81" spans="1:3" x14ac:dyDescent="0.25">
      <c r="A81" s="1">
        <v>45755.829166666997</v>
      </c>
      <c r="B81" s="1">
        <v>45755.716666667002</v>
      </c>
      <c r="C81" t="s">
        <v>29</v>
      </c>
    </row>
    <row r="82" spans="1:3" x14ac:dyDescent="0.25">
      <c r="A82" s="1">
        <v>45755.71875</v>
      </c>
      <c r="B82" s="1">
        <v>45755.716666667002</v>
      </c>
      <c r="C82" t="s">
        <v>407</v>
      </c>
    </row>
    <row r="83" spans="1:3" x14ac:dyDescent="0.25">
      <c r="A83" s="1">
        <v>45755.716666667002</v>
      </c>
      <c r="B83" s="1">
        <v>45755.716666667002</v>
      </c>
      <c r="C83" t="s">
        <v>571</v>
      </c>
    </row>
    <row r="84" spans="1:3" x14ac:dyDescent="0.25">
      <c r="A84" s="1">
        <v>45755.889583333003</v>
      </c>
      <c r="B84" s="1">
        <v>45755.716666667002</v>
      </c>
      <c r="C84" t="s">
        <v>623</v>
      </c>
    </row>
    <row r="85" spans="1:3" x14ac:dyDescent="0.25">
      <c r="A85" s="1">
        <v>45755.716666667002</v>
      </c>
      <c r="B85" s="1">
        <v>45755.716666667002</v>
      </c>
      <c r="C85" t="s">
        <v>95</v>
      </c>
    </row>
    <row r="86" spans="1:3" x14ac:dyDescent="0.25">
      <c r="A86" s="1">
        <v>45755.845833332998</v>
      </c>
      <c r="B86" s="1">
        <v>45755.716666667002</v>
      </c>
      <c r="C86" t="s">
        <v>708</v>
      </c>
    </row>
    <row r="87" spans="1:3" x14ac:dyDescent="0.25">
      <c r="A87" s="1">
        <v>45755.772916667003</v>
      </c>
      <c r="B87" s="1">
        <v>45755.716666667002</v>
      </c>
      <c r="C87" t="s">
        <v>593</v>
      </c>
    </row>
    <row r="88" spans="1:3" x14ac:dyDescent="0.25">
      <c r="A88" s="1">
        <v>45755.716666667002</v>
      </c>
      <c r="B88" s="1">
        <v>45755.716666667002</v>
      </c>
      <c r="C88" t="s">
        <v>264</v>
      </c>
    </row>
    <row r="89" spans="1:3" x14ac:dyDescent="0.25">
      <c r="A89" s="1">
        <v>45755.835416667003</v>
      </c>
      <c r="B89" s="1">
        <v>45755.716666667002</v>
      </c>
      <c r="C89" t="s">
        <v>370</v>
      </c>
    </row>
    <row r="90" spans="1:3" x14ac:dyDescent="0.25">
      <c r="A90" s="1">
        <v>45755.877083332998</v>
      </c>
      <c r="B90" s="1">
        <v>45755.716666667002</v>
      </c>
      <c r="C90" t="s">
        <v>39</v>
      </c>
    </row>
    <row r="91" spans="1:3" x14ac:dyDescent="0.25">
      <c r="A91" s="1">
        <v>45755.885416666999</v>
      </c>
      <c r="B91" s="1">
        <v>45755.716666667002</v>
      </c>
      <c r="C91" t="s">
        <v>642</v>
      </c>
    </row>
    <row r="92" spans="1:3" x14ac:dyDescent="0.25">
      <c r="A92" s="1">
        <v>45755.766666666997</v>
      </c>
      <c r="B92" s="1">
        <v>45755.71875</v>
      </c>
      <c r="C92" t="s">
        <v>515</v>
      </c>
    </row>
    <row r="93" spans="1:3" x14ac:dyDescent="0.25">
      <c r="A93" s="1">
        <v>45755.71875</v>
      </c>
      <c r="B93" s="1">
        <v>45755.71875</v>
      </c>
      <c r="C93" t="s">
        <v>704</v>
      </c>
    </row>
    <row r="94" spans="1:3" x14ac:dyDescent="0.25">
      <c r="A94" s="1">
        <v>45755.881249999999</v>
      </c>
      <c r="B94" s="1">
        <v>45755.71875</v>
      </c>
      <c r="C94" t="s">
        <v>375</v>
      </c>
    </row>
    <row r="95" spans="1:3" x14ac:dyDescent="0.25">
      <c r="A95" s="1">
        <v>45756.745833333</v>
      </c>
      <c r="B95" s="1">
        <v>45755.71875</v>
      </c>
      <c r="C95" t="s">
        <v>570</v>
      </c>
    </row>
    <row r="96" spans="1:3" x14ac:dyDescent="0.25">
      <c r="A96" s="1">
        <v>45755.71875</v>
      </c>
      <c r="B96" s="1">
        <v>45755.71875</v>
      </c>
      <c r="C96" t="s">
        <v>694</v>
      </c>
    </row>
    <row r="97" spans="1:3" x14ac:dyDescent="0.25">
      <c r="A97" s="1">
        <v>45756.854166666999</v>
      </c>
      <c r="B97" s="1">
        <v>45755.71875</v>
      </c>
      <c r="C97" t="s">
        <v>23</v>
      </c>
    </row>
    <row r="98" spans="1:3" x14ac:dyDescent="0.25">
      <c r="A98" s="1">
        <v>45755.879166667</v>
      </c>
      <c r="B98" s="1">
        <v>45755.71875</v>
      </c>
      <c r="C98" t="s">
        <v>661</v>
      </c>
    </row>
    <row r="99" spans="1:3" x14ac:dyDescent="0.25">
      <c r="A99" s="1">
        <v>45755.829166666997</v>
      </c>
      <c r="B99" s="1">
        <v>45755.71875</v>
      </c>
      <c r="C99" t="s">
        <v>227</v>
      </c>
    </row>
    <row r="100" spans="1:3" x14ac:dyDescent="0.25">
      <c r="A100" s="1">
        <v>45755.71875</v>
      </c>
      <c r="B100" s="1">
        <v>45755.71875</v>
      </c>
      <c r="C100" t="s">
        <v>119</v>
      </c>
    </row>
    <row r="101" spans="1:3" x14ac:dyDescent="0.25">
      <c r="A101" s="1">
        <v>45755.75</v>
      </c>
      <c r="B101" s="1">
        <v>45755.71875</v>
      </c>
      <c r="C101" t="s">
        <v>565</v>
      </c>
    </row>
    <row r="102" spans="1:3" x14ac:dyDescent="0.25">
      <c r="A102" s="1">
        <v>45755.8</v>
      </c>
      <c r="B102" s="1">
        <v>45755.71875</v>
      </c>
      <c r="C102" t="s">
        <v>338</v>
      </c>
    </row>
    <row r="103" spans="1:3" x14ac:dyDescent="0.25">
      <c r="A103" s="1">
        <v>45755.760416666999</v>
      </c>
      <c r="B103" s="1">
        <v>45755.71875</v>
      </c>
      <c r="C103" t="s">
        <v>672</v>
      </c>
    </row>
    <row r="104" spans="1:3" x14ac:dyDescent="0.25">
      <c r="A104" s="1">
        <v>45756.837500000001</v>
      </c>
      <c r="B104" s="1">
        <v>45755.720833332998</v>
      </c>
      <c r="C104" t="s">
        <v>447</v>
      </c>
    </row>
    <row r="105" spans="1:3" x14ac:dyDescent="0.25">
      <c r="A105" s="1">
        <v>45756.724999999999</v>
      </c>
      <c r="B105" s="1">
        <v>45755.720833332998</v>
      </c>
      <c r="C105" t="s">
        <v>697</v>
      </c>
    </row>
    <row r="106" spans="1:3" x14ac:dyDescent="0.25">
      <c r="A106" s="1">
        <v>45755.743750000001</v>
      </c>
      <c r="B106" s="1">
        <v>45755.720833332998</v>
      </c>
      <c r="C106" t="s">
        <v>104</v>
      </c>
    </row>
    <row r="107" spans="1:3" x14ac:dyDescent="0.25">
      <c r="A107" s="1">
        <v>45755.720833332998</v>
      </c>
      <c r="B107" s="1">
        <v>45755.720833332998</v>
      </c>
      <c r="C107" t="s">
        <v>186</v>
      </c>
    </row>
    <row r="108" spans="1:3" x14ac:dyDescent="0.25">
      <c r="A108" s="1">
        <v>45755.837500000001</v>
      </c>
      <c r="B108" s="1">
        <v>45755.720833332998</v>
      </c>
      <c r="C108" t="s">
        <v>675</v>
      </c>
    </row>
    <row r="109" spans="1:3" x14ac:dyDescent="0.25">
      <c r="A109" s="1">
        <v>45755.720833332998</v>
      </c>
      <c r="B109" s="1">
        <v>45755.720833332998</v>
      </c>
      <c r="C109" t="s">
        <v>240</v>
      </c>
    </row>
    <row r="110" spans="1:3" x14ac:dyDescent="0.25">
      <c r="A110" s="1">
        <v>45755.85</v>
      </c>
      <c r="B110" s="1">
        <v>45755.720833332998</v>
      </c>
      <c r="C110" t="s">
        <v>409</v>
      </c>
    </row>
    <row r="111" spans="1:3" x14ac:dyDescent="0.25">
      <c r="A111" s="1">
        <v>45755.85</v>
      </c>
      <c r="B111" s="1">
        <v>45755.720833332998</v>
      </c>
      <c r="C111" t="s">
        <v>17</v>
      </c>
    </row>
    <row r="112" spans="1:3" x14ac:dyDescent="0.25">
      <c r="A112" s="1">
        <v>45755.720833332998</v>
      </c>
      <c r="B112" s="1">
        <v>45755.720833332998</v>
      </c>
      <c r="C112" t="s">
        <v>526</v>
      </c>
    </row>
    <row r="113" spans="1:3" x14ac:dyDescent="0.25">
      <c r="A113" s="1">
        <v>45755.916666666999</v>
      </c>
      <c r="B113" s="1">
        <v>45755.720833332998</v>
      </c>
      <c r="C113" t="s">
        <v>243</v>
      </c>
    </row>
    <row r="114" spans="1:3" x14ac:dyDescent="0.25">
      <c r="A114" s="1">
        <v>45755.885416666999</v>
      </c>
      <c r="B114" s="1">
        <v>45755.720833332998</v>
      </c>
      <c r="C114" t="s">
        <v>271</v>
      </c>
    </row>
    <row r="115" spans="1:3" x14ac:dyDescent="0.25">
      <c r="A115" s="1">
        <v>45756.820833332997</v>
      </c>
      <c r="B115" s="1">
        <v>45755.720833332998</v>
      </c>
      <c r="C115" t="s">
        <v>365</v>
      </c>
    </row>
    <row r="116" spans="1:3" x14ac:dyDescent="0.25">
      <c r="A116" s="1">
        <v>45755.722916667</v>
      </c>
      <c r="B116" s="1">
        <v>45755.722916667</v>
      </c>
      <c r="C116" t="s">
        <v>485</v>
      </c>
    </row>
    <row r="117" spans="1:3" x14ac:dyDescent="0.25">
      <c r="A117" s="1">
        <v>45755.9</v>
      </c>
      <c r="B117" s="1">
        <v>45755.722916667</v>
      </c>
      <c r="C117" t="s">
        <v>413</v>
      </c>
    </row>
    <row r="118" spans="1:3" x14ac:dyDescent="0.25">
      <c r="A118" s="1">
        <v>45755.770833333001</v>
      </c>
      <c r="B118" s="1">
        <v>45755.722916667</v>
      </c>
      <c r="C118" t="s">
        <v>540</v>
      </c>
    </row>
    <row r="119" spans="1:3" x14ac:dyDescent="0.25">
      <c r="A119" s="1">
        <v>45755.833333333001</v>
      </c>
      <c r="B119" s="1">
        <v>45755.722916667</v>
      </c>
      <c r="C119" t="s">
        <v>75</v>
      </c>
    </row>
    <row r="120" spans="1:3" x14ac:dyDescent="0.25">
      <c r="A120" s="1">
        <v>45755.8125</v>
      </c>
      <c r="B120" s="1">
        <v>45755.722916667</v>
      </c>
      <c r="C120" t="s">
        <v>551</v>
      </c>
    </row>
    <row r="121" spans="1:3" x14ac:dyDescent="0.25">
      <c r="A121" s="1">
        <v>45755.779166667002</v>
      </c>
      <c r="B121" s="1">
        <v>45755.722916667</v>
      </c>
      <c r="C121" t="s">
        <v>599</v>
      </c>
    </row>
    <row r="122" spans="1:3" x14ac:dyDescent="0.25">
      <c r="A122" s="1">
        <v>45755.722916667</v>
      </c>
      <c r="B122" s="1">
        <v>45755.722916667</v>
      </c>
      <c r="C122" t="s">
        <v>456</v>
      </c>
    </row>
    <row r="123" spans="1:3" x14ac:dyDescent="0.25">
      <c r="A123" s="1">
        <v>45755.881249999999</v>
      </c>
      <c r="B123" s="1">
        <v>45755.722916667</v>
      </c>
      <c r="C123" t="s">
        <v>9</v>
      </c>
    </row>
    <row r="124" spans="1:3" x14ac:dyDescent="0.25">
      <c r="A124" s="1">
        <v>45755.78125</v>
      </c>
      <c r="B124" s="1">
        <v>45755.722916667</v>
      </c>
      <c r="C124" t="s">
        <v>651</v>
      </c>
    </row>
    <row r="125" spans="1:3" x14ac:dyDescent="0.25">
      <c r="A125" s="1">
        <v>45756.814583332998</v>
      </c>
      <c r="B125" s="1">
        <v>45755.722916667</v>
      </c>
      <c r="C125" t="s">
        <v>164</v>
      </c>
    </row>
    <row r="126" spans="1:3" x14ac:dyDescent="0.25">
      <c r="A126" s="1">
        <v>45755.722916667</v>
      </c>
      <c r="B126" s="1">
        <v>45755.722916667</v>
      </c>
      <c r="C126" t="s">
        <v>550</v>
      </c>
    </row>
    <row r="127" spans="1:3" x14ac:dyDescent="0.25">
      <c r="A127" s="1">
        <v>45755.795833333003</v>
      </c>
      <c r="B127" s="1">
        <v>45755.722916667</v>
      </c>
      <c r="C127" t="s">
        <v>721</v>
      </c>
    </row>
    <row r="128" spans="1:3" x14ac:dyDescent="0.25">
      <c r="A128" s="1">
        <v>45755.724999999999</v>
      </c>
      <c r="B128" s="1">
        <v>45755.724999999999</v>
      </c>
      <c r="C128" t="s">
        <v>244</v>
      </c>
    </row>
    <row r="129" spans="1:3" x14ac:dyDescent="0.25">
      <c r="A129" s="1">
        <v>45755.783333332998</v>
      </c>
      <c r="B129" s="1">
        <v>45755.724999999999</v>
      </c>
      <c r="C129" t="s">
        <v>421</v>
      </c>
    </row>
    <row r="130" spans="1:3" x14ac:dyDescent="0.25">
      <c r="A130" s="1">
        <v>45755.724999999999</v>
      </c>
      <c r="B130" s="1">
        <v>45755.724999999999</v>
      </c>
      <c r="C130" t="s">
        <v>779</v>
      </c>
    </row>
    <row r="131" spans="1:3" x14ac:dyDescent="0.25">
      <c r="A131" s="1">
        <v>45756.785416667</v>
      </c>
      <c r="B131" s="1">
        <v>45755.724999999999</v>
      </c>
      <c r="C131" t="s">
        <v>743</v>
      </c>
    </row>
    <row r="132" spans="1:3" x14ac:dyDescent="0.25">
      <c r="A132" s="1">
        <v>45755.84375</v>
      </c>
      <c r="B132" s="1">
        <v>45755.724999999999</v>
      </c>
      <c r="C132" t="s">
        <v>757</v>
      </c>
    </row>
    <row r="133" spans="1:3" x14ac:dyDescent="0.25">
      <c r="A133" s="1">
        <v>45755.802083333001</v>
      </c>
      <c r="B133" s="1">
        <v>45755.724999999999</v>
      </c>
      <c r="C133" t="s">
        <v>751</v>
      </c>
    </row>
    <row r="134" spans="1:3" x14ac:dyDescent="0.25">
      <c r="A134" s="1">
        <v>45755.779166667002</v>
      </c>
      <c r="B134" s="1">
        <v>45755.724999999999</v>
      </c>
      <c r="C134" t="s">
        <v>31</v>
      </c>
    </row>
    <row r="135" spans="1:3" x14ac:dyDescent="0.25">
      <c r="A135" s="1">
        <v>45755.724999999999</v>
      </c>
      <c r="B135" s="1">
        <v>45755.724999999999</v>
      </c>
      <c r="C135" t="s">
        <v>326</v>
      </c>
    </row>
    <row r="136" spans="1:3" x14ac:dyDescent="0.25">
      <c r="A136" s="1">
        <v>45755.789583332997</v>
      </c>
      <c r="B136" s="1">
        <v>45755.724999999999</v>
      </c>
      <c r="C136" t="s">
        <v>103</v>
      </c>
    </row>
    <row r="137" spans="1:3" x14ac:dyDescent="0.25">
      <c r="A137" s="1">
        <v>45755.902083333</v>
      </c>
      <c r="B137" s="1">
        <v>45755.724999999999</v>
      </c>
      <c r="C137" t="s">
        <v>154</v>
      </c>
    </row>
    <row r="138" spans="1:3" x14ac:dyDescent="0.25">
      <c r="A138" s="1">
        <v>45755.887499999997</v>
      </c>
      <c r="B138" s="1">
        <v>45755.724999999999</v>
      </c>
      <c r="C138" t="s">
        <v>35</v>
      </c>
    </row>
    <row r="139" spans="1:3" x14ac:dyDescent="0.25">
      <c r="A139" s="1">
        <v>45755.870833333</v>
      </c>
      <c r="B139" s="1">
        <v>45755.724999999999</v>
      </c>
      <c r="C139" t="s">
        <v>105</v>
      </c>
    </row>
    <row r="140" spans="1:3" x14ac:dyDescent="0.25">
      <c r="A140" s="1">
        <v>45755.724999999999</v>
      </c>
      <c r="B140" s="1">
        <v>45755.724999999999</v>
      </c>
      <c r="C140" t="s">
        <v>444</v>
      </c>
    </row>
    <row r="141" spans="1:3" x14ac:dyDescent="0.25">
      <c r="A141" s="1">
        <v>45755.831250000003</v>
      </c>
      <c r="B141" s="1">
        <v>45755.724999999999</v>
      </c>
      <c r="C141" t="s">
        <v>294</v>
      </c>
    </row>
    <row r="142" spans="1:3" x14ac:dyDescent="0.25">
      <c r="A142" s="1">
        <v>45755.8</v>
      </c>
      <c r="B142" s="1">
        <v>45755.727083332997</v>
      </c>
      <c r="C142" t="s">
        <v>714</v>
      </c>
    </row>
    <row r="143" spans="1:3" x14ac:dyDescent="0.25">
      <c r="A143" s="1">
        <v>45755.839583333</v>
      </c>
      <c r="B143" s="1">
        <v>45755.727083332997</v>
      </c>
      <c r="C143" t="s">
        <v>56</v>
      </c>
    </row>
    <row r="144" spans="1:3" x14ac:dyDescent="0.25">
      <c r="A144" s="1">
        <v>45755.833333333001</v>
      </c>
      <c r="B144" s="1">
        <v>45755.727083332997</v>
      </c>
      <c r="C144" t="s">
        <v>554</v>
      </c>
    </row>
    <row r="145" spans="1:3" x14ac:dyDescent="0.25">
      <c r="A145" s="1">
        <v>45755.727083332997</v>
      </c>
      <c r="B145" s="1">
        <v>45755.727083332997</v>
      </c>
      <c r="C145" t="s">
        <v>579</v>
      </c>
    </row>
    <row r="146" spans="1:3" x14ac:dyDescent="0.25">
      <c r="A146" s="1">
        <v>45755.795833333003</v>
      </c>
      <c r="B146" s="1">
        <v>45755.727083332997</v>
      </c>
      <c r="C146" t="s">
        <v>196</v>
      </c>
    </row>
    <row r="147" spans="1:3" x14ac:dyDescent="0.25">
      <c r="A147" s="1">
        <v>45755.727083332997</v>
      </c>
      <c r="B147" s="1">
        <v>45755.727083332997</v>
      </c>
      <c r="C147" t="s">
        <v>543</v>
      </c>
    </row>
    <row r="148" spans="1:3" x14ac:dyDescent="0.25">
      <c r="A148" s="1">
        <v>45756.777083333</v>
      </c>
      <c r="B148" s="1">
        <v>45755.727083332997</v>
      </c>
      <c r="C148" t="s">
        <v>336</v>
      </c>
    </row>
    <row r="149" spans="1:3" x14ac:dyDescent="0.25">
      <c r="A149" s="1">
        <v>45755.814583332998</v>
      </c>
      <c r="B149" s="1">
        <v>45755.727083332997</v>
      </c>
      <c r="C149" t="s">
        <v>428</v>
      </c>
    </row>
    <row r="150" spans="1:3" x14ac:dyDescent="0.25">
      <c r="A150" s="1">
        <v>45755.727083332997</v>
      </c>
      <c r="B150" s="1">
        <v>45755.727083332997</v>
      </c>
      <c r="C150" t="s">
        <v>314</v>
      </c>
    </row>
    <row r="151" spans="1:3" x14ac:dyDescent="0.25">
      <c r="A151" s="1">
        <v>45756.772916667003</v>
      </c>
      <c r="B151" s="1">
        <v>45755.727083332997</v>
      </c>
      <c r="C151" t="s">
        <v>360</v>
      </c>
    </row>
    <row r="152" spans="1:3" x14ac:dyDescent="0.25">
      <c r="A152" s="1">
        <v>45756.800000000003</v>
      </c>
      <c r="B152" s="1">
        <v>45755.727083332997</v>
      </c>
      <c r="C152" t="s">
        <v>432</v>
      </c>
    </row>
    <row r="153" spans="1:3" x14ac:dyDescent="0.25">
      <c r="A153" s="1">
        <v>45755.864583333001</v>
      </c>
      <c r="B153" s="1">
        <v>45755.727083332997</v>
      </c>
      <c r="C153" t="s">
        <v>717</v>
      </c>
    </row>
    <row r="154" spans="1:3" x14ac:dyDescent="0.25">
      <c r="A154" s="1">
        <v>45755.822916666999</v>
      </c>
      <c r="B154" s="1">
        <v>45755.727083332997</v>
      </c>
      <c r="C154" t="s">
        <v>422</v>
      </c>
    </row>
    <row r="155" spans="1:3" x14ac:dyDescent="0.25">
      <c r="A155" s="1">
        <v>45755.727083332997</v>
      </c>
      <c r="B155" s="1">
        <v>45755.727083332997</v>
      </c>
      <c r="C155" t="s">
        <v>566</v>
      </c>
    </row>
    <row r="156" spans="1:3" x14ac:dyDescent="0.25">
      <c r="A156" s="1">
        <v>45755.837500000001</v>
      </c>
      <c r="B156" s="1">
        <v>45755.727083332997</v>
      </c>
      <c r="C156" t="s">
        <v>71</v>
      </c>
    </row>
    <row r="157" spans="1:3" x14ac:dyDescent="0.25">
      <c r="A157" s="1">
        <v>45755.864583333001</v>
      </c>
      <c r="B157" s="1">
        <v>45755.727083332997</v>
      </c>
      <c r="C157" t="s">
        <v>392</v>
      </c>
    </row>
    <row r="158" spans="1:3" x14ac:dyDescent="0.25">
      <c r="A158" s="1">
        <v>45756.841666667002</v>
      </c>
      <c r="B158" s="1">
        <v>45755.729166666999</v>
      </c>
      <c r="C158" t="s">
        <v>133</v>
      </c>
    </row>
    <row r="159" spans="1:3" x14ac:dyDescent="0.25">
      <c r="A159" s="1">
        <v>45756.722916667</v>
      </c>
      <c r="B159" s="1">
        <v>45755.729166666999</v>
      </c>
      <c r="C159" t="s">
        <v>322</v>
      </c>
    </row>
    <row r="160" spans="1:3" x14ac:dyDescent="0.25">
      <c r="A160" s="1">
        <v>45755.729166666999</v>
      </c>
      <c r="B160" s="1">
        <v>45755.729166666999</v>
      </c>
      <c r="C160" t="s">
        <v>436</v>
      </c>
    </row>
    <row r="161" spans="1:3" x14ac:dyDescent="0.25">
      <c r="A161" s="1">
        <v>45756.762499999997</v>
      </c>
      <c r="B161" s="1">
        <v>45755.729166666999</v>
      </c>
      <c r="C161" t="s">
        <v>656</v>
      </c>
    </row>
    <row r="162" spans="1:3" x14ac:dyDescent="0.25">
      <c r="A162" s="1">
        <v>45755.845833332998</v>
      </c>
      <c r="B162" s="1">
        <v>45755.729166666999</v>
      </c>
      <c r="C162" t="s">
        <v>679</v>
      </c>
    </row>
    <row r="163" spans="1:3" x14ac:dyDescent="0.25">
      <c r="A163" s="1">
        <v>45756.791666666999</v>
      </c>
      <c r="B163" s="1">
        <v>45755.729166666999</v>
      </c>
      <c r="C163" t="s">
        <v>115</v>
      </c>
    </row>
    <row r="164" spans="1:3" x14ac:dyDescent="0.25">
      <c r="A164" s="1">
        <v>45755.829166666997</v>
      </c>
      <c r="B164" s="1">
        <v>45755.729166666999</v>
      </c>
      <c r="C164" t="s">
        <v>278</v>
      </c>
    </row>
    <row r="165" spans="1:3" x14ac:dyDescent="0.25">
      <c r="A165" s="1">
        <v>45755.729166666999</v>
      </c>
      <c r="B165" s="1">
        <v>45755.729166666999</v>
      </c>
      <c r="C165" t="s">
        <v>724</v>
      </c>
    </row>
    <row r="166" spans="1:3" x14ac:dyDescent="0.25">
      <c r="A166" s="1">
        <v>45755.729166666999</v>
      </c>
      <c r="B166" s="1">
        <v>45755.729166666999</v>
      </c>
      <c r="C166" t="s">
        <v>254</v>
      </c>
    </row>
    <row r="167" spans="1:3" x14ac:dyDescent="0.25">
      <c r="A167" s="1">
        <v>45755.779166667002</v>
      </c>
      <c r="B167" s="1">
        <v>45755.729166666999</v>
      </c>
      <c r="C167" t="s">
        <v>46</v>
      </c>
    </row>
    <row r="168" spans="1:3" x14ac:dyDescent="0.25">
      <c r="A168" s="1">
        <v>45755.735416666997</v>
      </c>
      <c r="B168" s="1">
        <v>45755.729166666999</v>
      </c>
      <c r="C168" t="s">
        <v>256</v>
      </c>
    </row>
    <row r="169" spans="1:3" x14ac:dyDescent="0.25">
      <c r="A169" s="1">
        <v>45755.729166666999</v>
      </c>
      <c r="B169" s="1">
        <v>45755.729166666999</v>
      </c>
      <c r="C169" t="s">
        <v>325</v>
      </c>
    </row>
    <row r="170" spans="1:3" x14ac:dyDescent="0.25">
      <c r="A170" s="1">
        <v>45755.8125</v>
      </c>
      <c r="B170" s="1">
        <v>45755.731249999997</v>
      </c>
      <c r="C170" t="s">
        <v>418</v>
      </c>
    </row>
    <row r="171" spans="1:3" x14ac:dyDescent="0.25">
      <c r="A171" s="1">
        <v>45756.714583333</v>
      </c>
      <c r="B171" s="1">
        <v>45755.731249999997</v>
      </c>
      <c r="C171" t="s">
        <v>693</v>
      </c>
    </row>
    <row r="172" spans="1:3" x14ac:dyDescent="0.25">
      <c r="A172" s="1">
        <v>45755.731249999997</v>
      </c>
      <c r="B172" s="1">
        <v>45755.731249999997</v>
      </c>
      <c r="C172" t="s">
        <v>487</v>
      </c>
    </row>
    <row r="173" spans="1:3" x14ac:dyDescent="0.25">
      <c r="A173" s="1">
        <v>45755.877083332998</v>
      </c>
      <c r="B173" s="1">
        <v>45755.731249999997</v>
      </c>
      <c r="C173" t="s">
        <v>191</v>
      </c>
    </row>
    <row r="174" spans="1:3" x14ac:dyDescent="0.25">
      <c r="A174" s="1">
        <v>45755.731249999997</v>
      </c>
      <c r="B174" s="1">
        <v>45755.731249999997</v>
      </c>
      <c r="C174" t="s">
        <v>411</v>
      </c>
    </row>
    <row r="175" spans="1:3" x14ac:dyDescent="0.25">
      <c r="A175" s="1">
        <v>45755.835416667003</v>
      </c>
      <c r="B175" s="1">
        <v>45755.731249999997</v>
      </c>
      <c r="C175" t="s">
        <v>110</v>
      </c>
    </row>
    <row r="176" spans="1:3" x14ac:dyDescent="0.25">
      <c r="A176" s="1">
        <v>45755.760416666999</v>
      </c>
      <c r="B176" s="1">
        <v>45755.731249999997</v>
      </c>
      <c r="C176" t="s">
        <v>52</v>
      </c>
    </row>
    <row r="177" spans="1:3" x14ac:dyDescent="0.25">
      <c r="A177" s="1">
        <v>45755.78125</v>
      </c>
      <c r="B177" s="1">
        <v>45755.731249999997</v>
      </c>
      <c r="C177" t="s">
        <v>601</v>
      </c>
    </row>
    <row r="178" spans="1:3" x14ac:dyDescent="0.25">
      <c r="A178" s="1">
        <v>45756.8125</v>
      </c>
      <c r="B178" s="1">
        <v>45755.731249999997</v>
      </c>
      <c r="C178" t="s">
        <v>242</v>
      </c>
    </row>
    <row r="179" spans="1:3" x14ac:dyDescent="0.25">
      <c r="A179" s="1">
        <v>45755.731249999997</v>
      </c>
      <c r="B179" s="1">
        <v>45755.731249999997</v>
      </c>
      <c r="C179" t="s">
        <v>608</v>
      </c>
    </row>
    <row r="180" spans="1:3" x14ac:dyDescent="0.25">
      <c r="A180" s="1">
        <v>45755.795833333003</v>
      </c>
      <c r="B180" s="1">
        <v>45755.731249999997</v>
      </c>
      <c r="C180" t="s">
        <v>347</v>
      </c>
    </row>
    <row r="181" spans="1:3" x14ac:dyDescent="0.25">
      <c r="A181" s="1">
        <v>45757.760416666999</v>
      </c>
      <c r="B181" s="1">
        <v>45755.731249999997</v>
      </c>
      <c r="C181" t="s">
        <v>377</v>
      </c>
    </row>
    <row r="182" spans="1:3" x14ac:dyDescent="0.25">
      <c r="A182" s="1">
        <v>45755.731249999997</v>
      </c>
      <c r="B182" s="1">
        <v>45755.731249999997</v>
      </c>
      <c r="C182" t="s">
        <v>198</v>
      </c>
    </row>
    <row r="183" spans="1:3" x14ac:dyDescent="0.25">
      <c r="A183" s="1">
        <v>45755.877083332998</v>
      </c>
      <c r="B183" s="1">
        <v>45755.731249999997</v>
      </c>
      <c r="C183" t="s">
        <v>379</v>
      </c>
    </row>
    <row r="184" spans="1:3" x14ac:dyDescent="0.25">
      <c r="A184" s="1">
        <v>45756.831250000003</v>
      </c>
      <c r="B184" s="1">
        <v>45755.733333333003</v>
      </c>
      <c r="C184" t="s">
        <v>269</v>
      </c>
    </row>
    <row r="185" spans="1:3" x14ac:dyDescent="0.25">
      <c r="A185" s="1">
        <v>45755.733333333003</v>
      </c>
      <c r="B185" s="1">
        <v>45755.733333333003</v>
      </c>
      <c r="C185" t="s">
        <v>616</v>
      </c>
    </row>
    <row r="186" spans="1:3" x14ac:dyDescent="0.25">
      <c r="A186" s="1">
        <v>45755.733333333003</v>
      </c>
      <c r="B186" s="1">
        <v>45755.733333333003</v>
      </c>
      <c r="C186" t="s">
        <v>78</v>
      </c>
    </row>
    <row r="187" spans="1:3" x14ac:dyDescent="0.25">
      <c r="A187" s="1">
        <v>45755.833333333001</v>
      </c>
      <c r="B187" s="1">
        <v>45755.733333333003</v>
      </c>
      <c r="C187" t="s">
        <v>529</v>
      </c>
    </row>
    <row r="188" spans="1:3" x14ac:dyDescent="0.25">
      <c r="A188" s="1">
        <v>45757.835416667003</v>
      </c>
      <c r="B188" s="1">
        <v>45755.733333333003</v>
      </c>
      <c r="C188" t="s">
        <v>316</v>
      </c>
    </row>
    <row r="189" spans="1:3" x14ac:dyDescent="0.25">
      <c r="A189" s="1">
        <v>45755.895833333001</v>
      </c>
      <c r="B189" s="1">
        <v>45755.733333333003</v>
      </c>
      <c r="C189" t="s">
        <v>113</v>
      </c>
    </row>
    <row r="190" spans="1:3" x14ac:dyDescent="0.25">
      <c r="A190" s="1">
        <v>45755.839583333</v>
      </c>
      <c r="B190" s="1">
        <v>45755.733333333003</v>
      </c>
      <c r="C190" t="s">
        <v>648</v>
      </c>
    </row>
    <row r="191" spans="1:3" x14ac:dyDescent="0.25">
      <c r="A191" s="1">
        <v>45755.904166667002</v>
      </c>
      <c r="B191" s="1">
        <v>45755.733333333003</v>
      </c>
      <c r="C191" t="s">
        <v>40</v>
      </c>
    </row>
    <row r="192" spans="1:3" x14ac:dyDescent="0.25">
      <c r="A192" s="1">
        <v>45755.841666667002</v>
      </c>
      <c r="B192" s="1">
        <v>45755.733333333003</v>
      </c>
      <c r="C192" t="s">
        <v>597</v>
      </c>
    </row>
    <row r="193" spans="1:3" x14ac:dyDescent="0.25">
      <c r="A193" s="1">
        <v>45755.733333333003</v>
      </c>
      <c r="B193" s="1">
        <v>45755.733333333003</v>
      </c>
      <c r="C193" t="s">
        <v>402</v>
      </c>
    </row>
    <row r="194" spans="1:3" x14ac:dyDescent="0.25">
      <c r="A194" s="1">
        <v>45755.733333333003</v>
      </c>
      <c r="B194" s="1">
        <v>45755.733333333003</v>
      </c>
      <c r="C194" t="s">
        <v>320</v>
      </c>
    </row>
    <row r="195" spans="1:3" x14ac:dyDescent="0.25">
      <c r="A195" s="1">
        <v>45755.870833333</v>
      </c>
      <c r="B195" s="1">
        <v>45755.733333333003</v>
      </c>
      <c r="C195" t="s">
        <v>301</v>
      </c>
    </row>
    <row r="196" spans="1:3" x14ac:dyDescent="0.25">
      <c r="A196" s="1">
        <v>45757.78125</v>
      </c>
      <c r="B196" s="1">
        <v>45755.735416666997</v>
      </c>
      <c r="C196" t="s">
        <v>650</v>
      </c>
    </row>
    <row r="197" spans="1:3" x14ac:dyDescent="0.25">
      <c r="A197" s="1">
        <v>45755.735416666997</v>
      </c>
      <c r="B197" s="1">
        <v>45755.735416666997</v>
      </c>
      <c r="C197" t="s">
        <v>501</v>
      </c>
    </row>
    <row r="198" spans="1:3" x14ac:dyDescent="0.25">
      <c r="A198" s="1">
        <v>45756.84375</v>
      </c>
      <c r="B198" s="1">
        <v>45755.735416666997</v>
      </c>
      <c r="C198" t="s">
        <v>420</v>
      </c>
    </row>
    <row r="199" spans="1:3" x14ac:dyDescent="0.25">
      <c r="A199" s="1">
        <v>45756.766666666997</v>
      </c>
      <c r="B199" s="1">
        <v>45755.735416666997</v>
      </c>
      <c r="C199" t="s">
        <v>452</v>
      </c>
    </row>
    <row r="200" spans="1:3" x14ac:dyDescent="0.25">
      <c r="A200" s="1">
        <v>45757.818749999999</v>
      </c>
      <c r="B200" s="1">
        <v>45755.735416666997</v>
      </c>
      <c r="C200" t="s">
        <v>54</v>
      </c>
    </row>
    <row r="201" spans="1:3" x14ac:dyDescent="0.25">
      <c r="A201" s="1">
        <v>45756.735416666997</v>
      </c>
      <c r="B201" s="1">
        <v>45755.735416666997</v>
      </c>
      <c r="C201" t="s">
        <v>277</v>
      </c>
    </row>
    <row r="202" spans="1:3" x14ac:dyDescent="0.25">
      <c r="A202" s="1">
        <v>45756.727083332997</v>
      </c>
      <c r="B202" s="1">
        <v>45755.735416666997</v>
      </c>
      <c r="C202" t="s">
        <v>159</v>
      </c>
    </row>
    <row r="203" spans="1:3" x14ac:dyDescent="0.25">
      <c r="A203" s="1">
        <v>45756.779166667002</v>
      </c>
      <c r="B203" s="1">
        <v>45755.735416666997</v>
      </c>
      <c r="C203" t="s">
        <v>373</v>
      </c>
    </row>
    <row r="204" spans="1:3" x14ac:dyDescent="0.25">
      <c r="A204" s="1">
        <v>45755.737500000003</v>
      </c>
      <c r="B204" s="1">
        <v>45755.737500000003</v>
      </c>
      <c r="C204" t="s">
        <v>123</v>
      </c>
    </row>
    <row r="205" spans="1:3" x14ac:dyDescent="0.25">
      <c r="A205" s="1">
        <v>45756.785416667</v>
      </c>
      <c r="B205" s="1">
        <v>45755.737500000003</v>
      </c>
      <c r="C205" t="s">
        <v>145</v>
      </c>
    </row>
    <row r="206" spans="1:3" x14ac:dyDescent="0.25">
      <c r="A206" s="1">
        <v>45755.737500000003</v>
      </c>
      <c r="B206" s="1">
        <v>45755.737500000003</v>
      </c>
      <c r="C206" t="s">
        <v>690</v>
      </c>
    </row>
    <row r="207" spans="1:3" x14ac:dyDescent="0.25">
      <c r="A207" s="1">
        <v>45755.816666667</v>
      </c>
      <c r="B207" s="1">
        <v>45755.737500000003</v>
      </c>
      <c r="C207" t="s">
        <v>280</v>
      </c>
    </row>
    <row r="208" spans="1:3" x14ac:dyDescent="0.25">
      <c r="A208" s="1">
        <v>45755.737500000003</v>
      </c>
      <c r="B208" s="1">
        <v>45755.737500000003</v>
      </c>
      <c r="C208" t="s">
        <v>233</v>
      </c>
    </row>
    <row r="209" spans="1:3" x14ac:dyDescent="0.25">
      <c r="A209" s="1">
        <v>45755.797916666997</v>
      </c>
      <c r="B209" s="1">
        <v>45755.737500000003</v>
      </c>
      <c r="C209" t="s">
        <v>58</v>
      </c>
    </row>
    <row r="210" spans="1:3" x14ac:dyDescent="0.25">
      <c r="A210" s="1">
        <v>45755.885416666999</v>
      </c>
      <c r="B210" s="1">
        <v>45755.737500000003</v>
      </c>
      <c r="C210" t="s">
        <v>219</v>
      </c>
    </row>
    <row r="211" spans="1:3" x14ac:dyDescent="0.25">
      <c r="A211" s="1">
        <v>45756.822916666999</v>
      </c>
      <c r="B211" s="1">
        <v>45755.737500000003</v>
      </c>
      <c r="C211" t="s">
        <v>639</v>
      </c>
    </row>
    <row r="212" spans="1:3" x14ac:dyDescent="0.25">
      <c r="A212" s="1">
        <v>45755.737500000003</v>
      </c>
      <c r="B212" s="1">
        <v>45755.737500000003</v>
      </c>
      <c r="C212" t="s">
        <v>545</v>
      </c>
    </row>
    <row r="213" spans="1:3" x14ac:dyDescent="0.25">
      <c r="A213" s="1">
        <v>45755.777083333</v>
      </c>
      <c r="B213" s="1">
        <v>45755.737500000003</v>
      </c>
      <c r="C213" t="s">
        <v>353</v>
      </c>
    </row>
    <row r="214" spans="1:3" x14ac:dyDescent="0.25">
      <c r="A214" s="1">
        <v>45755.827083333003</v>
      </c>
      <c r="B214" s="1">
        <v>45755.739583333001</v>
      </c>
      <c r="C214" t="s">
        <v>741</v>
      </c>
    </row>
    <row r="215" spans="1:3" x14ac:dyDescent="0.25">
      <c r="A215" s="1">
        <v>45755.739583333001</v>
      </c>
      <c r="B215" s="1">
        <v>45755.739583333001</v>
      </c>
      <c r="C215" t="s">
        <v>733</v>
      </c>
    </row>
    <row r="216" spans="1:3" x14ac:dyDescent="0.25">
      <c r="A216" s="1">
        <v>45755.802083333001</v>
      </c>
      <c r="B216" s="1">
        <v>45755.739583333001</v>
      </c>
      <c r="C216" t="s">
        <v>782</v>
      </c>
    </row>
    <row r="217" spans="1:3" x14ac:dyDescent="0.25">
      <c r="A217" s="1">
        <v>45756.716666667002</v>
      </c>
      <c r="B217" s="1">
        <v>45755.739583333001</v>
      </c>
      <c r="C217" t="s">
        <v>742</v>
      </c>
    </row>
    <row r="218" spans="1:3" x14ac:dyDescent="0.25">
      <c r="A218" s="1">
        <v>45755.793749999997</v>
      </c>
      <c r="B218" s="1">
        <v>45755.739583333001</v>
      </c>
      <c r="C218" t="s">
        <v>756</v>
      </c>
    </row>
    <row r="219" spans="1:3" x14ac:dyDescent="0.25">
      <c r="A219" s="1">
        <v>45755.818749999999</v>
      </c>
      <c r="B219" s="1">
        <v>45755.739583333001</v>
      </c>
      <c r="C219" t="s">
        <v>759</v>
      </c>
    </row>
    <row r="220" spans="1:3" x14ac:dyDescent="0.25">
      <c r="A220" s="1">
        <v>45755.895833333001</v>
      </c>
      <c r="B220" s="1">
        <v>45755.739583333001</v>
      </c>
      <c r="C220" t="s">
        <v>796</v>
      </c>
    </row>
    <row r="221" spans="1:3" x14ac:dyDescent="0.25">
      <c r="A221" s="1">
        <v>45755.818749999999</v>
      </c>
      <c r="B221" s="1">
        <v>45755.739583333001</v>
      </c>
      <c r="C221" t="s">
        <v>762</v>
      </c>
    </row>
    <row r="222" spans="1:3" x14ac:dyDescent="0.25">
      <c r="A222" s="1">
        <v>45757.820833332997</v>
      </c>
      <c r="B222" s="1">
        <v>45755.739583333001</v>
      </c>
      <c r="C222" t="s">
        <v>771</v>
      </c>
    </row>
    <row r="223" spans="1:3" x14ac:dyDescent="0.25">
      <c r="A223" s="1">
        <v>45756.845833332998</v>
      </c>
      <c r="B223" s="1">
        <v>45755.739583333001</v>
      </c>
      <c r="C223" t="s">
        <v>769</v>
      </c>
    </row>
    <row r="224" spans="1:3" x14ac:dyDescent="0.25">
      <c r="A224" s="1">
        <v>45756.716666667002</v>
      </c>
      <c r="B224" s="1">
        <v>45755.739583333001</v>
      </c>
      <c r="C224" t="s">
        <v>765</v>
      </c>
    </row>
    <row r="225" spans="1:3" x14ac:dyDescent="0.25">
      <c r="A225" s="1">
        <v>45755.739583333001</v>
      </c>
      <c r="B225" s="1">
        <v>45755.739583333001</v>
      </c>
      <c r="C225" t="s">
        <v>776</v>
      </c>
    </row>
    <row r="226" spans="1:3" x14ac:dyDescent="0.25">
      <c r="A226" s="1">
        <v>45756.816666667</v>
      </c>
      <c r="B226" s="1">
        <v>45755.739583333001</v>
      </c>
      <c r="C226" t="s">
        <v>739</v>
      </c>
    </row>
    <row r="227" spans="1:3" x14ac:dyDescent="0.25">
      <c r="A227" s="1">
        <v>45755.868750000001</v>
      </c>
      <c r="B227" s="1">
        <v>45755.739583333001</v>
      </c>
      <c r="C227" t="s">
        <v>752</v>
      </c>
    </row>
    <row r="228" spans="1:3" x14ac:dyDescent="0.25">
      <c r="A228" s="1">
        <v>45757.8125</v>
      </c>
      <c r="B228" s="1">
        <v>45755.739583333001</v>
      </c>
      <c r="C228" t="s">
        <v>754</v>
      </c>
    </row>
    <row r="229" spans="1:3" x14ac:dyDescent="0.25">
      <c r="A229" s="1">
        <v>45755.787499999999</v>
      </c>
      <c r="B229" s="1">
        <v>45755.739583333001</v>
      </c>
      <c r="C229" t="s">
        <v>775</v>
      </c>
    </row>
    <row r="230" spans="1:3" x14ac:dyDescent="0.25">
      <c r="A230" s="1">
        <v>45755.868750000001</v>
      </c>
      <c r="B230" s="1">
        <v>45755.741666667003</v>
      </c>
      <c r="C230" t="s">
        <v>764</v>
      </c>
    </row>
    <row r="231" spans="1:3" x14ac:dyDescent="0.25">
      <c r="A231" s="1">
        <v>45755.741666667003</v>
      </c>
      <c r="B231" s="1">
        <v>45755.741666667003</v>
      </c>
      <c r="C231" t="s">
        <v>761</v>
      </c>
    </row>
    <row r="232" spans="1:3" x14ac:dyDescent="0.25">
      <c r="A232" s="1">
        <v>45755.891666666997</v>
      </c>
      <c r="B232" s="1">
        <v>45755.741666667003</v>
      </c>
      <c r="C232" t="s">
        <v>763</v>
      </c>
    </row>
    <row r="233" spans="1:3" x14ac:dyDescent="0.25">
      <c r="A233" s="1">
        <v>45755.814583332998</v>
      </c>
      <c r="B233" s="1">
        <v>45755.741666667003</v>
      </c>
      <c r="C233" t="s">
        <v>730</v>
      </c>
    </row>
    <row r="234" spans="1:3" x14ac:dyDescent="0.25">
      <c r="A234" s="1">
        <v>45755.741666667003</v>
      </c>
      <c r="B234" s="1">
        <v>45755.741666667003</v>
      </c>
      <c r="C234" t="s">
        <v>208</v>
      </c>
    </row>
    <row r="235" spans="1:3" x14ac:dyDescent="0.25">
      <c r="A235" s="1">
        <v>45755.795833333003</v>
      </c>
      <c r="B235" s="1">
        <v>45755.741666667003</v>
      </c>
      <c r="C235" t="s">
        <v>676</v>
      </c>
    </row>
    <row r="236" spans="1:3" x14ac:dyDescent="0.25">
      <c r="A236" s="1">
        <v>45755.78125</v>
      </c>
      <c r="B236" s="1">
        <v>45755.741666667003</v>
      </c>
      <c r="C236" t="s">
        <v>774</v>
      </c>
    </row>
    <row r="237" spans="1:3" x14ac:dyDescent="0.25">
      <c r="A237" s="1">
        <v>45755.741666667003</v>
      </c>
      <c r="B237" s="1">
        <v>45755.741666667003</v>
      </c>
      <c r="C237" t="s">
        <v>778</v>
      </c>
    </row>
    <row r="238" spans="1:3" x14ac:dyDescent="0.25">
      <c r="A238" s="1">
        <v>45755.741666667003</v>
      </c>
      <c r="B238" s="1">
        <v>45755.741666667003</v>
      </c>
      <c r="C238" t="s">
        <v>81</v>
      </c>
    </row>
    <row r="239" spans="1:3" x14ac:dyDescent="0.25">
      <c r="A239" s="1">
        <v>45757.78125</v>
      </c>
      <c r="B239" s="1">
        <v>45755.741666667003</v>
      </c>
      <c r="C239" t="s">
        <v>713</v>
      </c>
    </row>
    <row r="240" spans="1:3" x14ac:dyDescent="0.25">
      <c r="A240" s="1">
        <v>45757.845833332998</v>
      </c>
      <c r="B240" s="1">
        <v>45755.741666667003</v>
      </c>
      <c r="C240" t="s">
        <v>707</v>
      </c>
    </row>
    <row r="241" spans="1:3" x14ac:dyDescent="0.25">
      <c r="A241" s="1">
        <v>45757.847916667</v>
      </c>
      <c r="B241" s="1">
        <v>45755.741666667003</v>
      </c>
      <c r="C241" t="s">
        <v>141</v>
      </c>
    </row>
    <row r="242" spans="1:3" x14ac:dyDescent="0.25">
      <c r="A242" s="1">
        <v>45756.820833332997</v>
      </c>
      <c r="B242" s="1">
        <v>45755.741666667003</v>
      </c>
      <c r="C242" t="s">
        <v>443</v>
      </c>
    </row>
    <row r="243" spans="1:3" x14ac:dyDescent="0.25">
      <c r="A243" s="1">
        <v>45756.743750000001</v>
      </c>
      <c r="B243" s="1">
        <v>45755.741666667003</v>
      </c>
      <c r="C243" t="s">
        <v>576</v>
      </c>
    </row>
    <row r="244" spans="1:3" x14ac:dyDescent="0.25">
      <c r="A244" s="1">
        <v>45756.791666666999</v>
      </c>
      <c r="B244" s="1">
        <v>45755.741666667003</v>
      </c>
      <c r="C244" t="s">
        <v>107</v>
      </c>
    </row>
    <row r="245" spans="1:3" x14ac:dyDescent="0.25">
      <c r="A245" s="1">
        <v>45757.837500000001</v>
      </c>
      <c r="B245" s="1">
        <v>45755.741666667003</v>
      </c>
      <c r="C245" t="s">
        <v>394</v>
      </c>
    </row>
    <row r="246" spans="1:3" x14ac:dyDescent="0.25">
      <c r="A246" s="1">
        <v>45755.841666667002</v>
      </c>
      <c r="B246" s="1">
        <v>45755.743750000001</v>
      </c>
      <c r="C246" t="s">
        <v>699</v>
      </c>
    </row>
    <row r="247" spans="1:3" x14ac:dyDescent="0.25">
      <c r="A247" s="1">
        <v>45755.743750000001</v>
      </c>
      <c r="B247" s="1">
        <v>45755.743750000001</v>
      </c>
      <c r="C247" t="s">
        <v>312</v>
      </c>
    </row>
    <row r="248" spans="1:3" x14ac:dyDescent="0.25">
      <c r="A248" s="1">
        <v>45755.854166666999</v>
      </c>
      <c r="B248" s="1">
        <v>45755.743750000001</v>
      </c>
      <c r="C248" t="s">
        <v>496</v>
      </c>
    </row>
    <row r="249" spans="1:3" x14ac:dyDescent="0.25">
      <c r="A249" s="1">
        <v>45755.743750000001</v>
      </c>
      <c r="B249" s="1">
        <v>45755.743750000001</v>
      </c>
      <c r="C249" t="s">
        <v>567</v>
      </c>
    </row>
    <row r="250" spans="1:3" x14ac:dyDescent="0.25">
      <c r="A250" s="1">
        <v>45755.747916667002</v>
      </c>
      <c r="B250" s="1">
        <v>45755.743750000001</v>
      </c>
      <c r="C250" t="s">
        <v>637</v>
      </c>
    </row>
    <row r="251" spans="1:3" x14ac:dyDescent="0.25">
      <c r="A251" s="1">
        <v>45755.743750000001</v>
      </c>
      <c r="B251" s="1">
        <v>45755.743750000001</v>
      </c>
      <c r="C251" t="s">
        <v>376</v>
      </c>
    </row>
    <row r="252" spans="1:3" x14ac:dyDescent="0.25">
      <c r="A252" s="1">
        <v>45755.841666667002</v>
      </c>
      <c r="B252" s="1">
        <v>45755.743750000001</v>
      </c>
      <c r="C252" t="s">
        <v>381</v>
      </c>
    </row>
    <row r="253" spans="1:3" x14ac:dyDescent="0.25">
      <c r="A253" s="1">
        <v>45755.745833333</v>
      </c>
      <c r="B253" s="1">
        <v>45755.745833333</v>
      </c>
      <c r="C253" t="s">
        <v>744</v>
      </c>
    </row>
    <row r="254" spans="1:3" x14ac:dyDescent="0.25">
      <c r="A254" s="1">
        <v>45755.791666666999</v>
      </c>
      <c r="B254" s="1">
        <v>45755.745833333</v>
      </c>
      <c r="C254" t="s">
        <v>768</v>
      </c>
    </row>
    <row r="255" spans="1:3" x14ac:dyDescent="0.25">
      <c r="A255" s="1">
        <v>45755.745833333</v>
      </c>
      <c r="B255" s="1">
        <v>45755.745833333</v>
      </c>
      <c r="C255" t="s">
        <v>502</v>
      </c>
    </row>
    <row r="256" spans="1:3" x14ac:dyDescent="0.25">
      <c r="A256" s="1">
        <v>45755.887499999997</v>
      </c>
      <c r="B256" s="1">
        <v>45755.745833333</v>
      </c>
      <c r="C256" t="s">
        <v>230</v>
      </c>
    </row>
    <row r="257" spans="1:3" x14ac:dyDescent="0.25">
      <c r="A257" s="1">
        <v>45755.745833333</v>
      </c>
      <c r="B257" s="1">
        <v>45755.745833333</v>
      </c>
      <c r="C257" t="s">
        <v>404</v>
      </c>
    </row>
    <row r="258" spans="1:3" x14ac:dyDescent="0.25">
      <c r="A258" s="1">
        <v>45755.775000000001</v>
      </c>
      <c r="B258" s="1">
        <v>45755.745833333</v>
      </c>
      <c r="C258" t="s">
        <v>49</v>
      </c>
    </row>
    <row r="259" spans="1:3" x14ac:dyDescent="0.25">
      <c r="A259" s="1">
        <v>45756.795833333003</v>
      </c>
      <c r="B259" s="1">
        <v>45755.747916667002</v>
      </c>
      <c r="C259" t="s">
        <v>692</v>
      </c>
    </row>
    <row r="260" spans="1:3" x14ac:dyDescent="0.25">
      <c r="A260" s="1">
        <v>45755.747916667002</v>
      </c>
      <c r="B260" s="1">
        <v>45755.747916667002</v>
      </c>
      <c r="C260" t="s">
        <v>143</v>
      </c>
    </row>
    <row r="261" spans="1:3" x14ac:dyDescent="0.25">
      <c r="A261" s="1">
        <v>45755.768750000003</v>
      </c>
      <c r="B261" s="1">
        <v>45755.747916667002</v>
      </c>
      <c r="C261" t="s">
        <v>695</v>
      </c>
    </row>
    <row r="262" spans="1:3" x14ac:dyDescent="0.25">
      <c r="A262" s="1">
        <v>45755.747916667002</v>
      </c>
      <c r="B262" s="1">
        <v>45755.747916667002</v>
      </c>
      <c r="C262" t="s">
        <v>270</v>
      </c>
    </row>
    <row r="263" spans="1:3" x14ac:dyDescent="0.25">
      <c r="A263" s="1">
        <v>45755.84375</v>
      </c>
      <c r="B263" s="1">
        <v>45755.747916667002</v>
      </c>
      <c r="C263" t="s">
        <v>267</v>
      </c>
    </row>
    <row r="264" spans="1:3" x14ac:dyDescent="0.25">
      <c r="A264" s="1">
        <v>45755.837500000001</v>
      </c>
      <c r="B264" s="1">
        <v>45755.75</v>
      </c>
      <c r="C264" t="s">
        <v>34</v>
      </c>
    </row>
    <row r="265" spans="1:3" x14ac:dyDescent="0.25">
      <c r="A265" s="1">
        <v>45755.75</v>
      </c>
      <c r="B265" s="1">
        <v>45755.75</v>
      </c>
      <c r="C265" t="s">
        <v>172</v>
      </c>
    </row>
    <row r="266" spans="1:3" x14ac:dyDescent="0.25">
      <c r="A266" s="1">
        <v>45755.75</v>
      </c>
      <c r="B266" s="1">
        <v>45755.75</v>
      </c>
      <c r="C266" t="s">
        <v>527</v>
      </c>
    </row>
    <row r="267" spans="1:3" x14ac:dyDescent="0.25">
      <c r="A267" s="1">
        <v>45755.883333332997</v>
      </c>
      <c r="B267" s="1">
        <v>45755.75</v>
      </c>
      <c r="C267" t="s">
        <v>282</v>
      </c>
    </row>
    <row r="268" spans="1:3" x14ac:dyDescent="0.25">
      <c r="A268" s="1">
        <v>45756.835416667003</v>
      </c>
      <c r="B268" s="1">
        <v>45755.762499999997</v>
      </c>
      <c r="C268" t="s">
        <v>182</v>
      </c>
    </row>
    <row r="269" spans="1:3" x14ac:dyDescent="0.25">
      <c r="A269" s="1">
        <v>45755.762499999997</v>
      </c>
      <c r="B269" s="1">
        <v>45755.762499999997</v>
      </c>
      <c r="C269" t="s">
        <v>419</v>
      </c>
    </row>
    <row r="270" spans="1:3" x14ac:dyDescent="0.25">
      <c r="A270" s="1">
        <v>45756.841666667002</v>
      </c>
      <c r="B270" s="1">
        <v>45755.762499999997</v>
      </c>
      <c r="C270" t="s">
        <v>613</v>
      </c>
    </row>
    <row r="271" spans="1:3" x14ac:dyDescent="0.25">
      <c r="A271" s="1">
        <v>45755.762499999997</v>
      </c>
      <c r="B271" s="1">
        <v>45755.762499999997</v>
      </c>
      <c r="C271" t="s">
        <v>74</v>
      </c>
    </row>
    <row r="272" spans="1:3" x14ac:dyDescent="0.25">
      <c r="A272" s="1">
        <v>45755.764583333003</v>
      </c>
      <c r="B272" s="1">
        <v>45755.764583333003</v>
      </c>
      <c r="C272" t="s">
        <v>477</v>
      </c>
    </row>
    <row r="273" spans="1:3" x14ac:dyDescent="0.25">
      <c r="A273" s="1">
        <v>45755.824999999997</v>
      </c>
      <c r="B273" s="1">
        <v>45755.764583333003</v>
      </c>
      <c r="C273" t="s">
        <v>324</v>
      </c>
    </row>
    <row r="274" spans="1:3" x14ac:dyDescent="0.25">
      <c r="A274" s="1">
        <v>45755.766666666997</v>
      </c>
      <c r="B274" s="1">
        <v>45755.766666666997</v>
      </c>
      <c r="C274" t="s">
        <v>284</v>
      </c>
    </row>
    <row r="275" spans="1:3" x14ac:dyDescent="0.25">
      <c r="A275" s="1">
        <v>45755.847916667</v>
      </c>
      <c r="B275" s="1">
        <v>45755.766666666997</v>
      </c>
      <c r="C275" t="s">
        <v>67</v>
      </c>
    </row>
    <row r="276" spans="1:3" x14ac:dyDescent="0.25">
      <c r="A276" s="1">
        <v>45755.766666666997</v>
      </c>
      <c r="B276" s="1">
        <v>45755.766666666997</v>
      </c>
      <c r="C276" t="s">
        <v>286</v>
      </c>
    </row>
    <row r="277" spans="1:3" x14ac:dyDescent="0.25">
      <c r="A277" s="1">
        <v>45755.854166666999</v>
      </c>
      <c r="B277" s="1">
        <v>45755.766666666997</v>
      </c>
      <c r="C277" t="s">
        <v>89</v>
      </c>
    </row>
    <row r="278" spans="1:3" x14ac:dyDescent="0.25">
      <c r="A278" s="1">
        <v>45755.768750000003</v>
      </c>
      <c r="B278" s="1">
        <v>45755.768750000003</v>
      </c>
      <c r="C278" t="s">
        <v>152</v>
      </c>
    </row>
    <row r="279" spans="1:3" x14ac:dyDescent="0.25">
      <c r="A279" s="1">
        <v>45757.829166666997</v>
      </c>
      <c r="B279" s="1">
        <v>45755.768750000003</v>
      </c>
      <c r="C279" t="s">
        <v>594</v>
      </c>
    </row>
    <row r="280" spans="1:3" x14ac:dyDescent="0.25">
      <c r="A280" s="1">
        <v>45755.768750000003</v>
      </c>
      <c r="B280" s="1">
        <v>45755.768750000003</v>
      </c>
      <c r="C280" t="s">
        <v>275</v>
      </c>
    </row>
    <row r="281" spans="1:3" x14ac:dyDescent="0.25">
      <c r="A281" s="1">
        <v>45755.875</v>
      </c>
      <c r="B281" s="1">
        <v>45755.768750000003</v>
      </c>
      <c r="C281" t="s">
        <v>468</v>
      </c>
    </row>
    <row r="282" spans="1:3" x14ac:dyDescent="0.25">
      <c r="A282" s="1">
        <v>45755.768750000003</v>
      </c>
      <c r="B282" s="1">
        <v>45755.768750000003</v>
      </c>
      <c r="C282" t="s">
        <v>615</v>
      </c>
    </row>
    <row r="283" spans="1:3" x14ac:dyDescent="0.25">
      <c r="A283" s="1">
        <v>45755.8125</v>
      </c>
      <c r="B283" s="1">
        <v>45755.768750000003</v>
      </c>
      <c r="C283" t="s">
        <v>63</v>
      </c>
    </row>
    <row r="284" spans="1:3" x14ac:dyDescent="0.25">
      <c r="A284" s="1">
        <v>45755.9</v>
      </c>
      <c r="B284" s="1">
        <v>45755.770833333001</v>
      </c>
      <c r="C284" t="s">
        <v>698</v>
      </c>
    </row>
    <row r="285" spans="1:3" x14ac:dyDescent="0.25">
      <c r="A285" s="1">
        <v>45755.822916666999</v>
      </c>
      <c r="B285" s="1">
        <v>45755.770833333001</v>
      </c>
      <c r="C285" t="s">
        <v>727</v>
      </c>
    </row>
    <row r="286" spans="1:3" x14ac:dyDescent="0.25">
      <c r="A286" s="1">
        <v>45755.770833333001</v>
      </c>
      <c r="B286" s="1">
        <v>45755.770833333001</v>
      </c>
      <c r="C286" t="s">
        <v>553</v>
      </c>
    </row>
    <row r="287" spans="1:3" x14ac:dyDescent="0.25">
      <c r="A287" s="1">
        <v>45756.797916666997</v>
      </c>
      <c r="B287" s="1">
        <v>45755.772916667003</v>
      </c>
      <c r="C287" t="s">
        <v>602</v>
      </c>
    </row>
    <row r="288" spans="1:3" x14ac:dyDescent="0.25">
      <c r="A288" s="1">
        <v>45755.772916667003</v>
      </c>
      <c r="B288" s="1">
        <v>45755.772916667003</v>
      </c>
      <c r="C288" t="s">
        <v>307</v>
      </c>
    </row>
    <row r="289" spans="1:3" x14ac:dyDescent="0.25">
      <c r="A289" s="1">
        <v>45755.872916667002</v>
      </c>
      <c r="B289" s="1">
        <v>45755.772916667003</v>
      </c>
      <c r="C289" t="s">
        <v>641</v>
      </c>
    </row>
    <row r="290" spans="1:3" x14ac:dyDescent="0.25">
      <c r="A290" s="1">
        <v>45755.772916667003</v>
      </c>
      <c r="B290" s="1">
        <v>45755.772916667003</v>
      </c>
      <c r="C290" t="s">
        <v>498</v>
      </c>
    </row>
    <row r="291" spans="1:3" x14ac:dyDescent="0.25">
      <c r="A291" s="1">
        <v>45756.787499999999</v>
      </c>
      <c r="B291" s="1">
        <v>45755.783333332998</v>
      </c>
      <c r="C291" t="s">
        <v>575</v>
      </c>
    </row>
    <row r="292" spans="1:3" x14ac:dyDescent="0.25">
      <c r="A292" s="1">
        <v>45756.791666666999</v>
      </c>
      <c r="B292" s="1">
        <v>45755.783333332998</v>
      </c>
      <c r="C292" t="s">
        <v>69</v>
      </c>
    </row>
    <row r="293" spans="1:3" x14ac:dyDescent="0.25">
      <c r="A293" s="1">
        <v>45755.783333332998</v>
      </c>
      <c r="B293" s="1">
        <v>45755.783333332998</v>
      </c>
      <c r="C293" t="s">
        <v>440</v>
      </c>
    </row>
    <row r="294" spans="1:3" x14ac:dyDescent="0.25">
      <c r="A294" s="1">
        <v>45755.785416667</v>
      </c>
      <c r="B294" s="1">
        <v>45755.785416667</v>
      </c>
      <c r="C294" t="s">
        <v>673</v>
      </c>
    </row>
    <row r="295" spans="1:3" x14ac:dyDescent="0.25">
      <c r="A295" s="1">
        <v>45755.889583333003</v>
      </c>
      <c r="B295" s="1">
        <v>45755.785416667</v>
      </c>
      <c r="C295" t="s">
        <v>311</v>
      </c>
    </row>
    <row r="296" spans="1:3" x14ac:dyDescent="0.25">
      <c r="A296" s="1">
        <v>45757.845833332998</v>
      </c>
      <c r="B296" s="1">
        <v>45755.787499999999</v>
      </c>
      <c r="C296" t="s">
        <v>399</v>
      </c>
    </row>
    <row r="297" spans="1:3" x14ac:dyDescent="0.25">
      <c r="A297" s="1">
        <v>45756.833333333001</v>
      </c>
      <c r="B297" s="1">
        <v>45755.787499999999</v>
      </c>
      <c r="C297" t="s">
        <v>417</v>
      </c>
    </row>
    <row r="298" spans="1:3" x14ac:dyDescent="0.25">
      <c r="A298" s="1">
        <v>45755.787499999999</v>
      </c>
      <c r="B298" s="1">
        <v>45755.787499999999</v>
      </c>
      <c r="C298" t="s">
        <v>138</v>
      </c>
    </row>
    <row r="299" spans="1:3" x14ac:dyDescent="0.25">
      <c r="A299" s="1">
        <v>45755.789583332997</v>
      </c>
      <c r="B299" s="1">
        <v>45755.789583332997</v>
      </c>
      <c r="C299" t="s">
        <v>416</v>
      </c>
    </row>
    <row r="300" spans="1:3" x14ac:dyDescent="0.25">
      <c r="A300" s="1">
        <v>45755.904166667002</v>
      </c>
      <c r="B300" s="1">
        <v>45755.789583332997</v>
      </c>
      <c r="C300" t="s">
        <v>355</v>
      </c>
    </row>
    <row r="301" spans="1:3" x14ac:dyDescent="0.25">
      <c r="A301" s="1">
        <v>45755.793749999997</v>
      </c>
      <c r="B301" s="1">
        <v>45755.793749999997</v>
      </c>
      <c r="C301" t="s">
        <v>44</v>
      </c>
    </row>
    <row r="302" spans="1:3" x14ac:dyDescent="0.25">
      <c r="A302" s="1">
        <v>45755.84375</v>
      </c>
      <c r="B302" s="1">
        <v>45755.793749999997</v>
      </c>
      <c r="C302" t="s">
        <v>646</v>
      </c>
    </row>
    <row r="303" spans="1:3" x14ac:dyDescent="0.25">
      <c r="A303" s="1">
        <v>45755.852083332997</v>
      </c>
      <c r="B303" s="1">
        <v>45755.797916666997</v>
      </c>
      <c r="C303" t="s">
        <v>348</v>
      </c>
    </row>
    <row r="304" spans="1:3" x14ac:dyDescent="0.25">
      <c r="A304" s="1">
        <v>45755.797916666997</v>
      </c>
      <c r="B304" s="1">
        <v>45755.797916666997</v>
      </c>
      <c r="C304" t="s">
        <v>48</v>
      </c>
    </row>
    <row r="305" spans="1:3" x14ac:dyDescent="0.25">
      <c r="A305" s="1">
        <v>45755.797916666997</v>
      </c>
      <c r="B305" s="1">
        <v>45755.797916666997</v>
      </c>
      <c r="C305" t="s">
        <v>216</v>
      </c>
    </row>
    <row r="306" spans="1:3" x14ac:dyDescent="0.25">
      <c r="A306" s="1">
        <v>45756.764583333003</v>
      </c>
      <c r="B306" s="1">
        <v>45755.797916666997</v>
      </c>
      <c r="C306" t="s">
        <v>382</v>
      </c>
    </row>
    <row r="307" spans="1:3" x14ac:dyDescent="0.25">
      <c r="A307" s="1">
        <v>45757.839583333</v>
      </c>
      <c r="B307" s="1">
        <v>45755.802083333001</v>
      </c>
      <c r="C307" t="s">
        <v>682</v>
      </c>
    </row>
    <row r="308" spans="1:3" x14ac:dyDescent="0.25">
      <c r="A308" s="1">
        <v>45757.777083333</v>
      </c>
      <c r="B308" s="1">
        <v>45755.802083333001</v>
      </c>
      <c r="C308" t="s">
        <v>101</v>
      </c>
    </row>
    <row r="309" spans="1:3" x14ac:dyDescent="0.25">
      <c r="A309" s="1">
        <v>45755.802083333001</v>
      </c>
      <c r="B309" s="1">
        <v>45755.802083333001</v>
      </c>
      <c r="C309" t="s">
        <v>507</v>
      </c>
    </row>
    <row r="310" spans="1:3" x14ac:dyDescent="0.25">
      <c r="A310" s="1">
        <v>45757.743750000001</v>
      </c>
      <c r="B310" s="1">
        <v>45755.802083333001</v>
      </c>
      <c r="C310" t="s">
        <v>652</v>
      </c>
    </row>
    <row r="311" spans="1:3" x14ac:dyDescent="0.25">
      <c r="A311" s="1">
        <v>45757.833333333001</v>
      </c>
      <c r="B311" s="1">
        <v>45755.802083333001</v>
      </c>
      <c r="C311" t="s">
        <v>229</v>
      </c>
    </row>
    <row r="312" spans="1:3" x14ac:dyDescent="0.25">
      <c r="A312" s="1">
        <v>45757.827083333003</v>
      </c>
      <c r="B312" s="1">
        <v>45755.802083333001</v>
      </c>
      <c r="C312" t="s">
        <v>606</v>
      </c>
    </row>
    <row r="313" spans="1:3" x14ac:dyDescent="0.25">
      <c r="A313" s="1">
        <v>45757.787499999999</v>
      </c>
      <c r="B313" s="1">
        <v>45755.802083333001</v>
      </c>
      <c r="C313" t="s">
        <v>359</v>
      </c>
    </row>
    <row r="314" spans="1:3" x14ac:dyDescent="0.25">
      <c r="A314" s="1">
        <v>45755.868750000001</v>
      </c>
      <c r="B314" s="1">
        <v>45755.818749999999</v>
      </c>
      <c r="C314" t="s">
        <v>387</v>
      </c>
    </row>
    <row r="315" spans="1:3" x14ac:dyDescent="0.25">
      <c r="A315" s="1">
        <v>45755.818749999999</v>
      </c>
      <c r="B315" s="1">
        <v>45755.818749999999</v>
      </c>
      <c r="C315" t="s">
        <v>166</v>
      </c>
    </row>
    <row r="316" spans="1:3" x14ac:dyDescent="0.25">
      <c r="A316" s="1">
        <v>45755.897916667003</v>
      </c>
      <c r="B316" s="1">
        <v>45755.822916666999</v>
      </c>
      <c r="C316" t="s">
        <v>66</v>
      </c>
    </row>
    <row r="317" spans="1:3" x14ac:dyDescent="0.25">
      <c r="A317" s="1">
        <v>45755.822916666999</v>
      </c>
      <c r="B317" s="1">
        <v>45755.822916666999</v>
      </c>
      <c r="C317" t="s">
        <v>563</v>
      </c>
    </row>
    <row r="318" spans="1:3" x14ac:dyDescent="0.25">
      <c r="A318" s="1">
        <v>45755.835416667003</v>
      </c>
      <c r="B318" s="1">
        <v>45755.835416667003</v>
      </c>
      <c r="C318" t="s">
        <v>627</v>
      </c>
    </row>
    <row r="319" spans="1:3" x14ac:dyDescent="0.25">
      <c r="A319" s="1">
        <v>45757.716666667002</v>
      </c>
      <c r="B319" s="1">
        <v>45755.835416667003</v>
      </c>
      <c r="C319" t="s">
        <v>298</v>
      </c>
    </row>
    <row r="320" spans="1:3" x14ac:dyDescent="0.25">
      <c r="A320" s="1">
        <v>45756.789583332997</v>
      </c>
      <c r="B320" s="1">
        <v>45755.835416667003</v>
      </c>
      <c r="C320" t="s">
        <v>557</v>
      </c>
    </row>
    <row r="321" spans="1:3" x14ac:dyDescent="0.25">
      <c r="A321" s="1">
        <v>45757.837500000001</v>
      </c>
      <c r="B321" s="1">
        <v>45755.835416667003</v>
      </c>
      <c r="C321" t="s">
        <v>544</v>
      </c>
    </row>
    <row r="322" spans="1:3" x14ac:dyDescent="0.25">
      <c r="A322" s="1">
        <v>45757.791666666999</v>
      </c>
      <c r="B322" s="1">
        <v>45755.835416667003</v>
      </c>
      <c r="C322" t="s">
        <v>203</v>
      </c>
    </row>
    <row r="323" spans="1:3" x14ac:dyDescent="0.25">
      <c r="A323" s="1">
        <v>45757.710416667003</v>
      </c>
      <c r="B323" s="1">
        <v>45755.835416667003</v>
      </c>
      <c r="C323" t="s">
        <v>253</v>
      </c>
    </row>
    <row r="324" spans="1:3" x14ac:dyDescent="0.25">
      <c r="A324" s="1">
        <v>45756.818749999999</v>
      </c>
      <c r="B324" s="1">
        <v>45755.835416667003</v>
      </c>
      <c r="C324" t="s">
        <v>662</v>
      </c>
    </row>
    <row r="325" spans="1:3" x14ac:dyDescent="0.25">
      <c r="A325" s="1">
        <v>45757.766666666997</v>
      </c>
      <c r="B325" s="1">
        <v>45755.835416667003</v>
      </c>
      <c r="C325" t="s">
        <v>108</v>
      </c>
    </row>
    <row r="326" spans="1:3" x14ac:dyDescent="0.25">
      <c r="A326" s="1">
        <v>45755.841666667002</v>
      </c>
      <c r="B326" s="1">
        <v>45755.841666667002</v>
      </c>
      <c r="C326" t="s">
        <v>228</v>
      </c>
    </row>
    <row r="327" spans="1:3" x14ac:dyDescent="0.25">
      <c r="A327" s="1">
        <v>45755.893750000003</v>
      </c>
      <c r="B327" s="1">
        <v>45755.841666667002</v>
      </c>
      <c r="C327" t="s">
        <v>6</v>
      </c>
    </row>
    <row r="328" spans="1:3" x14ac:dyDescent="0.25">
      <c r="A328" s="1">
        <v>45755.845833332998</v>
      </c>
      <c r="B328" s="1">
        <v>45755.845833332998</v>
      </c>
      <c r="C328" t="s">
        <v>214</v>
      </c>
    </row>
    <row r="329" spans="1:3" x14ac:dyDescent="0.25">
      <c r="A329" s="1">
        <v>45756.800000000003</v>
      </c>
      <c r="B329" s="1">
        <v>45755.845833332998</v>
      </c>
      <c r="C329" t="s">
        <v>670</v>
      </c>
    </row>
    <row r="330" spans="1:3" x14ac:dyDescent="0.25">
      <c r="A330" s="1">
        <v>45755.864583333001</v>
      </c>
      <c r="B330" s="1">
        <v>45755.864583333001</v>
      </c>
      <c r="C330" t="s">
        <v>633</v>
      </c>
    </row>
    <row r="331" spans="1:3" x14ac:dyDescent="0.25">
      <c r="A331" s="1">
        <v>45756.791666666999</v>
      </c>
      <c r="B331" s="1">
        <v>45755.864583333001</v>
      </c>
      <c r="C331" t="s">
        <v>245</v>
      </c>
    </row>
    <row r="332" spans="1:3" x14ac:dyDescent="0.25">
      <c r="A332" s="1">
        <v>45755.866666667003</v>
      </c>
      <c r="B332" s="1">
        <v>45755.866666667003</v>
      </c>
      <c r="C332" t="s">
        <v>22</v>
      </c>
    </row>
    <row r="333" spans="1:3" x14ac:dyDescent="0.25">
      <c r="A333" s="1">
        <v>45755.875</v>
      </c>
      <c r="B333" s="1">
        <v>45755.866666667003</v>
      </c>
      <c r="C333" t="s">
        <v>22</v>
      </c>
    </row>
    <row r="334" spans="1:3" x14ac:dyDescent="0.25">
      <c r="A334" s="1">
        <v>45756.78125</v>
      </c>
      <c r="B334" s="1">
        <v>45755.872916667002</v>
      </c>
      <c r="C334" t="s">
        <v>265</v>
      </c>
    </row>
    <row r="335" spans="1:3" x14ac:dyDescent="0.25">
      <c r="A335" s="1">
        <v>45755.872916667002</v>
      </c>
      <c r="B335" s="1">
        <v>45755.872916667002</v>
      </c>
      <c r="C335" t="s">
        <v>18</v>
      </c>
    </row>
    <row r="336" spans="1:3" x14ac:dyDescent="0.25">
      <c r="A336" s="1">
        <v>45755.879166667</v>
      </c>
      <c r="B336" s="1">
        <v>45755.879166667</v>
      </c>
      <c r="C336" t="s">
        <v>403</v>
      </c>
    </row>
    <row r="337" spans="1:3" x14ac:dyDescent="0.25">
      <c r="A337" s="1">
        <v>45756.739583333001</v>
      </c>
      <c r="B337" s="1">
        <v>45755.879166667</v>
      </c>
      <c r="C337" t="s">
        <v>281</v>
      </c>
    </row>
    <row r="338" spans="1:3" x14ac:dyDescent="0.25">
      <c r="A338" s="1">
        <v>45756.777083333</v>
      </c>
      <c r="B338" s="1">
        <v>45756.708333333001</v>
      </c>
      <c r="C338" t="s">
        <v>129</v>
      </c>
    </row>
    <row r="339" spans="1:3" x14ac:dyDescent="0.25">
      <c r="A339" s="1">
        <v>45756.789583332997</v>
      </c>
      <c r="B339" s="1">
        <v>45756.708333333001</v>
      </c>
      <c r="C339" t="s">
        <v>129</v>
      </c>
    </row>
    <row r="340" spans="1:3" x14ac:dyDescent="0.25">
      <c r="A340" s="1">
        <v>45756.708333333001</v>
      </c>
      <c r="B340" s="1">
        <v>45756.708333333001</v>
      </c>
      <c r="C340" t="s">
        <v>653</v>
      </c>
    </row>
    <row r="341" spans="1:3" x14ac:dyDescent="0.25">
      <c r="A341" s="1">
        <v>45756.775000000001</v>
      </c>
      <c r="B341" s="1">
        <v>45756.708333333001</v>
      </c>
      <c r="C341" t="s">
        <v>426</v>
      </c>
    </row>
    <row r="342" spans="1:3" x14ac:dyDescent="0.25">
      <c r="A342" s="1">
        <v>45756.775000000001</v>
      </c>
      <c r="B342" s="1">
        <v>45756.708333333001</v>
      </c>
      <c r="C342" t="s">
        <v>426</v>
      </c>
    </row>
    <row r="343" spans="1:3" x14ac:dyDescent="0.25">
      <c r="A343" s="1">
        <v>45756.708333333001</v>
      </c>
      <c r="B343" s="1">
        <v>45756.708333333001</v>
      </c>
      <c r="C343" t="s">
        <v>109</v>
      </c>
    </row>
    <row r="344" spans="1:3" x14ac:dyDescent="0.25">
      <c r="A344" s="1">
        <v>45756.708333333001</v>
      </c>
      <c r="B344" s="1">
        <v>45756.708333333001</v>
      </c>
      <c r="C344" t="s">
        <v>124</v>
      </c>
    </row>
    <row r="345" spans="1:3" x14ac:dyDescent="0.25">
      <c r="A345" s="1">
        <v>45756.75</v>
      </c>
      <c r="B345" s="1">
        <v>45756.708333333001</v>
      </c>
      <c r="C345" t="s">
        <v>87</v>
      </c>
    </row>
    <row r="346" spans="1:3" x14ac:dyDescent="0.25">
      <c r="A346" s="1">
        <v>45756.772916667003</v>
      </c>
      <c r="B346" s="1">
        <v>45756.708333333001</v>
      </c>
      <c r="C346" t="s">
        <v>469</v>
      </c>
    </row>
    <row r="347" spans="1:3" x14ac:dyDescent="0.25">
      <c r="A347" s="1">
        <v>45756.800000000003</v>
      </c>
      <c r="B347" s="1">
        <v>45756.708333333001</v>
      </c>
      <c r="C347" t="s">
        <v>469</v>
      </c>
    </row>
    <row r="348" spans="1:3" x14ac:dyDescent="0.25">
      <c r="A348" s="1">
        <v>45757.741666667003</v>
      </c>
      <c r="B348" s="1">
        <v>45756.708333333001</v>
      </c>
      <c r="C348" t="s">
        <v>147</v>
      </c>
    </row>
    <row r="349" spans="1:3" x14ac:dyDescent="0.25">
      <c r="A349" s="1">
        <v>45757.741666667003</v>
      </c>
      <c r="B349" s="1">
        <v>45756.708333333001</v>
      </c>
      <c r="C349" t="s">
        <v>147</v>
      </c>
    </row>
    <row r="350" spans="1:3" x14ac:dyDescent="0.25">
      <c r="A350" s="1">
        <v>45756.708333333001</v>
      </c>
      <c r="B350" s="1">
        <v>45756.708333333001</v>
      </c>
      <c r="C350" t="s">
        <v>555</v>
      </c>
    </row>
    <row r="351" spans="1:3" x14ac:dyDescent="0.25">
      <c r="A351" s="1">
        <v>45756.793749999997</v>
      </c>
      <c r="B351" s="1">
        <v>45756.708333333001</v>
      </c>
      <c r="C351" t="s">
        <v>308</v>
      </c>
    </row>
    <row r="352" spans="1:3" x14ac:dyDescent="0.25">
      <c r="A352" s="1">
        <v>45756.708333333001</v>
      </c>
      <c r="B352" s="1">
        <v>45756.708333333001</v>
      </c>
      <c r="C352" t="s">
        <v>260</v>
      </c>
    </row>
    <row r="353" spans="1:3" x14ac:dyDescent="0.25">
      <c r="A353" s="1">
        <v>45756.824999999997</v>
      </c>
      <c r="B353" s="1">
        <v>45756.708333333001</v>
      </c>
      <c r="C353" t="s">
        <v>590</v>
      </c>
    </row>
    <row r="354" spans="1:3" x14ac:dyDescent="0.25">
      <c r="A354" s="1">
        <v>45756.720833332998</v>
      </c>
      <c r="B354" s="1">
        <v>45756.708333333001</v>
      </c>
      <c r="C354" t="s">
        <v>513</v>
      </c>
    </row>
    <row r="355" spans="1:3" x14ac:dyDescent="0.25">
      <c r="A355" s="1">
        <v>45757.841666667002</v>
      </c>
      <c r="B355" s="1">
        <v>45756.708333333001</v>
      </c>
      <c r="C355" t="s">
        <v>405</v>
      </c>
    </row>
    <row r="356" spans="1:3" x14ac:dyDescent="0.25">
      <c r="A356" s="1">
        <v>45756.708333333001</v>
      </c>
      <c r="B356" s="1">
        <v>45756.708333333001</v>
      </c>
      <c r="C356" t="s">
        <v>433</v>
      </c>
    </row>
    <row r="357" spans="1:3" x14ac:dyDescent="0.25">
      <c r="A357" s="1">
        <v>45756.710416667003</v>
      </c>
      <c r="B357" s="1">
        <v>45756.710416667003</v>
      </c>
      <c r="C357" t="s">
        <v>577</v>
      </c>
    </row>
    <row r="358" spans="1:3" x14ac:dyDescent="0.25">
      <c r="A358" s="1">
        <v>45756.743750000001</v>
      </c>
      <c r="B358" s="1">
        <v>45756.710416667003</v>
      </c>
      <c r="C358" t="s">
        <v>215</v>
      </c>
    </row>
    <row r="359" spans="1:3" x14ac:dyDescent="0.25">
      <c r="A359" s="1">
        <v>45756.710416667003</v>
      </c>
      <c r="B359" s="1">
        <v>45756.710416667003</v>
      </c>
      <c r="C359" t="s">
        <v>617</v>
      </c>
    </row>
    <row r="360" spans="1:3" x14ac:dyDescent="0.25">
      <c r="A360" s="1">
        <v>45756.795833333003</v>
      </c>
      <c r="B360" s="1">
        <v>45756.710416667003</v>
      </c>
      <c r="C360" t="s">
        <v>478</v>
      </c>
    </row>
    <row r="361" spans="1:3" x14ac:dyDescent="0.25">
      <c r="A361" s="1">
        <v>45756.710416667003</v>
      </c>
      <c r="B361" s="1">
        <v>45756.710416667003</v>
      </c>
      <c r="C361" t="s">
        <v>470</v>
      </c>
    </row>
    <row r="362" spans="1:3" x14ac:dyDescent="0.25">
      <c r="A362" s="1">
        <v>45756.772916667003</v>
      </c>
      <c r="B362" s="1">
        <v>45756.710416667003</v>
      </c>
      <c r="C362" t="s">
        <v>471</v>
      </c>
    </row>
    <row r="363" spans="1:3" x14ac:dyDescent="0.25">
      <c r="A363" s="1">
        <v>45756.8125</v>
      </c>
      <c r="B363" s="1">
        <v>45756.712500000001</v>
      </c>
      <c r="C363" t="s">
        <v>329</v>
      </c>
    </row>
    <row r="364" spans="1:3" x14ac:dyDescent="0.25">
      <c r="A364" s="1">
        <v>45756.712500000001</v>
      </c>
      <c r="B364" s="1">
        <v>45756.712500000001</v>
      </c>
      <c r="C364" t="s">
        <v>621</v>
      </c>
    </row>
    <row r="365" spans="1:3" x14ac:dyDescent="0.25">
      <c r="A365" s="1">
        <v>45756.712500000001</v>
      </c>
      <c r="B365" s="1">
        <v>45756.712500000001</v>
      </c>
      <c r="C365" t="s">
        <v>363</v>
      </c>
    </row>
    <row r="366" spans="1:3" x14ac:dyDescent="0.25">
      <c r="A366" s="1">
        <v>45756.785416667</v>
      </c>
      <c r="B366" s="1">
        <v>45756.712500000001</v>
      </c>
      <c r="C366" t="s">
        <v>45</v>
      </c>
    </row>
    <row r="367" spans="1:3" x14ac:dyDescent="0.25">
      <c r="A367" s="1">
        <v>45756.712500000001</v>
      </c>
      <c r="B367" s="1">
        <v>45756.712500000001</v>
      </c>
      <c r="C367" t="s">
        <v>712</v>
      </c>
    </row>
    <row r="368" spans="1:3" x14ac:dyDescent="0.25">
      <c r="A368" s="1">
        <v>45756.827083333003</v>
      </c>
      <c r="B368" s="1">
        <v>45756.712500000001</v>
      </c>
      <c r="C368" t="s">
        <v>393</v>
      </c>
    </row>
    <row r="369" spans="1:3" x14ac:dyDescent="0.25">
      <c r="A369" s="1">
        <v>45756.712500000001</v>
      </c>
      <c r="B369" s="1">
        <v>45756.712500000001</v>
      </c>
      <c r="C369" t="s">
        <v>247</v>
      </c>
    </row>
    <row r="370" spans="1:3" x14ac:dyDescent="0.25">
      <c r="A370" s="1">
        <v>45756.75</v>
      </c>
      <c r="B370" s="1">
        <v>45756.712500000001</v>
      </c>
      <c r="C370" t="s">
        <v>246</v>
      </c>
    </row>
    <row r="371" spans="1:3" x14ac:dyDescent="0.25">
      <c r="A371" s="1">
        <v>45756.822916666999</v>
      </c>
      <c r="B371" s="1">
        <v>45756.714583333</v>
      </c>
      <c r="C371" t="s">
        <v>65</v>
      </c>
    </row>
    <row r="372" spans="1:3" x14ac:dyDescent="0.25">
      <c r="A372" s="1">
        <v>45756.818749999999</v>
      </c>
      <c r="B372" s="1">
        <v>45756.714583333</v>
      </c>
      <c r="C372" t="s">
        <v>65</v>
      </c>
    </row>
    <row r="373" spans="1:3" x14ac:dyDescent="0.25">
      <c r="A373" s="1">
        <v>45756.714583333</v>
      </c>
      <c r="B373" s="1">
        <v>45756.714583333</v>
      </c>
      <c r="C373" t="s">
        <v>250</v>
      </c>
    </row>
    <row r="374" spans="1:3" x14ac:dyDescent="0.25">
      <c r="A374" s="1">
        <v>45756.714583333</v>
      </c>
      <c r="B374" s="1">
        <v>45756.714583333</v>
      </c>
      <c r="C374" t="s">
        <v>142</v>
      </c>
    </row>
    <row r="375" spans="1:3" x14ac:dyDescent="0.25">
      <c r="A375" s="1">
        <v>45756.770833333001</v>
      </c>
      <c r="B375" s="1">
        <v>45756.714583333</v>
      </c>
      <c r="C375" t="s">
        <v>640</v>
      </c>
    </row>
    <row r="376" spans="1:3" x14ac:dyDescent="0.25">
      <c r="A376" s="1">
        <v>45756.833333333001</v>
      </c>
      <c r="B376" s="1">
        <v>45756.716666667002</v>
      </c>
      <c r="C376" t="s">
        <v>53</v>
      </c>
    </row>
    <row r="377" spans="1:3" x14ac:dyDescent="0.25">
      <c r="A377" s="1">
        <v>45756.716666667002</v>
      </c>
      <c r="B377" s="1">
        <v>45756.716666667002</v>
      </c>
      <c r="C377" t="s">
        <v>397</v>
      </c>
    </row>
    <row r="378" spans="1:3" x14ac:dyDescent="0.25">
      <c r="A378" s="1">
        <v>45756.75</v>
      </c>
      <c r="B378" s="1">
        <v>45756.71875</v>
      </c>
      <c r="C378" t="s">
        <v>481</v>
      </c>
    </row>
    <row r="379" spans="1:3" x14ac:dyDescent="0.25">
      <c r="A379" s="1">
        <v>45756.71875</v>
      </c>
      <c r="B379" s="1">
        <v>45756.71875</v>
      </c>
      <c r="C379" t="s">
        <v>474</v>
      </c>
    </row>
    <row r="380" spans="1:3" x14ac:dyDescent="0.25">
      <c r="A380" s="1">
        <v>45756.779166667002</v>
      </c>
      <c r="B380" s="1">
        <v>45756.71875</v>
      </c>
      <c r="C380" t="s">
        <v>241</v>
      </c>
    </row>
    <row r="381" spans="1:3" x14ac:dyDescent="0.25">
      <c r="A381" s="1">
        <v>45756.71875</v>
      </c>
      <c r="B381" s="1">
        <v>45756.71875</v>
      </c>
      <c r="C381" t="s">
        <v>600</v>
      </c>
    </row>
    <row r="382" spans="1:3" x14ac:dyDescent="0.25">
      <c r="A382" s="1">
        <v>45756.816666667</v>
      </c>
      <c r="B382" s="1">
        <v>45756.71875</v>
      </c>
      <c r="C382" t="s">
        <v>236</v>
      </c>
    </row>
    <row r="383" spans="1:3" x14ac:dyDescent="0.25">
      <c r="A383" s="1">
        <v>45757.785416667</v>
      </c>
      <c r="B383" s="1">
        <v>45756.71875</v>
      </c>
      <c r="C383" t="s">
        <v>236</v>
      </c>
    </row>
    <row r="384" spans="1:3" x14ac:dyDescent="0.25">
      <c r="A384" s="1">
        <v>45756.71875</v>
      </c>
      <c r="B384" s="1">
        <v>45756.71875</v>
      </c>
      <c r="C384" t="s">
        <v>587</v>
      </c>
    </row>
    <row r="385" spans="1:3" x14ac:dyDescent="0.25">
      <c r="A385" s="1">
        <v>45756.822916666999</v>
      </c>
      <c r="B385" s="1">
        <v>45756.71875</v>
      </c>
      <c r="C385" t="s">
        <v>587</v>
      </c>
    </row>
    <row r="386" spans="1:3" x14ac:dyDescent="0.25">
      <c r="A386" s="1">
        <v>45756.802083333001</v>
      </c>
      <c r="B386" s="1">
        <v>45756.71875</v>
      </c>
      <c r="C386" t="s">
        <v>36</v>
      </c>
    </row>
    <row r="387" spans="1:3" x14ac:dyDescent="0.25">
      <c r="A387" s="1">
        <v>45756.720833332998</v>
      </c>
      <c r="B387" s="1">
        <v>45756.720833332998</v>
      </c>
      <c r="C387" t="s">
        <v>276</v>
      </c>
    </row>
    <row r="388" spans="1:3" x14ac:dyDescent="0.25">
      <c r="A388" s="1">
        <v>45756.802083333001</v>
      </c>
      <c r="B388" s="1">
        <v>45756.720833332998</v>
      </c>
      <c r="C388" t="s">
        <v>276</v>
      </c>
    </row>
    <row r="389" spans="1:3" x14ac:dyDescent="0.25">
      <c r="A389" s="1">
        <v>45757.78125</v>
      </c>
      <c r="B389" s="1">
        <v>45756.720833332998</v>
      </c>
      <c r="C389" t="s">
        <v>610</v>
      </c>
    </row>
    <row r="390" spans="1:3" x14ac:dyDescent="0.25">
      <c r="A390" s="1">
        <v>45756.800000000003</v>
      </c>
      <c r="B390" s="1">
        <v>45756.720833332998</v>
      </c>
      <c r="C390" t="s">
        <v>161</v>
      </c>
    </row>
    <row r="391" spans="1:3" x14ac:dyDescent="0.25">
      <c r="A391" s="1">
        <v>45756.720833332998</v>
      </c>
      <c r="B391" s="1">
        <v>45756.720833332998</v>
      </c>
      <c r="C391" t="s">
        <v>548</v>
      </c>
    </row>
    <row r="392" spans="1:3" x14ac:dyDescent="0.25">
      <c r="A392" s="1">
        <v>45756.722916667</v>
      </c>
      <c r="B392" s="1">
        <v>45756.722916667</v>
      </c>
      <c r="C392" t="s">
        <v>180</v>
      </c>
    </row>
    <row r="393" spans="1:3" x14ac:dyDescent="0.25">
      <c r="A393" s="1">
        <v>45756.824999999997</v>
      </c>
      <c r="B393" s="1">
        <v>45756.722916667</v>
      </c>
      <c r="C393" t="s">
        <v>491</v>
      </c>
    </row>
    <row r="394" spans="1:3" x14ac:dyDescent="0.25">
      <c r="A394" s="1">
        <v>45756.835416667003</v>
      </c>
      <c r="B394" s="1">
        <v>45756.722916667</v>
      </c>
      <c r="C394" t="s">
        <v>807</v>
      </c>
    </row>
    <row r="395" spans="1:3" x14ac:dyDescent="0.25">
      <c r="A395" s="1">
        <v>45756.722916667</v>
      </c>
      <c r="B395" s="1">
        <v>45756.722916667</v>
      </c>
      <c r="C395" t="s">
        <v>808</v>
      </c>
    </row>
    <row r="396" spans="1:3" x14ac:dyDescent="0.25">
      <c r="A396" s="1">
        <v>45756.820833332997</v>
      </c>
      <c r="B396" s="1">
        <v>45756.724999999999</v>
      </c>
      <c r="C396" t="s">
        <v>151</v>
      </c>
    </row>
    <row r="397" spans="1:3" x14ac:dyDescent="0.25">
      <c r="A397" s="1">
        <v>45756.724999999999</v>
      </c>
      <c r="B397" s="1">
        <v>45756.724999999999</v>
      </c>
      <c r="C397" t="s">
        <v>263</v>
      </c>
    </row>
    <row r="398" spans="1:3" x14ac:dyDescent="0.25">
      <c r="A398" s="1">
        <v>45756.724999999999</v>
      </c>
      <c r="B398" s="1">
        <v>45756.724999999999</v>
      </c>
      <c r="C398" t="s">
        <v>130</v>
      </c>
    </row>
    <row r="399" spans="1:3" x14ac:dyDescent="0.25">
      <c r="A399" s="1">
        <v>45756.829166666997</v>
      </c>
      <c r="B399" s="1">
        <v>45756.724999999999</v>
      </c>
      <c r="C399" t="s">
        <v>130</v>
      </c>
    </row>
    <row r="400" spans="1:3" x14ac:dyDescent="0.25">
      <c r="A400" s="1">
        <v>45756.845833332998</v>
      </c>
      <c r="B400" s="1">
        <v>45756.727083332997</v>
      </c>
      <c r="C400" t="s">
        <v>127</v>
      </c>
    </row>
    <row r="401" spans="1:3" x14ac:dyDescent="0.25">
      <c r="A401" s="1">
        <v>45756.727083332997</v>
      </c>
      <c r="B401" s="1">
        <v>45756.727083332997</v>
      </c>
      <c r="C401" t="s">
        <v>127</v>
      </c>
    </row>
    <row r="402" spans="1:3" x14ac:dyDescent="0.25">
      <c r="A402" s="1">
        <v>45756.845833332998</v>
      </c>
      <c r="B402" s="1">
        <v>45756.727083332997</v>
      </c>
      <c r="C402" t="s">
        <v>315</v>
      </c>
    </row>
    <row r="403" spans="1:3" x14ac:dyDescent="0.25">
      <c r="A403" s="1">
        <v>45756.727083332997</v>
      </c>
      <c r="B403" s="1">
        <v>45756.727083332997</v>
      </c>
      <c r="C403" t="s">
        <v>120</v>
      </c>
    </row>
    <row r="404" spans="1:3" x14ac:dyDescent="0.25">
      <c r="A404" s="1">
        <v>45756.764583333003</v>
      </c>
      <c r="B404" s="1">
        <v>45756.727083332997</v>
      </c>
      <c r="C404" t="s">
        <v>374</v>
      </c>
    </row>
    <row r="405" spans="1:3" x14ac:dyDescent="0.25">
      <c r="A405" s="1">
        <v>45756.729166666999</v>
      </c>
      <c r="B405" s="1">
        <v>45756.729166666999</v>
      </c>
      <c r="C405" t="s">
        <v>205</v>
      </c>
    </row>
    <row r="406" spans="1:3" x14ac:dyDescent="0.25">
      <c r="A406" s="1">
        <v>45756.8125</v>
      </c>
      <c r="B406" s="1">
        <v>45756.729166666999</v>
      </c>
      <c r="C406" t="s">
        <v>349</v>
      </c>
    </row>
    <row r="407" spans="1:3" x14ac:dyDescent="0.25">
      <c r="A407" s="1">
        <v>45756.729166666999</v>
      </c>
      <c r="B407" s="1">
        <v>45756.729166666999</v>
      </c>
      <c r="C407" t="s">
        <v>522</v>
      </c>
    </row>
    <row r="408" spans="1:3" x14ac:dyDescent="0.25">
      <c r="A408" s="1">
        <v>45756.783333332998</v>
      </c>
      <c r="B408" s="1">
        <v>45756.729166666999</v>
      </c>
      <c r="C408" t="s">
        <v>163</v>
      </c>
    </row>
    <row r="409" spans="1:3" x14ac:dyDescent="0.25">
      <c r="A409" s="1">
        <v>45756.729166666999</v>
      </c>
      <c r="B409" s="1">
        <v>45756.729166666999</v>
      </c>
      <c r="C409" t="s">
        <v>99</v>
      </c>
    </row>
    <row r="410" spans="1:3" x14ac:dyDescent="0.25">
      <c r="A410" s="1">
        <v>45756.747916667002</v>
      </c>
      <c r="B410" s="1">
        <v>45756.729166666999</v>
      </c>
      <c r="C410" t="s">
        <v>483</v>
      </c>
    </row>
    <row r="411" spans="1:3" x14ac:dyDescent="0.25">
      <c r="A411" s="1">
        <v>45756.731249999997</v>
      </c>
      <c r="B411" s="1">
        <v>45756.731249999997</v>
      </c>
      <c r="C411" t="s">
        <v>618</v>
      </c>
    </row>
    <row r="412" spans="1:3" x14ac:dyDescent="0.25">
      <c r="A412" s="1">
        <v>45756.795833333003</v>
      </c>
      <c r="B412" s="1">
        <v>45756.731249999997</v>
      </c>
      <c r="C412" t="s">
        <v>647</v>
      </c>
    </row>
    <row r="413" spans="1:3" x14ac:dyDescent="0.25">
      <c r="A413" s="1">
        <v>45756.829166666997</v>
      </c>
      <c r="B413" s="1">
        <v>45756.731249999997</v>
      </c>
      <c r="C413" t="s">
        <v>139</v>
      </c>
    </row>
    <row r="414" spans="1:3" x14ac:dyDescent="0.25">
      <c r="A414" s="1">
        <v>45756.731249999997</v>
      </c>
      <c r="B414" s="1">
        <v>45756.731249999997</v>
      </c>
      <c r="C414" t="s">
        <v>614</v>
      </c>
    </row>
    <row r="415" spans="1:3" x14ac:dyDescent="0.25">
      <c r="A415" s="1">
        <v>45756.733333333003</v>
      </c>
      <c r="B415" s="1">
        <v>45756.733333333003</v>
      </c>
      <c r="C415" t="s">
        <v>190</v>
      </c>
    </row>
    <row r="416" spans="1:3" x14ac:dyDescent="0.25">
      <c r="A416" s="1">
        <v>45756.768750000003</v>
      </c>
      <c r="B416" s="1">
        <v>45756.733333333003</v>
      </c>
      <c r="C416" t="s">
        <v>521</v>
      </c>
    </row>
    <row r="417" spans="1:3" x14ac:dyDescent="0.25">
      <c r="A417" s="1">
        <v>45756.816666667</v>
      </c>
      <c r="B417" s="1">
        <v>45756.733333333003</v>
      </c>
      <c r="C417" t="s">
        <v>510</v>
      </c>
    </row>
    <row r="418" spans="1:3" x14ac:dyDescent="0.25">
      <c r="A418" s="1">
        <v>45756.733333333003</v>
      </c>
      <c r="B418" s="1">
        <v>45756.733333333003</v>
      </c>
      <c r="C418" t="s">
        <v>583</v>
      </c>
    </row>
    <row r="419" spans="1:3" x14ac:dyDescent="0.25">
      <c r="A419" s="1">
        <v>45756.733333333003</v>
      </c>
      <c r="B419" s="1">
        <v>45756.733333333003</v>
      </c>
      <c r="C419" t="s">
        <v>636</v>
      </c>
    </row>
    <row r="420" spans="1:3" x14ac:dyDescent="0.25">
      <c r="A420" s="1">
        <v>45756.845833332998</v>
      </c>
      <c r="B420" s="1">
        <v>45756.733333333003</v>
      </c>
      <c r="C420" t="s">
        <v>211</v>
      </c>
    </row>
    <row r="421" spans="1:3" x14ac:dyDescent="0.25">
      <c r="A421" s="1">
        <v>45756.829166666997</v>
      </c>
      <c r="B421" s="1">
        <v>45756.733333333003</v>
      </c>
      <c r="C421" t="s">
        <v>330</v>
      </c>
    </row>
    <row r="422" spans="1:3" x14ac:dyDescent="0.25">
      <c r="A422" s="1">
        <v>45756.733333333003</v>
      </c>
      <c r="B422" s="1">
        <v>45756.733333333003</v>
      </c>
      <c r="C422" t="s">
        <v>258</v>
      </c>
    </row>
    <row r="423" spans="1:3" x14ac:dyDescent="0.25">
      <c r="A423" s="1">
        <v>45756.735416666997</v>
      </c>
      <c r="B423" s="1">
        <v>45756.735416666997</v>
      </c>
      <c r="C423" t="s">
        <v>16</v>
      </c>
    </row>
    <row r="424" spans="1:3" x14ac:dyDescent="0.25">
      <c r="A424" s="1">
        <v>45756.822916666999</v>
      </c>
      <c r="B424" s="1">
        <v>45756.735416666997</v>
      </c>
      <c r="C424" t="s">
        <v>131</v>
      </c>
    </row>
    <row r="425" spans="1:3" x14ac:dyDescent="0.25">
      <c r="A425" s="1">
        <v>45756.737500000003</v>
      </c>
      <c r="B425" s="1">
        <v>45756.737500000003</v>
      </c>
      <c r="C425" t="s">
        <v>128</v>
      </c>
    </row>
    <row r="426" spans="1:3" x14ac:dyDescent="0.25">
      <c r="A426" s="1">
        <v>45756.766666666997</v>
      </c>
      <c r="B426" s="1">
        <v>45756.737500000003</v>
      </c>
      <c r="C426" t="s">
        <v>388</v>
      </c>
    </row>
    <row r="427" spans="1:3" x14ac:dyDescent="0.25">
      <c r="A427" s="1">
        <v>45756.737500000003</v>
      </c>
      <c r="B427" s="1">
        <v>45756.737500000003</v>
      </c>
      <c r="C427" t="s">
        <v>425</v>
      </c>
    </row>
    <row r="428" spans="1:3" x14ac:dyDescent="0.25">
      <c r="A428" s="1">
        <v>45756.84375</v>
      </c>
      <c r="B428" s="1">
        <v>45756.737500000003</v>
      </c>
      <c r="C428" t="s">
        <v>681</v>
      </c>
    </row>
    <row r="429" spans="1:3" x14ac:dyDescent="0.25">
      <c r="A429" s="1">
        <v>45756.84375</v>
      </c>
      <c r="B429" s="1">
        <v>45756.739583333001</v>
      </c>
      <c r="C429" t="s">
        <v>204</v>
      </c>
    </row>
    <row r="430" spans="1:3" x14ac:dyDescent="0.25">
      <c r="A430" s="1">
        <v>45756.739583333001</v>
      </c>
      <c r="B430" s="1">
        <v>45756.739583333001</v>
      </c>
      <c r="C430" t="s">
        <v>371</v>
      </c>
    </row>
    <row r="431" spans="1:3" x14ac:dyDescent="0.25">
      <c r="A431" s="1">
        <v>45756.797916666997</v>
      </c>
      <c r="B431" s="1">
        <v>45756.741666667003</v>
      </c>
      <c r="C431" t="s">
        <v>442</v>
      </c>
    </row>
    <row r="432" spans="1:3" x14ac:dyDescent="0.25">
      <c r="A432" s="1">
        <v>45756.741666667003</v>
      </c>
      <c r="B432" s="1">
        <v>45756.741666667003</v>
      </c>
      <c r="C432" t="s">
        <v>454</v>
      </c>
    </row>
    <row r="433" spans="1:3" x14ac:dyDescent="0.25">
      <c r="A433" s="1">
        <v>45756.741666667003</v>
      </c>
      <c r="B433" s="1">
        <v>45756.741666667003</v>
      </c>
      <c r="C433" t="s">
        <v>537</v>
      </c>
    </row>
    <row r="434" spans="1:3" x14ac:dyDescent="0.25">
      <c r="A434" s="1">
        <v>45756.797916666997</v>
      </c>
      <c r="B434" s="1">
        <v>45756.741666667003</v>
      </c>
      <c r="C434" t="s">
        <v>19</v>
      </c>
    </row>
    <row r="435" spans="1:3" x14ac:dyDescent="0.25">
      <c r="A435" s="1">
        <v>45756.743750000001</v>
      </c>
      <c r="B435" s="1">
        <v>45756.743750000001</v>
      </c>
      <c r="C435" t="s">
        <v>465</v>
      </c>
    </row>
    <row r="436" spans="1:3" x14ac:dyDescent="0.25">
      <c r="A436" s="1">
        <v>45756.78125</v>
      </c>
      <c r="B436" s="1">
        <v>45756.743750000001</v>
      </c>
      <c r="C436" t="s">
        <v>607</v>
      </c>
    </row>
    <row r="437" spans="1:3" x14ac:dyDescent="0.25">
      <c r="A437" s="1">
        <v>45756.829166666997</v>
      </c>
      <c r="B437" s="1">
        <v>45756.745833333</v>
      </c>
      <c r="C437" t="s">
        <v>358</v>
      </c>
    </row>
    <row r="438" spans="1:3" x14ac:dyDescent="0.25">
      <c r="A438" s="1">
        <v>45756.745833333</v>
      </c>
      <c r="B438" s="1">
        <v>45756.745833333</v>
      </c>
      <c r="C438" t="s">
        <v>358</v>
      </c>
    </row>
    <row r="439" spans="1:3" x14ac:dyDescent="0.25">
      <c r="A439" s="1">
        <v>45756.760416666999</v>
      </c>
      <c r="B439" s="1">
        <v>45756.745833333</v>
      </c>
      <c r="C439" t="s">
        <v>125</v>
      </c>
    </row>
    <row r="440" spans="1:3" x14ac:dyDescent="0.25">
      <c r="A440" s="1">
        <v>45756.783333332998</v>
      </c>
      <c r="B440" s="1">
        <v>45756.745833333</v>
      </c>
      <c r="C440" t="s">
        <v>285</v>
      </c>
    </row>
    <row r="441" spans="1:3" x14ac:dyDescent="0.25">
      <c r="A441" s="1">
        <v>45756.745833333</v>
      </c>
      <c r="B441" s="1">
        <v>45756.745833333</v>
      </c>
      <c r="C441" t="s">
        <v>299</v>
      </c>
    </row>
    <row r="442" spans="1:3" x14ac:dyDescent="0.25">
      <c r="A442" s="1">
        <v>45756.747916667002</v>
      </c>
      <c r="B442" s="1">
        <v>45756.747916667002</v>
      </c>
      <c r="C442" t="s">
        <v>73</v>
      </c>
    </row>
    <row r="443" spans="1:3" x14ac:dyDescent="0.25">
      <c r="A443" s="1">
        <v>45756.831250000003</v>
      </c>
      <c r="B443" s="1">
        <v>45756.747916667002</v>
      </c>
      <c r="C443" t="s">
        <v>73</v>
      </c>
    </row>
    <row r="444" spans="1:3" x14ac:dyDescent="0.25">
      <c r="A444" s="1">
        <v>45756.762499999997</v>
      </c>
      <c r="B444" s="1">
        <v>45756.762499999997</v>
      </c>
      <c r="C444" t="s">
        <v>24</v>
      </c>
    </row>
    <row r="445" spans="1:3" x14ac:dyDescent="0.25">
      <c r="A445" s="1">
        <v>45756.789583332997</v>
      </c>
      <c r="B445" s="1">
        <v>45756.762499999997</v>
      </c>
      <c r="C445" t="s">
        <v>24</v>
      </c>
    </row>
    <row r="446" spans="1:3" x14ac:dyDescent="0.25">
      <c r="A446" s="1">
        <v>45756.777083333</v>
      </c>
      <c r="B446" s="1">
        <v>45756.762499999997</v>
      </c>
      <c r="C446" t="s">
        <v>489</v>
      </c>
    </row>
    <row r="447" spans="1:3" x14ac:dyDescent="0.25">
      <c r="A447" s="1">
        <v>45757.829166666997</v>
      </c>
      <c r="B447" s="1">
        <v>45756.762499999997</v>
      </c>
      <c r="C447" t="s">
        <v>489</v>
      </c>
    </row>
    <row r="448" spans="1:3" x14ac:dyDescent="0.25">
      <c r="A448" s="1">
        <v>45756.762499999997</v>
      </c>
      <c r="B448" s="1">
        <v>45756.762499999997</v>
      </c>
      <c r="C448" t="s">
        <v>98</v>
      </c>
    </row>
    <row r="449" spans="1:3" x14ac:dyDescent="0.25">
      <c r="A449" s="1">
        <v>45757.829166666997</v>
      </c>
      <c r="B449" s="1">
        <v>45756.762499999997</v>
      </c>
      <c r="C449" t="s">
        <v>98</v>
      </c>
    </row>
    <row r="450" spans="1:3" x14ac:dyDescent="0.25">
      <c r="A450" s="1">
        <v>45756.841666667002</v>
      </c>
      <c r="B450" s="1">
        <v>45756.764583333003</v>
      </c>
      <c r="C450" t="s">
        <v>12</v>
      </c>
    </row>
    <row r="451" spans="1:3" x14ac:dyDescent="0.25">
      <c r="A451" s="1">
        <v>45756.764583333003</v>
      </c>
      <c r="B451" s="1">
        <v>45756.764583333003</v>
      </c>
      <c r="C451" t="s">
        <v>12</v>
      </c>
    </row>
    <row r="452" spans="1:3" x14ac:dyDescent="0.25">
      <c r="A452" s="1">
        <v>45756.818749999999</v>
      </c>
      <c r="B452" s="1">
        <v>45756.818749999999</v>
      </c>
      <c r="C452" t="s">
        <v>217</v>
      </c>
    </row>
    <row r="453" spans="1:3" x14ac:dyDescent="0.25">
      <c r="A453" s="1">
        <v>45756.837500000001</v>
      </c>
      <c r="B453" s="1">
        <v>45756.818749999999</v>
      </c>
      <c r="C453" t="s">
        <v>217</v>
      </c>
    </row>
    <row r="454" spans="1:3" x14ac:dyDescent="0.25">
      <c r="A454" s="1">
        <v>45756.824999999997</v>
      </c>
      <c r="B454" s="1">
        <v>45756.824999999997</v>
      </c>
      <c r="C454" t="s">
        <v>187</v>
      </c>
    </row>
    <row r="455" spans="1:3" x14ac:dyDescent="0.25">
      <c r="A455" s="1">
        <v>45756.835416667003</v>
      </c>
      <c r="B455" s="1">
        <v>45756.824999999997</v>
      </c>
      <c r="C455" t="s">
        <v>187</v>
      </c>
    </row>
    <row r="456" spans="1:3" x14ac:dyDescent="0.25">
      <c r="A456" s="1">
        <v>45756.831250000003</v>
      </c>
      <c r="B456" s="1">
        <v>45756.827083333003</v>
      </c>
      <c r="C456" t="s">
        <v>261</v>
      </c>
    </row>
    <row r="457" spans="1:3" x14ac:dyDescent="0.25">
      <c r="A457" s="1">
        <v>45756.827083333003</v>
      </c>
      <c r="B457" s="1">
        <v>45756.827083333003</v>
      </c>
      <c r="C457" t="s">
        <v>261</v>
      </c>
    </row>
    <row r="458" spans="1:3" x14ac:dyDescent="0.25">
      <c r="A458" s="1">
        <v>45757.797916666997</v>
      </c>
      <c r="B458" s="1">
        <v>45757.710416667003</v>
      </c>
      <c r="C458" t="s">
        <v>337</v>
      </c>
    </row>
    <row r="459" spans="1:3" x14ac:dyDescent="0.25">
      <c r="A459" s="1">
        <v>45757.841666667002</v>
      </c>
      <c r="B459" s="1">
        <v>45757.710416667003</v>
      </c>
      <c r="C459" t="s">
        <v>158</v>
      </c>
    </row>
    <row r="460" spans="1:3" x14ac:dyDescent="0.25">
      <c r="A460" s="1">
        <v>45757.839583333</v>
      </c>
      <c r="B460" s="1">
        <v>45757.710416667003</v>
      </c>
      <c r="C460" t="s">
        <v>82</v>
      </c>
    </row>
    <row r="461" spans="1:3" x14ac:dyDescent="0.25">
      <c r="A461" s="1">
        <v>45757.710416667003</v>
      </c>
      <c r="B461" s="1">
        <v>45757.710416667003</v>
      </c>
      <c r="C461" t="s">
        <v>188</v>
      </c>
    </row>
    <row r="462" spans="1:3" x14ac:dyDescent="0.25">
      <c r="A462" s="1">
        <v>45757.760416666999</v>
      </c>
      <c r="B462" s="1">
        <v>45757.710416667003</v>
      </c>
      <c r="C462" t="s">
        <v>90</v>
      </c>
    </row>
    <row r="463" spans="1:3" x14ac:dyDescent="0.25">
      <c r="A463" s="1">
        <v>45757.712500000001</v>
      </c>
      <c r="B463" s="1">
        <v>45757.712500000001</v>
      </c>
      <c r="C463" t="s">
        <v>406</v>
      </c>
    </row>
    <row r="464" spans="1:3" x14ac:dyDescent="0.25">
      <c r="A464" s="1">
        <v>45757.737500000003</v>
      </c>
      <c r="B464" s="1">
        <v>45757.712500000001</v>
      </c>
      <c r="C464" t="s">
        <v>406</v>
      </c>
    </row>
    <row r="465" spans="1:3" x14ac:dyDescent="0.25">
      <c r="A465" s="1">
        <v>45757.833333333001</v>
      </c>
      <c r="B465" s="1">
        <v>45757.712500000001</v>
      </c>
      <c r="C465" t="s">
        <v>122</v>
      </c>
    </row>
    <row r="466" spans="1:3" x14ac:dyDescent="0.25">
      <c r="A466" s="1">
        <v>45757.770833333001</v>
      </c>
      <c r="B466" s="1">
        <v>45757.712500000001</v>
      </c>
      <c r="C466" t="s">
        <v>532</v>
      </c>
    </row>
    <row r="467" spans="1:3" x14ac:dyDescent="0.25">
      <c r="A467" s="1">
        <v>45757.795833333003</v>
      </c>
      <c r="B467" s="1">
        <v>45757.712500000001</v>
      </c>
      <c r="C467" t="s">
        <v>300</v>
      </c>
    </row>
    <row r="468" spans="1:3" x14ac:dyDescent="0.25">
      <c r="A468" s="1">
        <v>45757.847916667</v>
      </c>
      <c r="B468" s="1">
        <v>45757.712500000001</v>
      </c>
      <c r="C468" t="s">
        <v>88</v>
      </c>
    </row>
    <row r="469" spans="1:3" x14ac:dyDescent="0.25">
      <c r="A469" s="1">
        <v>45757.712500000001</v>
      </c>
      <c r="B469" s="1">
        <v>45757.712500000001</v>
      </c>
      <c r="C469" t="s">
        <v>88</v>
      </c>
    </row>
    <row r="470" spans="1:3" x14ac:dyDescent="0.25">
      <c r="A470" s="1">
        <v>45757.714583333</v>
      </c>
      <c r="B470" s="1">
        <v>45757.714583333</v>
      </c>
      <c r="C470" t="s">
        <v>660</v>
      </c>
    </row>
    <row r="471" spans="1:3" x14ac:dyDescent="0.25">
      <c r="A471" s="1">
        <v>45757.822916666999</v>
      </c>
      <c r="B471" s="1">
        <v>45757.714583333</v>
      </c>
      <c r="C471" t="s">
        <v>451</v>
      </c>
    </row>
    <row r="472" spans="1:3" x14ac:dyDescent="0.25">
      <c r="A472" s="1">
        <v>45757.818749999999</v>
      </c>
      <c r="B472" s="1">
        <v>45757.714583333</v>
      </c>
      <c r="C472" t="s">
        <v>210</v>
      </c>
    </row>
    <row r="473" spans="1:3" x14ac:dyDescent="0.25">
      <c r="A473" s="1">
        <v>45757.789583332997</v>
      </c>
      <c r="B473" s="1">
        <v>45757.714583333</v>
      </c>
      <c r="C473" t="s">
        <v>225</v>
      </c>
    </row>
    <row r="474" spans="1:3" x14ac:dyDescent="0.25">
      <c r="A474" s="1">
        <v>45757.835416667003</v>
      </c>
      <c r="B474" s="1">
        <v>45757.714583333</v>
      </c>
      <c r="C474" t="s">
        <v>225</v>
      </c>
    </row>
    <row r="475" spans="1:3" x14ac:dyDescent="0.25">
      <c r="A475" s="1">
        <v>45757.714583333</v>
      </c>
      <c r="B475" s="1">
        <v>45757.714583333</v>
      </c>
      <c r="C475" t="s">
        <v>225</v>
      </c>
    </row>
    <row r="476" spans="1:3" x14ac:dyDescent="0.25">
      <c r="A476" s="1">
        <v>45757.847916667</v>
      </c>
      <c r="B476" s="1">
        <v>45757.720833332998</v>
      </c>
      <c r="C476" t="s">
        <v>318</v>
      </c>
    </row>
    <row r="477" spans="1:3" x14ac:dyDescent="0.25">
      <c r="A477" s="1">
        <v>45757.720833332998</v>
      </c>
      <c r="B477" s="1">
        <v>45757.720833332998</v>
      </c>
      <c r="C477" t="s">
        <v>318</v>
      </c>
    </row>
    <row r="478" spans="1:3" x14ac:dyDescent="0.25">
      <c r="A478" s="1">
        <v>45757.739583333001</v>
      </c>
      <c r="B478" s="1">
        <v>45757.720833332998</v>
      </c>
      <c r="C478" t="s">
        <v>55</v>
      </c>
    </row>
    <row r="479" spans="1:3" x14ac:dyDescent="0.25">
      <c r="A479" s="1">
        <v>45757.795833333003</v>
      </c>
      <c r="B479" s="1">
        <v>45757.720833332998</v>
      </c>
      <c r="C479" t="s">
        <v>55</v>
      </c>
    </row>
    <row r="480" spans="1:3" x14ac:dyDescent="0.25">
      <c r="A480" s="1">
        <v>45757.84375</v>
      </c>
      <c r="B480" s="1">
        <v>45757.720833332998</v>
      </c>
      <c r="C480" t="s">
        <v>304</v>
      </c>
    </row>
    <row r="481" spans="1:3" x14ac:dyDescent="0.25">
      <c r="A481" s="1">
        <v>45757.720833332998</v>
      </c>
      <c r="B481" s="1">
        <v>45757.720833332998</v>
      </c>
      <c r="C481" t="s">
        <v>304</v>
      </c>
    </row>
    <row r="482" spans="1:3" x14ac:dyDescent="0.25">
      <c r="A482" s="1">
        <v>45757.722916667</v>
      </c>
      <c r="B482" s="1">
        <v>45757.722916667</v>
      </c>
      <c r="C482" t="s">
        <v>297</v>
      </c>
    </row>
    <row r="483" spans="1:3" x14ac:dyDescent="0.25">
      <c r="A483" s="1">
        <v>45757.8</v>
      </c>
      <c r="B483" s="1">
        <v>45757.722916667</v>
      </c>
      <c r="C483" t="s">
        <v>297</v>
      </c>
    </row>
    <row r="484" spans="1:3" x14ac:dyDescent="0.25">
      <c r="A484" s="1">
        <v>45757.820833332997</v>
      </c>
      <c r="B484" s="1">
        <v>45757.722916667</v>
      </c>
      <c r="C484" t="s">
        <v>505</v>
      </c>
    </row>
    <row r="485" spans="1:3" x14ac:dyDescent="0.25">
      <c r="A485" s="1">
        <v>45757.722916667</v>
      </c>
      <c r="B485" s="1">
        <v>45757.722916667</v>
      </c>
      <c r="C485" t="s">
        <v>505</v>
      </c>
    </row>
    <row r="486" spans="1:3" x14ac:dyDescent="0.25">
      <c r="A486" s="1">
        <v>45757.724999999999</v>
      </c>
      <c r="B486" s="1">
        <v>45757.724999999999</v>
      </c>
      <c r="C486" t="s">
        <v>157</v>
      </c>
    </row>
    <row r="487" spans="1:3" x14ac:dyDescent="0.25">
      <c r="A487" s="1">
        <v>45757.831250000003</v>
      </c>
      <c r="B487" s="1">
        <v>45757.724999999999</v>
      </c>
      <c r="C487" t="s">
        <v>157</v>
      </c>
    </row>
    <row r="488" spans="1:3" x14ac:dyDescent="0.25">
      <c r="A488" s="1">
        <v>45757.727083332997</v>
      </c>
      <c r="B488" s="1">
        <v>45757.727083332997</v>
      </c>
      <c r="C488" t="s">
        <v>516</v>
      </c>
    </row>
    <row r="489" spans="1:3" x14ac:dyDescent="0.25">
      <c r="A489" s="1">
        <v>45757.814583332998</v>
      </c>
      <c r="B489" s="1">
        <v>45757.727083332997</v>
      </c>
      <c r="C489" t="s">
        <v>516</v>
      </c>
    </row>
    <row r="490" spans="1:3" x14ac:dyDescent="0.25">
      <c r="A490" s="1">
        <v>45757.802083333001</v>
      </c>
      <c r="B490" s="1">
        <v>45757.729166666999</v>
      </c>
      <c r="C490" t="s">
        <v>568</v>
      </c>
    </row>
    <row r="491" spans="1:3" x14ac:dyDescent="0.25">
      <c r="A491" s="1">
        <v>45757.729166666999</v>
      </c>
      <c r="B491" s="1">
        <v>45757.729166666999</v>
      </c>
      <c r="C491" t="s">
        <v>568</v>
      </c>
    </row>
    <row r="492" spans="1:3" x14ac:dyDescent="0.25">
      <c r="A492" s="1">
        <v>45757.837500000001</v>
      </c>
      <c r="B492" s="1">
        <v>45757.729166666999</v>
      </c>
      <c r="C492" t="s">
        <v>328</v>
      </c>
    </row>
    <row r="493" spans="1:3" x14ac:dyDescent="0.25">
      <c r="A493" s="1">
        <v>45757.729166666999</v>
      </c>
      <c r="B493" s="1">
        <v>45757.729166666999</v>
      </c>
      <c r="C493" t="s">
        <v>328</v>
      </c>
    </row>
    <row r="494" spans="1:3" x14ac:dyDescent="0.25">
      <c r="A494" s="1">
        <v>45757.729166666999</v>
      </c>
      <c r="B494" s="1">
        <v>45757.729166666999</v>
      </c>
      <c r="C494" t="s">
        <v>26</v>
      </c>
    </row>
    <row r="495" spans="1:3" x14ac:dyDescent="0.25">
      <c r="A495" s="1">
        <v>45757.791666666999</v>
      </c>
      <c r="B495" s="1">
        <v>45757.729166666999</v>
      </c>
      <c r="C495" t="s">
        <v>26</v>
      </c>
    </row>
    <row r="496" spans="1:3" x14ac:dyDescent="0.25">
      <c r="A496" s="1">
        <v>45757.839583333</v>
      </c>
      <c r="B496" s="1">
        <v>45757.729166666999</v>
      </c>
      <c r="C496" t="s">
        <v>43</v>
      </c>
    </row>
    <row r="497" spans="1:3" x14ac:dyDescent="0.25">
      <c r="A497" s="1">
        <v>45757.816666667</v>
      </c>
      <c r="B497" s="1">
        <v>45757.729166666999</v>
      </c>
      <c r="C497" t="s">
        <v>43</v>
      </c>
    </row>
    <row r="498" spans="1:3" x14ac:dyDescent="0.25">
      <c r="A498" s="1">
        <v>45757.8125</v>
      </c>
      <c r="B498" s="1">
        <v>45757.731249999997</v>
      </c>
      <c r="C498" t="s">
        <v>140</v>
      </c>
    </row>
    <row r="499" spans="1:3" x14ac:dyDescent="0.25">
      <c r="A499" s="1">
        <v>45757.731249999997</v>
      </c>
      <c r="B499" s="1">
        <v>45757.731249999997</v>
      </c>
      <c r="C499" t="s">
        <v>140</v>
      </c>
    </row>
    <row r="500" spans="1:3" x14ac:dyDescent="0.25">
      <c r="A500" s="1">
        <v>45757.733333333003</v>
      </c>
      <c r="B500" s="1">
        <v>45757.733333333003</v>
      </c>
      <c r="C500" t="s">
        <v>173</v>
      </c>
    </row>
    <row r="501" spans="1:3" x14ac:dyDescent="0.25">
      <c r="A501" s="1">
        <v>45757.833333333001</v>
      </c>
      <c r="B501" s="1">
        <v>45757.733333333003</v>
      </c>
      <c r="C501" t="s">
        <v>173</v>
      </c>
    </row>
    <row r="502" spans="1:3" x14ac:dyDescent="0.25">
      <c r="A502" s="1">
        <v>45757.735416666997</v>
      </c>
      <c r="B502" s="1">
        <v>45757.735416666997</v>
      </c>
      <c r="C502" t="s">
        <v>197</v>
      </c>
    </row>
    <row r="503" spans="1:3" x14ac:dyDescent="0.25">
      <c r="A503" s="1">
        <v>45757.84375</v>
      </c>
      <c r="B503" s="1">
        <v>45757.735416666997</v>
      </c>
      <c r="C503" t="s">
        <v>197</v>
      </c>
    </row>
    <row r="504" spans="1:3" x14ac:dyDescent="0.25">
      <c r="A504" s="1">
        <v>45757.802083333001</v>
      </c>
      <c r="B504" s="1">
        <v>45757.739583333001</v>
      </c>
      <c r="C504" t="s">
        <v>232</v>
      </c>
    </row>
    <row r="505" spans="1:3" x14ac:dyDescent="0.25">
      <c r="A505" s="1">
        <v>45757.739583333001</v>
      </c>
      <c r="B505" s="1">
        <v>45757.739583333001</v>
      </c>
      <c r="C505" t="s">
        <v>232</v>
      </c>
    </row>
    <row r="506" spans="1:3" x14ac:dyDescent="0.25">
      <c r="A506" s="1">
        <v>45757.827083333003</v>
      </c>
      <c r="B506" s="1">
        <v>45757.743750000001</v>
      </c>
      <c r="C506" t="s">
        <v>664</v>
      </c>
    </row>
    <row r="507" spans="1:3" x14ac:dyDescent="0.25">
      <c r="A507" s="1">
        <v>45757.743750000001</v>
      </c>
      <c r="B507" s="1">
        <v>45757.743750000001</v>
      </c>
      <c r="C507" t="s">
        <v>664</v>
      </c>
    </row>
    <row r="508" spans="1:3" x14ac:dyDescent="0.25">
      <c r="A508" s="1">
        <v>45757.845833332998</v>
      </c>
      <c r="B508" s="1">
        <v>45757.745833333</v>
      </c>
      <c r="C508" t="s">
        <v>96</v>
      </c>
    </row>
    <row r="509" spans="1:3" x14ac:dyDescent="0.25">
      <c r="A509" s="1">
        <v>45757.745833333</v>
      </c>
      <c r="B509" s="1">
        <v>45757.745833333</v>
      </c>
      <c r="C509" t="s">
        <v>96</v>
      </c>
    </row>
    <row r="510" spans="1:3" x14ac:dyDescent="0.25">
      <c r="A510" s="1">
        <v>45757.814583332998</v>
      </c>
      <c r="B510" s="1">
        <v>45757.745833333</v>
      </c>
      <c r="C510" t="s">
        <v>106</v>
      </c>
    </row>
    <row r="511" spans="1:3" x14ac:dyDescent="0.25">
      <c r="A511" s="1">
        <v>45757.745833333</v>
      </c>
      <c r="B511" s="1">
        <v>45757.745833333</v>
      </c>
      <c r="C511" t="s">
        <v>106</v>
      </c>
    </row>
    <row r="512" spans="1:3" x14ac:dyDescent="0.25">
      <c r="A512" s="1">
        <v>45757.816666667</v>
      </c>
      <c r="B512" s="1">
        <v>45757.760416666999</v>
      </c>
      <c r="C512" t="s">
        <v>564</v>
      </c>
    </row>
    <row r="513" spans="1:3" x14ac:dyDescent="0.25">
      <c r="A513" s="1">
        <v>45757.760416666999</v>
      </c>
      <c r="B513" s="1">
        <v>45757.760416666999</v>
      </c>
      <c r="C513" t="s">
        <v>564</v>
      </c>
    </row>
    <row r="514" spans="1:3" x14ac:dyDescent="0.25">
      <c r="A514" s="1">
        <v>45757.820833332997</v>
      </c>
      <c r="B514" s="1">
        <v>45757.760416666999</v>
      </c>
      <c r="C514" t="s">
        <v>449</v>
      </c>
    </row>
    <row r="515" spans="1:3" x14ac:dyDescent="0.25">
      <c r="A515" s="1">
        <v>45757.760416666999</v>
      </c>
      <c r="B515" s="1">
        <v>45757.760416666999</v>
      </c>
      <c r="C515" t="s">
        <v>449</v>
      </c>
    </row>
    <row r="516" spans="1:3" x14ac:dyDescent="0.25">
      <c r="A516" s="1">
        <v>45757.785416667</v>
      </c>
      <c r="B516" s="1">
        <v>45757.766666666997</v>
      </c>
      <c r="C516" t="s">
        <v>212</v>
      </c>
    </row>
    <row r="517" spans="1:3" x14ac:dyDescent="0.25">
      <c r="A517" s="1">
        <v>45757.766666666997</v>
      </c>
      <c r="B517" s="1">
        <v>45757.766666666997</v>
      </c>
      <c r="C517" t="s">
        <v>212</v>
      </c>
    </row>
    <row r="518" spans="1:3" x14ac:dyDescent="0.25">
      <c r="A518" s="1">
        <v>45757.768750000003</v>
      </c>
      <c r="B518" s="1">
        <v>45757.768750000003</v>
      </c>
      <c r="C518" t="s">
        <v>189</v>
      </c>
    </row>
    <row r="519" spans="1:3" x14ac:dyDescent="0.25">
      <c r="A519" s="1">
        <v>45757.814583332998</v>
      </c>
      <c r="B519" s="1">
        <v>45757.768750000003</v>
      </c>
      <c r="C519" t="s">
        <v>189</v>
      </c>
    </row>
    <row r="520" spans="1:3" x14ac:dyDescent="0.25">
      <c r="A520" s="1">
        <v>45757.783333332998</v>
      </c>
      <c r="B520" s="1">
        <v>45757.775000000001</v>
      </c>
      <c r="C520" t="s">
        <v>750</v>
      </c>
    </row>
    <row r="521" spans="1:3" x14ac:dyDescent="0.25">
      <c r="A521" s="1">
        <v>45757.775000000001</v>
      </c>
      <c r="B521" s="1">
        <v>45757.775000000001</v>
      </c>
      <c r="C521" t="s">
        <v>750</v>
      </c>
    </row>
    <row r="522" spans="1:3" x14ac:dyDescent="0.25">
      <c r="A522" s="1">
        <v>45757.791666666999</v>
      </c>
      <c r="B522" s="1">
        <v>45757.779166667002</v>
      </c>
      <c r="C522" t="s">
        <v>97</v>
      </c>
    </row>
    <row r="523" spans="1:3" x14ac:dyDescent="0.25">
      <c r="A523" s="1">
        <v>45757.779166667002</v>
      </c>
      <c r="B523" s="1">
        <v>45757.779166667002</v>
      </c>
      <c r="C523" t="s">
        <v>97</v>
      </c>
    </row>
    <row r="524" spans="1:3" x14ac:dyDescent="0.25">
      <c r="A524" s="1">
        <v>45757.779166667002</v>
      </c>
      <c r="B524" s="1">
        <v>45757.779166667002</v>
      </c>
      <c r="C524" t="s">
        <v>345</v>
      </c>
    </row>
    <row r="525" spans="1:3" x14ac:dyDescent="0.25">
      <c r="A525" s="1">
        <v>45757.824999999997</v>
      </c>
      <c r="B525" s="1">
        <v>45757.779166667002</v>
      </c>
      <c r="C525" t="s">
        <v>345</v>
      </c>
    </row>
    <row r="526" spans="1:3" x14ac:dyDescent="0.25">
      <c r="A526" s="1">
        <v>45757.785416667</v>
      </c>
      <c r="B526" s="1">
        <v>45757.785416667</v>
      </c>
      <c r="C526" t="s">
        <v>574</v>
      </c>
    </row>
    <row r="527" spans="1:3" x14ac:dyDescent="0.25">
      <c r="A527" s="1">
        <v>45757.802083333001</v>
      </c>
      <c r="B527" s="1">
        <v>45757.785416667</v>
      </c>
      <c r="C527" t="s">
        <v>574</v>
      </c>
    </row>
    <row r="528" spans="1:3" x14ac:dyDescent="0.25">
      <c r="A528" s="1">
        <v>45757.831250000003</v>
      </c>
      <c r="B528" s="1">
        <v>45757.787499999999</v>
      </c>
      <c r="C528" t="s">
        <v>383</v>
      </c>
    </row>
    <row r="529" spans="1:3" x14ac:dyDescent="0.25">
      <c r="A529" s="1">
        <v>45757.787499999999</v>
      </c>
      <c r="B529" s="1">
        <v>45757.787499999999</v>
      </c>
      <c r="C529" t="s">
        <v>383</v>
      </c>
    </row>
    <row r="530" spans="1:3" x14ac:dyDescent="0.25">
      <c r="A530" s="1">
        <v>45757.789583332997</v>
      </c>
      <c r="B530" s="1">
        <v>45757.789583332997</v>
      </c>
      <c r="C530" t="s">
        <v>57</v>
      </c>
    </row>
    <row r="531" spans="1:3" x14ac:dyDescent="0.25">
      <c r="A531" s="1">
        <v>45757.802083333001</v>
      </c>
      <c r="B531" s="1">
        <v>45757.789583332997</v>
      </c>
      <c r="C531" t="s">
        <v>57</v>
      </c>
    </row>
    <row r="532" spans="1:3" x14ac:dyDescent="0.25">
      <c r="A532" s="1">
        <v>45757.789583332997</v>
      </c>
      <c r="B532" s="1">
        <v>45757.789583332997</v>
      </c>
      <c r="C532" t="s">
        <v>684</v>
      </c>
    </row>
    <row r="533" spans="1:3" x14ac:dyDescent="0.25">
      <c r="A533" s="1">
        <v>45757.845833332998</v>
      </c>
      <c r="B533" s="1">
        <v>45757.789583332997</v>
      </c>
      <c r="C533" t="s">
        <v>684</v>
      </c>
    </row>
    <row r="534" spans="1:3" x14ac:dyDescent="0.25">
      <c r="A534" s="1">
        <v>45757.797916666997</v>
      </c>
      <c r="B534" s="1">
        <v>45757.797916666997</v>
      </c>
      <c r="C534" t="s">
        <v>257</v>
      </c>
    </row>
    <row r="535" spans="1:3" x14ac:dyDescent="0.25">
      <c r="A535" s="1">
        <v>45757.831250000003</v>
      </c>
      <c r="B535" s="1">
        <v>45757.797916666997</v>
      </c>
      <c r="C535" t="s">
        <v>257</v>
      </c>
    </row>
    <row r="536" spans="1:3" x14ac:dyDescent="0.25">
      <c r="A536" s="1">
        <v>45757.797916666997</v>
      </c>
      <c r="B536" s="1">
        <v>45757.797916666997</v>
      </c>
      <c r="C536" t="s">
        <v>84</v>
      </c>
    </row>
    <row r="537" spans="1:3" x14ac:dyDescent="0.25">
      <c r="A537" s="1">
        <v>45757.837500000001</v>
      </c>
      <c r="B537" s="1">
        <v>45757.797916666997</v>
      </c>
      <c r="C537" t="s">
        <v>84</v>
      </c>
    </row>
    <row r="538" spans="1:3" x14ac:dyDescent="0.25">
      <c r="A538" s="1">
        <v>45757.8</v>
      </c>
      <c r="B538" s="1">
        <v>45757.8</v>
      </c>
      <c r="C538" t="s">
        <v>586</v>
      </c>
    </row>
    <row r="539" spans="1:3" x14ac:dyDescent="0.25">
      <c r="A539" s="1">
        <v>45757.8</v>
      </c>
      <c r="B539" s="1">
        <v>45757.8</v>
      </c>
      <c r="C539" t="s">
        <v>586</v>
      </c>
    </row>
    <row r="540" spans="1:3" x14ac:dyDescent="0.25">
      <c r="A540" s="1">
        <v>45757.833333333001</v>
      </c>
      <c r="B540" s="1">
        <v>45757.8125</v>
      </c>
      <c r="C540" t="s">
        <v>171</v>
      </c>
    </row>
    <row r="541" spans="1:3" x14ac:dyDescent="0.25">
      <c r="A541" s="1">
        <v>45757.8125</v>
      </c>
      <c r="B541" s="1">
        <v>45757.8125</v>
      </c>
      <c r="C541" t="s">
        <v>171</v>
      </c>
    </row>
    <row r="542" spans="1:3" x14ac:dyDescent="0.25">
      <c r="A542" s="1">
        <v>45757.814583332998</v>
      </c>
      <c r="B542" s="1">
        <v>45757.814583332998</v>
      </c>
      <c r="C542" t="s">
        <v>791</v>
      </c>
    </row>
    <row r="543" spans="1:3" x14ac:dyDescent="0.25">
      <c r="A543" s="1">
        <v>45757.816666667</v>
      </c>
      <c r="B543" s="1">
        <v>45757.814583332998</v>
      </c>
      <c r="C543" t="s">
        <v>791</v>
      </c>
    </row>
    <row r="544" spans="1:3" x14ac:dyDescent="0.25">
      <c r="A544" s="1">
        <v>45757.822916666999</v>
      </c>
      <c r="B544" s="1">
        <v>45757.822916666999</v>
      </c>
      <c r="C544" t="s">
        <v>226</v>
      </c>
    </row>
    <row r="545" spans="1:3" x14ac:dyDescent="0.25">
      <c r="A545" s="1">
        <v>45757.839583333</v>
      </c>
      <c r="B545" s="1">
        <v>45757.822916666999</v>
      </c>
      <c r="C545" t="s">
        <v>226</v>
      </c>
    </row>
    <row r="546" spans="1:3" x14ac:dyDescent="0.25">
      <c r="A546" s="1">
        <v>45757.822916666999</v>
      </c>
      <c r="B546" s="1">
        <v>45757.822916666999</v>
      </c>
      <c r="C546" t="s">
        <v>291</v>
      </c>
    </row>
    <row r="547" spans="1:3" x14ac:dyDescent="0.25">
      <c r="A547" s="1">
        <v>45757.824999999997</v>
      </c>
      <c r="B547" s="1">
        <v>45757.822916666999</v>
      </c>
      <c r="C547" t="s">
        <v>291</v>
      </c>
    </row>
    <row r="548" spans="1:3" x14ac:dyDescent="0.25">
      <c r="A548" s="1">
        <v>45757.827083333003</v>
      </c>
      <c r="B548" s="1">
        <v>45757.827083333003</v>
      </c>
      <c r="C548" t="s">
        <v>169</v>
      </c>
    </row>
    <row r="549" spans="1:3" x14ac:dyDescent="0.25">
      <c r="A549" s="1">
        <v>45757.84375</v>
      </c>
      <c r="B549" s="1">
        <v>45757.827083333003</v>
      </c>
      <c r="C549" t="s">
        <v>169</v>
      </c>
    </row>
    <row r="550" spans="1:3" x14ac:dyDescent="0.25">
      <c r="A550" s="1">
        <v>45757.847916667</v>
      </c>
      <c r="B550" s="1">
        <v>45757.829166666997</v>
      </c>
      <c r="C550" t="s">
        <v>389</v>
      </c>
    </row>
    <row r="551" spans="1:3" x14ac:dyDescent="0.25">
      <c r="A551" s="1">
        <v>45757.829166666997</v>
      </c>
      <c r="B551" s="1">
        <v>45757.829166666997</v>
      </c>
      <c r="C551" t="s">
        <v>389</v>
      </c>
    </row>
    <row r="552" spans="1:3" x14ac:dyDescent="0.25">
      <c r="A552" s="1">
        <v>45755.716666667002</v>
      </c>
      <c r="B552" s="1" t="s">
        <v>289</v>
      </c>
      <c r="C552" t="s">
        <v>538</v>
      </c>
    </row>
    <row r="553" spans="1:3" x14ac:dyDescent="0.25">
      <c r="A553" s="1">
        <v>45755.872916667002</v>
      </c>
      <c r="B553" s="1" t="s">
        <v>289</v>
      </c>
      <c r="C553" t="s">
        <v>223</v>
      </c>
    </row>
    <row r="554" spans="1:3" x14ac:dyDescent="0.25">
      <c r="A554" s="1">
        <v>45755.720833332998</v>
      </c>
      <c r="B554" s="1" t="s">
        <v>289</v>
      </c>
      <c r="C554" t="s">
        <v>21</v>
      </c>
    </row>
    <row r="555" spans="1:3" x14ac:dyDescent="0.25">
      <c r="A555" s="1">
        <v>45755.814583332998</v>
      </c>
      <c r="B555" s="1" t="s">
        <v>289</v>
      </c>
      <c r="C555" t="s">
        <v>309</v>
      </c>
    </row>
    <row r="556" spans="1:3" x14ac:dyDescent="0.25">
      <c r="A556" s="1">
        <v>45755.789583332997</v>
      </c>
      <c r="B556" s="1" t="s">
        <v>289</v>
      </c>
      <c r="C556" t="s">
        <v>148</v>
      </c>
    </row>
    <row r="557" spans="1:3" x14ac:dyDescent="0.25">
      <c r="A557" s="1">
        <v>45755.775000000001</v>
      </c>
      <c r="B557" s="1" t="s">
        <v>289</v>
      </c>
      <c r="C557" t="s">
        <v>497</v>
      </c>
    </row>
    <row r="558" spans="1:3" x14ac:dyDescent="0.25">
      <c r="A558" s="1">
        <v>45755.747916667002</v>
      </c>
      <c r="B558" s="1" t="s">
        <v>289</v>
      </c>
      <c r="C558" t="s">
        <v>702</v>
      </c>
    </row>
    <row r="559" spans="1:3" x14ac:dyDescent="0.25">
      <c r="A559" s="1">
        <v>45755.785416667</v>
      </c>
      <c r="B559" s="1" t="s">
        <v>289</v>
      </c>
      <c r="C559" t="s">
        <v>455</v>
      </c>
    </row>
    <row r="560" spans="1:3" x14ac:dyDescent="0.25">
      <c r="A560" s="1">
        <v>45755.762499999997</v>
      </c>
      <c r="B560" s="1" t="s">
        <v>289</v>
      </c>
      <c r="C560" t="s">
        <v>703</v>
      </c>
    </row>
    <row r="561" spans="1:3" x14ac:dyDescent="0.25">
      <c r="A561" s="1">
        <v>45755.870833333</v>
      </c>
      <c r="B561" s="1" t="s">
        <v>289</v>
      </c>
      <c r="C561" t="s">
        <v>429</v>
      </c>
    </row>
    <row r="562" spans="1:3" x14ac:dyDescent="0.25">
      <c r="A562" s="1">
        <v>45755.885416666999</v>
      </c>
      <c r="B562" s="1" t="s">
        <v>289</v>
      </c>
      <c r="C562" t="s">
        <v>612</v>
      </c>
    </row>
    <row r="563" spans="1:3" x14ac:dyDescent="0.25">
      <c r="A563" s="1">
        <v>45755.866666667003</v>
      </c>
      <c r="B563" s="1" t="s">
        <v>289</v>
      </c>
      <c r="C563" t="s">
        <v>461</v>
      </c>
    </row>
    <row r="564" spans="1:3" x14ac:dyDescent="0.25">
      <c r="A564" s="1">
        <v>45755.875</v>
      </c>
      <c r="B564" s="1" t="s">
        <v>289</v>
      </c>
      <c r="C564" t="s">
        <v>273</v>
      </c>
    </row>
    <row r="565" spans="1:3" x14ac:dyDescent="0.25">
      <c r="A565" s="1">
        <v>45755.722916667</v>
      </c>
      <c r="B565" s="1" t="s">
        <v>289</v>
      </c>
      <c r="C565" t="s">
        <v>809</v>
      </c>
    </row>
    <row r="566" spans="1:3" x14ac:dyDescent="0.25">
      <c r="A566" s="1">
        <v>45755.8125</v>
      </c>
      <c r="B566" s="1" t="s">
        <v>289</v>
      </c>
      <c r="C566" t="s">
        <v>400</v>
      </c>
    </row>
    <row r="567" spans="1:3" x14ac:dyDescent="0.25">
      <c r="A567" s="1">
        <v>45755.822916666999</v>
      </c>
      <c r="B567" s="1" t="s">
        <v>289</v>
      </c>
      <c r="C567" t="s">
        <v>77</v>
      </c>
    </row>
    <row r="568" spans="1:3" x14ac:dyDescent="0.25">
      <c r="A568" s="1">
        <v>45755.820833332997</v>
      </c>
      <c r="B568" s="1" t="s">
        <v>289</v>
      </c>
      <c r="C568" t="s">
        <v>134</v>
      </c>
    </row>
    <row r="569" spans="1:3" x14ac:dyDescent="0.25">
      <c r="A569" s="1">
        <v>45755.824999999997</v>
      </c>
      <c r="B569" s="1" t="s">
        <v>289</v>
      </c>
      <c r="C569" t="s">
        <v>274</v>
      </c>
    </row>
    <row r="570" spans="1:3" x14ac:dyDescent="0.25">
      <c r="A570" s="1">
        <v>45755.866666667003</v>
      </c>
      <c r="B570" s="1" t="s">
        <v>289</v>
      </c>
      <c r="C570" t="s">
        <v>262</v>
      </c>
    </row>
    <row r="571" spans="1:3" x14ac:dyDescent="0.25">
      <c r="A571" s="1">
        <v>45755.866666667003</v>
      </c>
      <c r="B571" s="1" t="s">
        <v>289</v>
      </c>
      <c r="C571" t="s">
        <v>137</v>
      </c>
    </row>
    <row r="572" spans="1:3" x14ac:dyDescent="0.25">
      <c r="A572" s="1">
        <v>45755.831250000003</v>
      </c>
      <c r="B572" s="1" t="s">
        <v>289</v>
      </c>
      <c r="C572" t="s">
        <v>368</v>
      </c>
    </row>
    <row r="573" spans="1:3" x14ac:dyDescent="0.25">
      <c r="A573" s="1">
        <v>45755.820833332997</v>
      </c>
      <c r="B573" s="1" t="s">
        <v>289</v>
      </c>
      <c r="C573" t="s">
        <v>60</v>
      </c>
    </row>
    <row r="574" spans="1:3" x14ac:dyDescent="0.25">
      <c r="A574" s="1">
        <v>45755.764583333003</v>
      </c>
      <c r="B574" s="1" t="s">
        <v>289</v>
      </c>
      <c r="C574" t="s">
        <v>356</v>
      </c>
    </row>
    <row r="575" spans="1:3" x14ac:dyDescent="0.25">
      <c r="A575" s="1">
        <v>45755.787499999999</v>
      </c>
      <c r="B575" s="1" t="s">
        <v>289</v>
      </c>
      <c r="C575" t="s">
        <v>114</v>
      </c>
    </row>
    <row r="576" spans="1:3" x14ac:dyDescent="0.25">
      <c r="A576" s="1">
        <v>45755.762499999997</v>
      </c>
      <c r="B576" s="1" t="s">
        <v>289</v>
      </c>
      <c r="C576" t="s">
        <v>495</v>
      </c>
    </row>
    <row r="577" spans="1:3" x14ac:dyDescent="0.25">
      <c r="A577" s="1">
        <v>45755.789583332997</v>
      </c>
      <c r="B577" s="1" t="s">
        <v>289</v>
      </c>
      <c r="C577" t="s">
        <v>92</v>
      </c>
    </row>
    <row r="578" spans="1:3" x14ac:dyDescent="0.25">
      <c r="A578" s="1">
        <v>45755.852083332997</v>
      </c>
      <c r="B578" s="1" t="s">
        <v>289</v>
      </c>
      <c r="C578" t="s">
        <v>255</v>
      </c>
    </row>
    <row r="579" spans="1:3" x14ac:dyDescent="0.25">
      <c r="A579" s="1">
        <v>45755.764583333003</v>
      </c>
      <c r="B579" s="1" t="s">
        <v>289</v>
      </c>
      <c r="C579" t="s">
        <v>530</v>
      </c>
    </row>
    <row r="580" spans="1:3" x14ac:dyDescent="0.25">
      <c r="A580" s="1">
        <v>45755.854166666999</v>
      </c>
      <c r="B580" s="1" t="s">
        <v>289</v>
      </c>
      <c r="C580" t="s">
        <v>207</v>
      </c>
    </row>
    <row r="581" spans="1:3" x14ac:dyDescent="0.25">
      <c r="A581" s="1">
        <v>45755.824999999997</v>
      </c>
      <c r="B581" s="1" t="s">
        <v>289</v>
      </c>
      <c r="C581" t="s">
        <v>462</v>
      </c>
    </row>
    <row r="582" spans="1:3" x14ac:dyDescent="0.25">
      <c r="A582" s="1">
        <v>45755.854166666999</v>
      </c>
      <c r="B582" s="1" t="s">
        <v>289</v>
      </c>
      <c r="C582" t="s">
        <v>195</v>
      </c>
    </row>
    <row r="583" spans="1:3" x14ac:dyDescent="0.25">
      <c r="A583" s="1">
        <v>45755.787499999999</v>
      </c>
      <c r="B583" s="1" t="s">
        <v>289</v>
      </c>
      <c r="C583" t="s">
        <v>472</v>
      </c>
    </row>
    <row r="584" spans="1:3" x14ac:dyDescent="0.25">
      <c r="A584" s="1">
        <v>45755.870833333</v>
      </c>
      <c r="B584" s="1" t="s">
        <v>289</v>
      </c>
      <c r="C584" t="s">
        <v>346</v>
      </c>
    </row>
    <row r="585" spans="1:3" x14ac:dyDescent="0.25">
      <c r="A585" s="1">
        <v>45755.831250000003</v>
      </c>
      <c r="B585" s="1" t="s">
        <v>289</v>
      </c>
      <c r="C585" t="s">
        <v>620</v>
      </c>
    </row>
    <row r="586" spans="1:3" x14ac:dyDescent="0.25">
      <c r="A586" s="1">
        <v>45755.839583333</v>
      </c>
      <c r="B586" s="1" t="s">
        <v>289</v>
      </c>
      <c r="C586" t="s">
        <v>76</v>
      </c>
    </row>
    <row r="587" spans="1:3" x14ac:dyDescent="0.25">
      <c r="A587" s="1">
        <v>45755.775000000001</v>
      </c>
      <c r="B587" s="1" t="s">
        <v>289</v>
      </c>
      <c r="C587" t="s">
        <v>380</v>
      </c>
    </row>
    <row r="588" spans="1:3" x14ac:dyDescent="0.25">
      <c r="A588" s="1">
        <v>45755.814583332998</v>
      </c>
      <c r="B588" s="1" t="s">
        <v>289</v>
      </c>
      <c r="C588" t="s">
        <v>179</v>
      </c>
    </row>
    <row r="589" spans="1:3" x14ac:dyDescent="0.25">
      <c r="A589" s="1">
        <v>45755.766666666997</v>
      </c>
      <c r="B589" s="1" t="s">
        <v>289</v>
      </c>
      <c r="C589" t="s">
        <v>162</v>
      </c>
    </row>
    <row r="590" spans="1:3" x14ac:dyDescent="0.25">
      <c r="A590" s="1">
        <v>45755.791666666999</v>
      </c>
      <c r="B590" s="1" t="s">
        <v>289</v>
      </c>
      <c r="C590" t="s">
        <v>777</v>
      </c>
    </row>
    <row r="591" spans="1:3" x14ac:dyDescent="0.25">
      <c r="A591" s="1">
        <v>45756.793749999997</v>
      </c>
      <c r="B591" s="1" t="s">
        <v>289</v>
      </c>
      <c r="C591" t="s">
        <v>810</v>
      </c>
    </row>
    <row r="592" spans="1:3" x14ac:dyDescent="0.25">
      <c r="A592" s="1">
        <v>45756.772916667003</v>
      </c>
      <c r="B592" s="1" t="s">
        <v>289</v>
      </c>
      <c r="C592" t="s">
        <v>748</v>
      </c>
    </row>
    <row r="593" spans="1:3" x14ac:dyDescent="0.25">
      <c r="A593" s="1">
        <v>45757.737500000003</v>
      </c>
      <c r="B593" s="1" t="s">
        <v>289</v>
      </c>
      <c r="C593" t="s">
        <v>303</v>
      </c>
    </row>
    <row r="594" spans="1:3" x14ac:dyDescent="0.25">
      <c r="A594" s="1">
        <v>45757.764583333003</v>
      </c>
      <c r="B594" s="1" t="s">
        <v>289</v>
      </c>
      <c r="C594" t="s">
        <v>811</v>
      </c>
    </row>
    <row r="595" spans="1:3" x14ac:dyDescent="0.25">
      <c r="A595" s="1">
        <v>45757.766666666997</v>
      </c>
      <c r="B595" s="1" t="s">
        <v>289</v>
      </c>
      <c r="C595" t="s">
        <v>683</v>
      </c>
    </row>
    <row r="596" spans="1:3" x14ac:dyDescent="0.25">
      <c r="A596" s="1">
        <v>45757.743750000001</v>
      </c>
      <c r="B596" s="1" t="s">
        <v>289</v>
      </c>
      <c r="C596" t="s">
        <v>812</v>
      </c>
    </row>
    <row r="597" spans="1:3" x14ac:dyDescent="0.25">
      <c r="A597" s="1">
        <v>45757.764583333003</v>
      </c>
      <c r="B597" s="1" t="s">
        <v>289</v>
      </c>
      <c r="C597" t="s">
        <v>813</v>
      </c>
    </row>
    <row r="598" spans="1:3" x14ac:dyDescent="0.25">
      <c r="A598" s="1">
        <v>45757.731249999997</v>
      </c>
      <c r="B598" s="1" t="s">
        <v>289</v>
      </c>
      <c r="C598" t="s">
        <v>805</v>
      </c>
    </row>
    <row r="599" spans="1:3" x14ac:dyDescent="0.25">
      <c r="A599" s="1">
        <v>45757.764583333003</v>
      </c>
      <c r="B599" s="1" t="s">
        <v>289</v>
      </c>
      <c r="C599" t="s">
        <v>578</v>
      </c>
    </row>
    <row r="600" spans="1:3" x14ac:dyDescent="0.25">
      <c r="A600" s="1">
        <v>45757.71875</v>
      </c>
      <c r="B600" s="1" t="s">
        <v>289</v>
      </c>
      <c r="C600" t="s">
        <v>814</v>
      </c>
    </row>
    <row r="601" spans="1:3" x14ac:dyDescent="0.25">
      <c r="A601" s="1">
        <v>45757.772916667003</v>
      </c>
      <c r="B601" s="1" t="s">
        <v>289</v>
      </c>
      <c r="C601" t="s">
        <v>815</v>
      </c>
    </row>
    <row r="602" spans="1:3" x14ac:dyDescent="0.25">
      <c r="A602" s="1">
        <v>45757.770833333001</v>
      </c>
      <c r="B602" s="1" t="s">
        <v>289</v>
      </c>
      <c r="C602" t="s">
        <v>41</v>
      </c>
    </row>
    <row r="603" spans="1:3" x14ac:dyDescent="0.25">
      <c r="A603" s="1">
        <v>45757.772916667003</v>
      </c>
      <c r="B603" s="1" t="s">
        <v>289</v>
      </c>
      <c r="C603" t="s">
        <v>79</v>
      </c>
    </row>
    <row r="604" spans="1:3" x14ac:dyDescent="0.25">
      <c r="A604" s="1">
        <v>45757.720833332998</v>
      </c>
      <c r="B604" s="1" t="s">
        <v>289</v>
      </c>
      <c r="C604" t="s">
        <v>292</v>
      </c>
    </row>
    <row r="605" spans="1:3" x14ac:dyDescent="0.25">
      <c r="A605" s="1">
        <v>45757.741666667003</v>
      </c>
      <c r="B605" s="1" t="s">
        <v>289</v>
      </c>
      <c r="C605" t="s">
        <v>816</v>
      </c>
    </row>
    <row r="606" spans="1:3" x14ac:dyDescent="0.25">
      <c r="A606" s="1">
        <v>45757.764583333003</v>
      </c>
      <c r="B606" s="1" t="s">
        <v>289</v>
      </c>
      <c r="C606" t="s">
        <v>788</v>
      </c>
    </row>
    <row r="607" spans="1:3" x14ac:dyDescent="0.25">
      <c r="A607" s="1">
        <v>45757.772916667003</v>
      </c>
      <c r="B607" s="1" t="s">
        <v>289</v>
      </c>
      <c r="C607" t="s">
        <v>803</v>
      </c>
    </row>
    <row r="608" spans="1:3" x14ac:dyDescent="0.25">
      <c r="A608" s="1">
        <v>45757.735416666997</v>
      </c>
      <c r="B608" s="1" t="s">
        <v>289</v>
      </c>
      <c r="C608" t="s">
        <v>463</v>
      </c>
    </row>
    <row r="609" spans="1:3" x14ac:dyDescent="0.25">
      <c r="A609" s="1">
        <v>45757.75</v>
      </c>
      <c r="B609" s="1" t="s">
        <v>289</v>
      </c>
      <c r="C609" t="s">
        <v>146</v>
      </c>
    </row>
    <row r="610" spans="1:3" x14ac:dyDescent="0.25">
      <c r="A610" s="1">
        <v>45757.712500000001</v>
      </c>
      <c r="B610" s="1" t="s">
        <v>289</v>
      </c>
      <c r="C610" t="s">
        <v>323</v>
      </c>
    </row>
    <row r="611" spans="1:3" x14ac:dyDescent="0.25">
      <c r="A611" s="1">
        <v>45757.720833332998</v>
      </c>
      <c r="B611" s="1" t="s">
        <v>289</v>
      </c>
      <c r="C611" t="s">
        <v>817</v>
      </c>
    </row>
    <row r="612" spans="1:3" x14ac:dyDescent="0.25">
      <c r="A612" s="1">
        <v>45757.768750000003</v>
      </c>
      <c r="B612" s="1" t="s">
        <v>289</v>
      </c>
      <c r="C612" t="s">
        <v>558</v>
      </c>
    </row>
    <row r="613" spans="1:3" x14ac:dyDescent="0.25">
      <c r="A613" s="1">
        <v>45757.768750000003</v>
      </c>
      <c r="B613" s="1" t="s">
        <v>289</v>
      </c>
      <c r="C613" t="s">
        <v>572</v>
      </c>
    </row>
    <row r="614" spans="1:3" x14ac:dyDescent="0.25">
      <c r="A614" s="1">
        <v>45757.741666667003</v>
      </c>
      <c r="B614" s="1" t="s">
        <v>289</v>
      </c>
      <c r="C614" t="s">
        <v>231</v>
      </c>
    </row>
    <row r="615" spans="1:3" x14ac:dyDescent="0.25">
      <c r="A615" s="1">
        <v>45757.733333333003</v>
      </c>
      <c r="B615" s="1" t="s">
        <v>289</v>
      </c>
      <c r="C615" t="s">
        <v>729</v>
      </c>
    </row>
    <row r="616" spans="1:3" x14ac:dyDescent="0.25">
      <c r="A616" s="1">
        <v>45757.737500000003</v>
      </c>
      <c r="B616" s="1" t="s">
        <v>289</v>
      </c>
      <c r="C616" t="s">
        <v>364</v>
      </c>
    </row>
    <row r="617" spans="1:3" x14ac:dyDescent="0.25">
      <c r="A617" s="1">
        <v>45757.75</v>
      </c>
      <c r="B617" s="1" t="s">
        <v>289</v>
      </c>
      <c r="C617" t="s">
        <v>569</v>
      </c>
    </row>
    <row r="618" spans="1:3" x14ac:dyDescent="0.25">
      <c r="A618" s="1">
        <v>45757.768750000003</v>
      </c>
      <c r="B618" s="1" t="s">
        <v>289</v>
      </c>
      <c r="C618" t="s">
        <v>609</v>
      </c>
    </row>
    <row r="619" spans="1:3" x14ac:dyDescent="0.25">
      <c r="A619" s="1">
        <v>45757.762499999997</v>
      </c>
      <c r="B619" s="1" t="s">
        <v>289</v>
      </c>
      <c r="C619" t="s">
        <v>630</v>
      </c>
    </row>
    <row r="620" spans="1:3" x14ac:dyDescent="0.25">
      <c r="A620" s="1">
        <v>45757.735416666997</v>
      </c>
      <c r="B620" s="1" t="s">
        <v>289</v>
      </c>
      <c r="C620" t="s">
        <v>25</v>
      </c>
    </row>
    <row r="621" spans="1:3" x14ac:dyDescent="0.25">
      <c r="A621" s="1">
        <v>45757.762499999997</v>
      </c>
      <c r="B621" s="1" t="s">
        <v>289</v>
      </c>
      <c r="C621" t="s">
        <v>28</v>
      </c>
    </row>
    <row r="622" spans="1:3" x14ac:dyDescent="0.25">
      <c r="A622" s="1">
        <v>45757.712500000001</v>
      </c>
      <c r="B622" s="1" t="s">
        <v>289</v>
      </c>
      <c r="C622" t="s">
        <v>705</v>
      </c>
    </row>
    <row r="623" spans="1:3" x14ac:dyDescent="0.25">
      <c r="A623" s="1">
        <v>45757.731249999997</v>
      </c>
      <c r="B623" s="1" t="s">
        <v>289</v>
      </c>
      <c r="C623" t="s">
        <v>580</v>
      </c>
    </row>
    <row r="624" spans="1:3" x14ac:dyDescent="0.25">
      <c r="A624" s="1">
        <v>45757.745833333</v>
      </c>
      <c r="B624" s="1" t="s">
        <v>289</v>
      </c>
      <c r="C624" t="s">
        <v>457</v>
      </c>
    </row>
    <row r="625" spans="1:3" x14ac:dyDescent="0.25">
      <c r="A625" s="1">
        <v>45757.731249999997</v>
      </c>
      <c r="B625" s="1" t="s">
        <v>289</v>
      </c>
      <c r="C625" t="s">
        <v>30</v>
      </c>
    </row>
    <row r="626" spans="1:3" x14ac:dyDescent="0.25">
      <c r="A626" s="1">
        <v>45757.762499999997</v>
      </c>
      <c r="B626" s="1" t="s">
        <v>289</v>
      </c>
      <c r="C626" t="s">
        <v>475</v>
      </c>
    </row>
    <row r="627" spans="1:3" x14ac:dyDescent="0.25">
      <c r="A627" s="1">
        <v>45757.733333333003</v>
      </c>
      <c r="B627" s="1" t="s">
        <v>289</v>
      </c>
      <c r="C627" t="s">
        <v>691</v>
      </c>
    </row>
    <row r="628" spans="1:3" x14ac:dyDescent="0.25">
      <c r="A628" s="1">
        <v>45757.75</v>
      </c>
      <c r="B628" s="1" t="s">
        <v>289</v>
      </c>
      <c r="C628" t="s">
        <v>524</v>
      </c>
    </row>
    <row r="629" spans="1:3" x14ac:dyDescent="0.25">
      <c r="A629" s="1">
        <v>45757.71875</v>
      </c>
      <c r="B629" s="1" t="s">
        <v>289</v>
      </c>
      <c r="C629" t="s">
        <v>272</v>
      </c>
    </row>
    <row r="630" spans="1:3" x14ac:dyDescent="0.25">
      <c r="A630" s="1">
        <v>45757.716666667002</v>
      </c>
      <c r="B630" s="1" t="s">
        <v>289</v>
      </c>
      <c r="C630" t="s">
        <v>611</v>
      </c>
    </row>
    <row r="631" spans="1:3" x14ac:dyDescent="0.25">
      <c r="A631" s="1">
        <v>45757.729166666999</v>
      </c>
      <c r="B631" s="1" t="s">
        <v>289</v>
      </c>
      <c r="C631" t="s">
        <v>437</v>
      </c>
    </row>
    <row r="632" spans="1:3" x14ac:dyDescent="0.25">
      <c r="A632" s="1">
        <v>45757.747916667002</v>
      </c>
      <c r="B632" s="1" t="s">
        <v>289</v>
      </c>
      <c r="C632" t="s">
        <v>144</v>
      </c>
    </row>
    <row r="633" spans="1:3" x14ac:dyDescent="0.25">
      <c r="A633" s="1">
        <v>45757.762499999997</v>
      </c>
      <c r="B633" s="1" t="s">
        <v>289</v>
      </c>
      <c r="C633" t="s">
        <v>668</v>
      </c>
    </row>
    <row r="634" spans="1:3" x14ac:dyDescent="0.25">
      <c r="A634" s="1">
        <v>45757.735416666997</v>
      </c>
      <c r="B634" s="1" t="s">
        <v>289</v>
      </c>
      <c r="C634" t="s">
        <v>424</v>
      </c>
    </row>
    <row r="635" spans="1:3" x14ac:dyDescent="0.25">
      <c r="A635" s="1">
        <v>45757.747916667002</v>
      </c>
      <c r="B635" s="1" t="s">
        <v>289</v>
      </c>
      <c r="C635" t="s">
        <v>622</v>
      </c>
    </row>
    <row r="636" spans="1:3" x14ac:dyDescent="0.25">
      <c r="A636" s="1">
        <v>45757.716666667002</v>
      </c>
      <c r="B636" s="1" t="s">
        <v>289</v>
      </c>
      <c r="C636" t="s">
        <v>234</v>
      </c>
    </row>
    <row r="637" spans="1:3" x14ac:dyDescent="0.25">
      <c r="A637" s="1">
        <v>45757.724999999999</v>
      </c>
      <c r="B637" s="1" t="s">
        <v>289</v>
      </c>
      <c r="C637" t="s">
        <v>669</v>
      </c>
    </row>
    <row r="638" spans="1:3" x14ac:dyDescent="0.25">
      <c r="A638" s="1">
        <v>45757.722916667</v>
      </c>
      <c r="B638" s="1" t="s">
        <v>289</v>
      </c>
      <c r="C638" t="s">
        <v>306</v>
      </c>
    </row>
    <row r="639" spans="1:3" x14ac:dyDescent="0.25">
      <c r="A639" s="1">
        <v>45757.724999999999</v>
      </c>
      <c r="B639" s="1" t="s">
        <v>289</v>
      </c>
      <c r="C639" t="s">
        <v>628</v>
      </c>
    </row>
    <row r="640" spans="1:3" x14ac:dyDescent="0.25">
      <c r="A640" s="1">
        <v>45757.747916667002</v>
      </c>
      <c r="B640" s="1" t="s">
        <v>289</v>
      </c>
      <c r="C640" t="s">
        <v>372</v>
      </c>
    </row>
    <row r="641" spans="1:3" x14ac:dyDescent="0.25">
      <c r="A641" s="1">
        <v>45757.747916667002</v>
      </c>
      <c r="B641" s="1" t="s">
        <v>289</v>
      </c>
      <c r="C641" t="s">
        <v>638</v>
      </c>
    </row>
    <row r="642" spans="1:3" x14ac:dyDescent="0.25">
      <c r="A642" s="1">
        <v>45757.727083332997</v>
      </c>
      <c r="B642" s="1" t="s">
        <v>289</v>
      </c>
      <c r="C642" t="s">
        <v>343</v>
      </c>
    </row>
    <row r="643" spans="1:3" x14ac:dyDescent="0.25">
      <c r="A643" s="1">
        <v>45757.724999999999</v>
      </c>
      <c r="B643" s="1" t="s">
        <v>289</v>
      </c>
      <c r="C643" t="s">
        <v>631</v>
      </c>
    </row>
    <row r="644" spans="1:3" x14ac:dyDescent="0.25">
      <c r="A644" s="1">
        <v>45757.71875</v>
      </c>
      <c r="B644" s="1" t="s">
        <v>289</v>
      </c>
      <c r="C644" t="s">
        <v>384</v>
      </c>
    </row>
    <row r="645" spans="1:3" x14ac:dyDescent="0.25">
      <c r="A645" s="1">
        <v>45757.714583333</v>
      </c>
      <c r="B645" s="1" t="s">
        <v>289</v>
      </c>
      <c r="C645" t="s">
        <v>671</v>
      </c>
    </row>
    <row r="646" spans="1:3" x14ac:dyDescent="0.25">
      <c r="A646" s="1">
        <v>45757.71875</v>
      </c>
      <c r="B646" s="1" t="s">
        <v>289</v>
      </c>
      <c r="C646" t="s">
        <v>390</v>
      </c>
    </row>
    <row r="647" spans="1:3" x14ac:dyDescent="0.25">
      <c r="A647" s="1">
        <v>45757.75</v>
      </c>
      <c r="B647" s="1" t="s">
        <v>289</v>
      </c>
      <c r="C647" t="s">
        <v>221</v>
      </c>
    </row>
    <row r="648" spans="1:3" x14ac:dyDescent="0.25">
      <c r="A648" s="1">
        <v>45757.714583333</v>
      </c>
      <c r="B648" s="1" t="s">
        <v>289</v>
      </c>
      <c r="C648" t="s">
        <v>552</v>
      </c>
    </row>
    <row r="649" spans="1:3" x14ac:dyDescent="0.25">
      <c r="A649" s="1">
        <v>45757.733333333003</v>
      </c>
      <c r="B649" s="1" t="s">
        <v>289</v>
      </c>
      <c r="C649" t="s">
        <v>605</v>
      </c>
    </row>
    <row r="650" spans="1:3" x14ac:dyDescent="0.25">
      <c r="A650" s="1">
        <v>45757.772916667003</v>
      </c>
      <c r="B650" s="1" t="s">
        <v>289</v>
      </c>
      <c r="C650" t="s">
        <v>85</v>
      </c>
    </row>
    <row r="651" spans="1:3" x14ac:dyDescent="0.25">
      <c r="A651" s="1">
        <v>45757.775000000001</v>
      </c>
      <c r="B651" s="1" t="s">
        <v>289</v>
      </c>
      <c r="C651" t="s">
        <v>643</v>
      </c>
    </row>
    <row r="652" spans="1:3" x14ac:dyDescent="0.25">
      <c r="A652" s="1">
        <v>45757.777083333</v>
      </c>
      <c r="B652" s="1" t="s">
        <v>289</v>
      </c>
      <c r="C652" t="s">
        <v>112</v>
      </c>
    </row>
    <row r="653" spans="1:3" x14ac:dyDescent="0.25">
      <c r="A653" s="1">
        <v>45757.743750000001</v>
      </c>
      <c r="B653" s="1" t="s">
        <v>289</v>
      </c>
      <c r="C653" t="s">
        <v>305</v>
      </c>
    </row>
    <row r="654" spans="1:3" x14ac:dyDescent="0.25">
      <c r="A654" s="1">
        <v>45757.775000000001</v>
      </c>
      <c r="B654" s="1" t="s">
        <v>289</v>
      </c>
      <c r="C654" t="s">
        <v>192</v>
      </c>
    </row>
    <row r="655" spans="1:3" x14ac:dyDescent="0.25">
      <c r="A655" s="1">
        <v>45757.785416667</v>
      </c>
      <c r="B655" s="1" t="s">
        <v>289</v>
      </c>
      <c r="C655" t="s">
        <v>435</v>
      </c>
    </row>
    <row r="656" spans="1:3" x14ac:dyDescent="0.25">
      <c r="A656" s="1">
        <v>45757.777083333</v>
      </c>
      <c r="B656" s="1" t="s">
        <v>289</v>
      </c>
      <c r="C656" t="s">
        <v>818</v>
      </c>
    </row>
    <row r="657" spans="1:3" x14ac:dyDescent="0.25">
      <c r="A657" s="1">
        <v>45757.787499999999</v>
      </c>
      <c r="B657" s="1" t="s">
        <v>289</v>
      </c>
      <c r="C657" t="s">
        <v>755</v>
      </c>
    </row>
    <row r="658" spans="1:3" x14ac:dyDescent="0.25">
      <c r="A658" s="1">
        <v>45757.777083333</v>
      </c>
      <c r="B658" s="1" t="s">
        <v>289</v>
      </c>
      <c r="C658" t="s">
        <v>819</v>
      </c>
    </row>
    <row r="659" spans="1:3" x14ac:dyDescent="0.25">
      <c r="A659" s="1">
        <v>45757.795833333003</v>
      </c>
      <c r="B659" s="1" t="s">
        <v>289</v>
      </c>
      <c r="C659" t="s">
        <v>820</v>
      </c>
    </row>
    <row r="660" spans="1:3" x14ac:dyDescent="0.25">
      <c r="A660" s="1">
        <v>45757.793749999997</v>
      </c>
      <c r="B660" s="1" t="s">
        <v>289</v>
      </c>
      <c r="C660" t="s">
        <v>821</v>
      </c>
    </row>
    <row r="661" spans="1:3" x14ac:dyDescent="0.25">
      <c r="A661" s="1">
        <v>45757.793749999997</v>
      </c>
      <c r="B661" s="1" t="s">
        <v>289</v>
      </c>
      <c r="C661" t="s">
        <v>822</v>
      </c>
    </row>
    <row r="662" spans="1:3" x14ac:dyDescent="0.25">
      <c r="A662" s="1">
        <v>45757.787499999999</v>
      </c>
      <c r="B662" s="1" t="s">
        <v>289</v>
      </c>
      <c r="C662" t="s">
        <v>823</v>
      </c>
    </row>
    <row r="663" spans="1:3" x14ac:dyDescent="0.25">
      <c r="A663" s="1">
        <v>45757.8</v>
      </c>
      <c r="B663" s="1" t="s">
        <v>289</v>
      </c>
      <c r="C663" t="s">
        <v>824</v>
      </c>
    </row>
    <row r="664" spans="1:3" x14ac:dyDescent="0.25">
      <c r="A664" s="1">
        <v>45757.8125</v>
      </c>
      <c r="B664" s="1" t="s">
        <v>289</v>
      </c>
      <c r="C664" t="s">
        <v>825</v>
      </c>
    </row>
    <row r="665" spans="1:3" x14ac:dyDescent="0.25">
      <c r="A665" s="1">
        <v>45757.791666666999</v>
      </c>
      <c r="B665" s="1" t="s">
        <v>289</v>
      </c>
      <c r="C665" t="s">
        <v>826</v>
      </c>
    </row>
    <row r="666" spans="1:3" x14ac:dyDescent="0.25">
      <c r="A666" s="1">
        <v>45757.793749999997</v>
      </c>
      <c r="B666" s="1" t="s">
        <v>289</v>
      </c>
      <c r="C666" t="s">
        <v>827</v>
      </c>
    </row>
    <row r="667" spans="1:3" x14ac:dyDescent="0.25">
      <c r="A667" s="1">
        <v>45757.78125</v>
      </c>
      <c r="B667" s="1" t="s">
        <v>289</v>
      </c>
      <c r="C667" t="s">
        <v>828</v>
      </c>
    </row>
    <row r="668" spans="1:3" x14ac:dyDescent="0.25">
      <c r="A668" s="1">
        <v>45757.716666667002</v>
      </c>
      <c r="B668" s="1" t="s">
        <v>289</v>
      </c>
      <c r="C668" t="s">
        <v>829</v>
      </c>
    </row>
    <row r="669" spans="1:3" x14ac:dyDescent="0.25">
      <c r="A669" s="1">
        <v>45757.789583332997</v>
      </c>
      <c r="B669" s="1" t="s">
        <v>289</v>
      </c>
      <c r="C669" t="s">
        <v>830</v>
      </c>
    </row>
    <row r="670" spans="1:3" x14ac:dyDescent="0.25">
      <c r="A670" s="1">
        <v>45757.779166667002</v>
      </c>
      <c r="B670" s="1" t="s">
        <v>289</v>
      </c>
      <c r="C670" t="s">
        <v>736</v>
      </c>
    </row>
    <row r="671" spans="1:3" x14ac:dyDescent="0.25">
      <c r="A671" s="1">
        <v>45757.727083332997</v>
      </c>
      <c r="B671" s="1" t="s">
        <v>289</v>
      </c>
      <c r="C671" t="s">
        <v>795</v>
      </c>
    </row>
    <row r="672" spans="1:3" x14ac:dyDescent="0.25">
      <c r="A672" s="1">
        <v>45757.779166667002</v>
      </c>
      <c r="B672" s="1" t="s">
        <v>289</v>
      </c>
      <c r="C672" t="s">
        <v>831</v>
      </c>
    </row>
    <row r="673" spans="1:3" x14ac:dyDescent="0.25">
      <c r="A673" s="1">
        <v>45756.722916667</v>
      </c>
      <c r="B673" s="1" t="s">
        <v>289</v>
      </c>
      <c r="C673" t="s">
        <v>749</v>
      </c>
    </row>
    <row r="674" spans="1:3" x14ac:dyDescent="0.25">
      <c r="A674" s="1">
        <v>45755.897916667003</v>
      </c>
      <c r="B674" s="1" t="s">
        <v>289</v>
      </c>
      <c r="C674" t="s">
        <v>59</v>
      </c>
    </row>
    <row r="675" spans="1:3" x14ac:dyDescent="0.25">
      <c r="A675" s="1">
        <v>45755.777083333</v>
      </c>
      <c r="B675" s="1" t="s">
        <v>289</v>
      </c>
      <c r="C675" t="s">
        <v>747</v>
      </c>
    </row>
    <row r="676" spans="1:3" x14ac:dyDescent="0.25">
      <c r="A676" s="1">
        <v>45756.766666666997</v>
      </c>
      <c r="B676" s="1" t="s">
        <v>289</v>
      </c>
      <c r="C676" t="s">
        <v>780</v>
      </c>
    </row>
    <row r="677" spans="1:3" x14ac:dyDescent="0.25">
      <c r="A677" s="1">
        <v>45755.779166667002</v>
      </c>
      <c r="B677" s="1" t="s">
        <v>289</v>
      </c>
      <c r="C677" t="s">
        <v>517</v>
      </c>
    </row>
    <row r="678" spans="1:3" x14ac:dyDescent="0.25">
      <c r="A678" s="1">
        <v>45756.739583333001</v>
      </c>
      <c r="B678" s="1" t="s">
        <v>289</v>
      </c>
      <c r="C678" t="s">
        <v>773</v>
      </c>
    </row>
    <row r="679" spans="1:3" x14ac:dyDescent="0.25">
      <c r="A679" s="1">
        <v>45756.741666667003</v>
      </c>
      <c r="B679" s="1" t="s">
        <v>289</v>
      </c>
      <c r="C679" t="s">
        <v>832</v>
      </c>
    </row>
    <row r="680" spans="1:3" x14ac:dyDescent="0.25">
      <c r="A680" s="1">
        <v>45756.777083333</v>
      </c>
      <c r="B680" s="1" t="s">
        <v>289</v>
      </c>
      <c r="C680" t="s">
        <v>772</v>
      </c>
    </row>
    <row r="681" spans="1:3" x14ac:dyDescent="0.25">
      <c r="A681" s="1">
        <v>45755.84375</v>
      </c>
      <c r="B681" s="1" t="s">
        <v>289</v>
      </c>
      <c r="C681" t="s">
        <v>833</v>
      </c>
    </row>
    <row r="682" spans="1:3" x14ac:dyDescent="0.25">
      <c r="A682" s="1">
        <v>45755.881249999999</v>
      </c>
      <c r="B682" s="1" t="s">
        <v>289</v>
      </c>
      <c r="C682" t="s">
        <v>781</v>
      </c>
    </row>
    <row r="683" spans="1:3" x14ac:dyDescent="0.25">
      <c r="A683" s="1">
        <v>45756.739583333001</v>
      </c>
      <c r="B683" s="1" t="s">
        <v>289</v>
      </c>
      <c r="C683" t="s">
        <v>740</v>
      </c>
    </row>
    <row r="684" spans="1:3" x14ac:dyDescent="0.25">
      <c r="A684" s="1">
        <v>45755.881249999999</v>
      </c>
      <c r="B684" s="1" t="s">
        <v>289</v>
      </c>
      <c r="C684" t="s">
        <v>834</v>
      </c>
    </row>
    <row r="685" spans="1:3" x14ac:dyDescent="0.25">
      <c r="A685" s="1">
        <v>45756.760416666999</v>
      </c>
      <c r="B685" s="1" t="s">
        <v>289</v>
      </c>
      <c r="C685" t="s">
        <v>835</v>
      </c>
    </row>
    <row r="686" spans="1:3" x14ac:dyDescent="0.25">
      <c r="A686" s="1">
        <v>45756.735416666997</v>
      </c>
      <c r="B686" s="1" t="s">
        <v>289</v>
      </c>
      <c r="C686" t="s">
        <v>362</v>
      </c>
    </row>
    <row r="687" spans="1:3" x14ac:dyDescent="0.25">
      <c r="A687" s="1">
        <v>45755.9</v>
      </c>
      <c r="B687" s="1" t="s">
        <v>289</v>
      </c>
      <c r="C687" t="s">
        <v>836</v>
      </c>
    </row>
    <row r="688" spans="1:3" x14ac:dyDescent="0.25">
      <c r="A688" s="1">
        <v>45756.71875</v>
      </c>
      <c r="B688" s="1" t="s">
        <v>289</v>
      </c>
      <c r="C688" t="s">
        <v>663</v>
      </c>
    </row>
    <row r="689" spans="1:3" x14ac:dyDescent="0.25">
      <c r="A689" s="1">
        <v>45756.764583333003</v>
      </c>
      <c r="B689" s="1" t="s">
        <v>289</v>
      </c>
      <c r="C689" t="s">
        <v>183</v>
      </c>
    </row>
    <row r="690" spans="1:3" x14ac:dyDescent="0.25">
      <c r="A690" s="1">
        <v>45755.90625</v>
      </c>
      <c r="B690" s="1" t="s">
        <v>289</v>
      </c>
      <c r="C690" t="s">
        <v>837</v>
      </c>
    </row>
    <row r="691" spans="1:3" x14ac:dyDescent="0.25">
      <c r="A691" s="1">
        <v>45755.722916667</v>
      </c>
      <c r="B691" s="1" t="s">
        <v>289</v>
      </c>
      <c r="C691" t="s">
        <v>838</v>
      </c>
    </row>
    <row r="692" spans="1:3" x14ac:dyDescent="0.25">
      <c r="A692" s="1">
        <v>45756.760416666999</v>
      </c>
      <c r="B692" s="1" t="s">
        <v>289</v>
      </c>
      <c r="C692" t="s">
        <v>839</v>
      </c>
    </row>
    <row r="693" spans="1:3" x14ac:dyDescent="0.25">
      <c r="A693" s="1">
        <v>45755.868750000001</v>
      </c>
      <c r="B693" s="1" t="s">
        <v>289</v>
      </c>
      <c r="C693" t="s">
        <v>840</v>
      </c>
    </row>
    <row r="694" spans="1:3" x14ac:dyDescent="0.25">
      <c r="A694" s="1">
        <v>45756.779166667002</v>
      </c>
      <c r="B694" s="1" t="s">
        <v>289</v>
      </c>
      <c r="C694" t="s">
        <v>841</v>
      </c>
    </row>
    <row r="695" spans="1:3" x14ac:dyDescent="0.25">
      <c r="A695" s="1">
        <v>45756.75</v>
      </c>
      <c r="B695" s="1" t="s">
        <v>289</v>
      </c>
      <c r="C695" t="s">
        <v>680</v>
      </c>
    </row>
    <row r="696" spans="1:3" x14ac:dyDescent="0.25">
      <c r="A696" s="1">
        <v>45756.766666666997</v>
      </c>
      <c r="B696" s="1" t="s">
        <v>289</v>
      </c>
      <c r="C696" t="s">
        <v>783</v>
      </c>
    </row>
    <row r="697" spans="1:3" x14ac:dyDescent="0.25">
      <c r="A697" s="1">
        <v>45756.827083333003</v>
      </c>
      <c r="B697" s="1" t="s">
        <v>289</v>
      </c>
      <c r="C697" t="s">
        <v>366</v>
      </c>
    </row>
    <row r="698" spans="1:3" x14ac:dyDescent="0.25">
      <c r="A698" s="1">
        <v>45756.820833332997</v>
      </c>
      <c r="B698" s="1" t="s">
        <v>289</v>
      </c>
      <c r="C698" t="s">
        <v>445</v>
      </c>
    </row>
    <row r="699" spans="1:3" x14ac:dyDescent="0.25">
      <c r="A699" s="1">
        <v>45756.824999999997</v>
      </c>
      <c r="B699" s="1" t="s">
        <v>289</v>
      </c>
      <c r="C699" t="s">
        <v>237</v>
      </c>
    </row>
    <row r="700" spans="1:3" x14ac:dyDescent="0.25">
      <c r="A700" s="1">
        <v>45756.785416667</v>
      </c>
      <c r="B700" s="1" t="s">
        <v>289</v>
      </c>
      <c r="C700" t="s">
        <v>111</v>
      </c>
    </row>
    <row r="701" spans="1:3" x14ac:dyDescent="0.25">
      <c r="A701" s="1">
        <v>45756.78125</v>
      </c>
      <c r="B701" s="1" t="s">
        <v>289</v>
      </c>
      <c r="C701" t="s">
        <v>585</v>
      </c>
    </row>
    <row r="702" spans="1:3" x14ac:dyDescent="0.25">
      <c r="A702" s="1">
        <v>45756.797916666997</v>
      </c>
      <c r="B702" s="1" t="s">
        <v>289</v>
      </c>
      <c r="C702" t="s">
        <v>635</v>
      </c>
    </row>
    <row r="703" spans="1:3" x14ac:dyDescent="0.25">
      <c r="A703" s="1">
        <v>45756.839583333</v>
      </c>
      <c r="B703" s="1" t="s">
        <v>289</v>
      </c>
      <c r="C703" t="s">
        <v>213</v>
      </c>
    </row>
    <row r="704" spans="1:3" x14ac:dyDescent="0.25">
      <c r="A704" s="1">
        <v>45756.816666667</v>
      </c>
      <c r="B704" s="1" t="s">
        <v>289</v>
      </c>
      <c r="C704" t="s">
        <v>634</v>
      </c>
    </row>
    <row r="705" spans="1:3" x14ac:dyDescent="0.25">
      <c r="A705" s="1">
        <v>45756.787499999999</v>
      </c>
      <c r="B705" s="1" t="s">
        <v>289</v>
      </c>
      <c r="C705" t="s">
        <v>459</v>
      </c>
    </row>
    <row r="706" spans="1:3" x14ac:dyDescent="0.25">
      <c r="A706" s="1">
        <v>45756.802083333001</v>
      </c>
      <c r="B706" s="1" t="s">
        <v>289</v>
      </c>
      <c r="C706" t="s">
        <v>720</v>
      </c>
    </row>
    <row r="707" spans="1:3" x14ac:dyDescent="0.25">
      <c r="A707" s="1">
        <v>45756.837500000001</v>
      </c>
      <c r="B707" s="1" t="s">
        <v>289</v>
      </c>
      <c r="C707" t="s">
        <v>224</v>
      </c>
    </row>
    <row r="708" spans="1:3" x14ac:dyDescent="0.25">
      <c r="A708" s="1">
        <v>45756.8125</v>
      </c>
      <c r="B708" s="1" t="s">
        <v>289</v>
      </c>
      <c r="C708" t="s">
        <v>176</v>
      </c>
    </row>
    <row r="709" spans="1:3" x14ac:dyDescent="0.25">
      <c r="A709" s="1">
        <v>45756.814583332998</v>
      </c>
      <c r="B709" s="1" t="s">
        <v>289</v>
      </c>
      <c r="C709" t="s">
        <v>149</v>
      </c>
    </row>
    <row r="710" spans="1:3" x14ac:dyDescent="0.25">
      <c r="A710" s="1">
        <v>45756.793749999997</v>
      </c>
      <c r="B710" s="1" t="s">
        <v>289</v>
      </c>
      <c r="C710" t="s">
        <v>645</v>
      </c>
    </row>
    <row r="711" spans="1:3" x14ac:dyDescent="0.25">
      <c r="A711" s="1">
        <v>45756.793749999997</v>
      </c>
      <c r="B711" s="1" t="s">
        <v>289</v>
      </c>
      <c r="C711" t="s">
        <v>518</v>
      </c>
    </row>
    <row r="712" spans="1:3" x14ac:dyDescent="0.25">
      <c r="A712" s="1">
        <v>45756.833333333001</v>
      </c>
      <c r="B712" s="1" t="s">
        <v>289</v>
      </c>
      <c r="C712" t="s">
        <v>770</v>
      </c>
    </row>
    <row r="713" spans="1:3" x14ac:dyDescent="0.25">
      <c r="A713" s="1">
        <v>45756.816666667</v>
      </c>
      <c r="B713" s="1" t="s">
        <v>289</v>
      </c>
      <c r="C713" t="s">
        <v>64</v>
      </c>
    </row>
    <row r="714" spans="1:3" x14ac:dyDescent="0.25">
      <c r="A714" s="1">
        <v>45755.875</v>
      </c>
      <c r="B714" s="1" t="s">
        <v>289</v>
      </c>
      <c r="C714" t="s">
        <v>466</v>
      </c>
    </row>
    <row r="715" spans="1:3" x14ac:dyDescent="0.25">
      <c r="A715" s="1">
        <v>45756.78125</v>
      </c>
      <c r="B715" s="1" t="s">
        <v>289</v>
      </c>
      <c r="C715" t="s">
        <v>476</v>
      </c>
    </row>
    <row r="716" spans="1:3" x14ac:dyDescent="0.25">
      <c r="A716" s="1">
        <v>45756.783333332998</v>
      </c>
      <c r="B716" s="1" t="s">
        <v>289</v>
      </c>
      <c r="C716" t="s">
        <v>632</v>
      </c>
    </row>
    <row r="717" spans="1:3" x14ac:dyDescent="0.25">
      <c r="A717" s="1">
        <v>45756.839583333</v>
      </c>
      <c r="B717" s="1" t="s">
        <v>289</v>
      </c>
      <c r="C717" t="s">
        <v>525</v>
      </c>
    </row>
    <row r="718" spans="1:3" x14ac:dyDescent="0.25">
      <c r="A718" s="1">
        <v>45756.818749999999</v>
      </c>
      <c r="B718" s="1" t="s">
        <v>289</v>
      </c>
      <c r="C718" t="s">
        <v>514</v>
      </c>
    </row>
    <row r="719" spans="1:3" x14ac:dyDescent="0.25">
      <c r="A719" s="1">
        <v>45756.824999999997</v>
      </c>
      <c r="B719" s="1" t="s">
        <v>289</v>
      </c>
      <c r="C719" t="s">
        <v>509</v>
      </c>
    </row>
    <row r="720" spans="1:3" x14ac:dyDescent="0.25">
      <c r="A720" s="1">
        <v>45756.827083333003</v>
      </c>
      <c r="B720" s="1" t="s">
        <v>289</v>
      </c>
      <c r="C720" t="s">
        <v>20</v>
      </c>
    </row>
    <row r="721" spans="1:3" x14ac:dyDescent="0.25">
      <c r="A721" s="1">
        <v>45756.795833333003</v>
      </c>
      <c r="B721" s="1" t="s">
        <v>289</v>
      </c>
      <c r="C721" t="s">
        <v>467</v>
      </c>
    </row>
    <row r="722" spans="1:3" x14ac:dyDescent="0.25">
      <c r="A722" s="1">
        <v>45756.802083333001</v>
      </c>
      <c r="B722" s="1" t="s">
        <v>289</v>
      </c>
      <c r="C722" t="s">
        <v>625</v>
      </c>
    </row>
    <row r="723" spans="1:3" x14ac:dyDescent="0.25">
      <c r="A723" s="1">
        <v>45756.779166667002</v>
      </c>
      <c r="B723" s="1" t="s">
        <v>289</v>
      </c>
      <c r="C723" t="s">
        <v>508</v>
      </c>
    </row>
    <row r="724" spans="1:3" x14ac:dyDescent="0.25">
      <c r="A724" s="1">
        <v>45756.789583332997</v>
      </c>
      <c r="B724" s="1" t="s">
        <v>289</v>
      </c>
      <c r="C724" t="s">
        <v>14</v>
      </c>
    </row>
    <row r="725" spans="1:3" x14ac:dyDescent="0.25">
      <c r="A725" s="1">
        <v>45756.787499999999</v>
      </c>
      <c r="B725" s="1" t="s">
        <v>289</v>
      </c>
      <c r="C725" t="s">
        <v>117</v>
      </c>
    </row>
    <row r="726" spans="1:3" x14ac:dyDescent="0.25">
      <c r="A726" s="1">
        <v>45756.775000000001</v>
      </c>
      <c r="B726" s="1" t="s">
        <v>289</v>
      </c>
      <c r="C726" t="s">
        <v>561</v>
      </c>
    </row>
    <row r="727" spans="1:3" x14ac:dyDescent="0.25">
      <c r="A727" s="1">
        <v>45756.814583332998</v>
      </c>
      <c r="B727" s="1" t="s">
        <v>289</v>
      </c>
      <c r="C727" t="s">
        <v>5</v>
      </c>
    </row>
    <row r="728" spans="1:3" x14ac:dyDescent="0.25">
      <c r="A728" s="1">
        <v>45756.775000000001</v>
      </c>
      <c r="B728" s="1" t="s">
        <v>289</v>
      </c>
      <c r="C728" t="s">
        <v>239</v>
      </c>
    </row>
    <row r="729" spans="1:3" x14ac:dyDescent="0.25">
      <c r="A729" s="1">
        <v>45756.833333333001</v>
      </c>
      <c r="B729" s="1" t="s">
        <v>289</v>
      </c>
      <c r="C729" t="s">
        <v>528</v>
      </c>
    </row>
    <row r="730" spans="1:3" x14ac:dyDescent="0.25">
      <c r="A730" s="1">
        <v>45756.839583333</v>
      </c>
      <c r="B730" s="1" t="s">
        <v>289</v>
      </c>
      <c r="C730" t="s">
        <v>559</v>
      </c>
    </row>
    <row r="731" spans="1:3" x14ac:dyDescent="0.25">
      <c r="A731" s="1">
        <v>45756.737500000003</v>
      </c>
      <c r="B731" s="1" t="s">
        <v>289</v>
      </c>
      <c r="C731" t="s">
        <v>842</v>
      </c>
    </row>
    <row r="732" spans="1:3" x14ac:dyDescent="0.25">
      <c r="A732" s="1">
        <v>45756.737500000003</v>
      </c>
      <c r="B732" s="1" t="s">
        <v>289</v>
      </c>
      <c r="C732" t="s">
        <v>492</v>
      </c>
    </row>
    <row r="733" spans="1:3" x14ac:dyDescent="0.25">
      <c r="A733" s="1">
        <v>45756.770833333001</v>
      </c>
      <c r="B733" s="1" t="s">
        <v>289</v>
      </c>
      <c r="C733" t="s">
        <v>581</v>
      </c>
    </row>
    <row r="734" spans="1:3" x14ac:dyDescent="0.25">
      <c r="A734" s="1">
        <v>45756.714583333</v>
      </c>
      <c r="B734" s="1" t="s">
        <v>289</v>
      </c>
      <c r="C734" t="s">
        <v>504</v>
      </c>
    </row>
    <row r="735" spans="1:3" x14ac:dyDescent="0.25">
      <c r="A735" s="1">
        <v>45756.745833333</v>
      </c>
      <c r="B735" s="1" t="s">
        <v>289</v>
      </c>
      <c r="C735" t="s">
        <v>536</v>
      </c>
    </row>
    <row r="736" spans="1:3" x14ac:dyDescent="0.25">
      <c r="A736" s="1">
        <v>45756.760416666999</v>
      </c>
      <c r="B736" s="1" t="s">
        <v>289</v>
      </c>
      <c r="C736" t="s">
        <v>677</v>
      </c>
    </row>
    <row r="737" spans="1:3" x14ac:dyDescent="0.25">
      <c r="A737" s="1">
        <v>45755.897916667003</v>
      </c>
      <c r="B737" s="1" t="s">
        <v>289</v>
      </c>
      <c r="C737" t="s">
        <v>843</v>
      </c>
    </row>
    <row r="738" spans="1:3" x14ac:dyDescent="0.25">
      <c r="A738" s="1">
        <v>45756.710416667003</v>
      </c>
      <c r="B738" s="1" t="s">
        <v>289</v>
      </c>
      <c r="C738" t="s">
        <v>334</v>
      </c>
    </row>
    <row r="739" spans="1:3" x14ac:dyDescent="0.25">
      <c r="A739" s="1">
        <v>45755.879166667</v>
      </c>
      <c r="B739" s="1" t="s">
        <v>289</v>
      </c>
      <c r="C739" t="s">
        <v>844</v>
      </c>
    </row>
    <row r="740" spans="1:3" x14ac:dyDescent="0.25">
      <c r="A740" s="1">
        <v>45755.760416666999</v>
      </c>
      <c r="B740" s="1" t="s">
        <v>289</v>
      </c>
      <c r="C740" t="s">
        <v>845</v>
      </c>
    </row>
    <row r="741" spans="1:3" x14ac:dyDescent="0.25">
      <c r="A741" s="1">
        <v>45755.816666667</v>
      </c>
      <c r="B741" s="1" t="s">
        <v>289</v>
      </c>
      <c r="C741" t="s">
        <v>688</v>
      </c>
    </row>
    <row r="742" spans="1:3" x14ac:dyDescent="0.25">
      <c r="A742" s="1">
        <v>45756.731249999997</v>
      </c>
      <c r="B742" s="1" t="s">
        <v>289</v>
      </c>
      <c r="C742" t="s">
        <v>846</v>
      </c>
    </row>
    <row r="743" spans="1:3" x14ac:dyDescent="0.25">
      <c r="A743" s="1">
        <v>45756.747916667002</v>
      </c>
      <c r="B743" s="1" t="s">
        <v>289</v>
      </c>
      <c r="C743" t="s">
        <v>847</v>
      </c>
    </row>
    <row r="744" spans="1:3" x14ac:dyDescent="0.25">
      <c r="A744" s="1">
        <v>45756.724999999999</v>
      </c>
      <c r="B744" s="1" t="s">
        <v>289</v>
      </c>
      <c r="C744" t="s">
        <v>591</v>
      </c>
    </row>
    <row r="745" spans="1:3" x14ac:dyDescent="0.25">
      <c r="A745" s="1">
        <v>45756.768750000003</v>
      </c>
      <c r="B745" s="1" t="s">
        <v>289</v>
      </c>
      <c r="C745" t="s">
        <v>848</v>
      </c>
    </row>
    <row r="746" spans="1:3" x14ac:dyDescent="0.25">
      <c r="A746" s="1">
        <v>45756.770833333001</v>
      </c>
      <c r="B746" s="1" t="s">
        <v>289</v>
      </c>
      <c r="C746" t="s">
        <v>849</v>
      </c>
    </row>
    <row r="747" spans="1:3" x14ac:dyDescent="0.25">
      <c r="A747" s="1">
        <v>45756.720833332998</v>
      </c>
      <c r="B747" s="1" t="s">
        <v>289</v>
      </c>
      <c r="C747" t="s">
        <v>753</v>
      </c>
    </row>
    <row r="748" spans="1:3" x14ac:dyDescent="0.25">
      <c r="A748" s="1">
        <v>45756.768750000003</v>
      </c>
      <c r="B748" s="1" t="s">
        <v>289</v>
      </c>
      <c r="C748" t="s">
        <v>850</v>
      </c>
    </row>
    <row r="749" spans="1:3" x14ac:dyDescent="0.25">
      <c r="A749" s="1">
        <v>45756.743750000001</v>
      </c>
      <c r="B749" s="1" t="s">
        <v>289</v>
      </c>
      <c r="C749" t="s">
        <v>193</v>
      </c>
    </row>
    <row r="750" spans="1:3" x14ac:dyDescent="0.25">
      <c r="A750" s="1">
        <v>45755.735416666997</v>
      </c>
      <c r="B750" s="1" t="s">
        <v>289</v>
      </c>
      <c r="C750" t="s">
        <v>696</v>
      </c>
    </row>
    <row r="751" spans="1:3" x14ac:dyDescent="0.25">
      <c r="A751" s="1">
        <v>45755.739583333001</v>
      </c>
      <c r="B751" s="1" t="s">
        <v>289</v>
      </c>
      <c r="C751" t="s">
        <v>851</v>
      </c>
    </row>
    <row r="752" spans="1:3" x14ac:dyDescent="0.25">
      <c r="A752" s="1">
        <v>45756.716666667002</v>
      </c>
      <c r="B752" s="1" t="s">
        <v>289</v>
      </c>
      <c r="C752" t="s">
        <v>852</v>
      </c>
    </row>
    <row r="753" spans="1:3" x14ac:dyDescent="0.25">
      <c r="A753" s="1">
        <v>45756.727083332997</v>
      </c>
      <c r="B753" s="1" t="s">
        <v>289</v>
      </c>
      <c r="C753" t="s">
        <v>853</v>
      </c>
    </row>
    <row r="754" spans="1:3" x14ac:dyDescent="0.25">
      <c r="A754" s="1">
        <v>45756.729166666999</v>
      </c>
      <c r="B754" s="1" t="s">
        <v>289</v>
      </c>
      <c r="C754" t="s">
        <v>854</v>
      </c>
    </row>
    <row r="755" spans="1:3" x14ac:dyDescent="0.25">
      <c r="A755" s="1">
        <v>45755.904166667002</v>
      </c>
      <c r="B755" s="1" t="s">
        <v>289</v>
      </c>
      <c r="C755" t="s">
        <v>855</v>
      </c>
    </row>
    <row r="756" spans="1:3" x14ac:dyDescent="0.25">
      <c r="A756" s="1">
        <v>45756.747916667002</v>
      </c>
      <c r="B756" s="1" t="s">
        <v>289</v>
      </c>
      <c r="C756" t="s">
        <v>855</v>
      </c>
    </row>
    <row r="757" spans="1:3" x14ac:dyDescent="0.25">
      <c r="A757" s="1">
        <v>45756.768750000003</v>
      </c>
      <c r="B757" s="1" t="s">
        <v>289</v>
      </c>
      <c r="C757" t="s">
        <v>856</v>
      </c>
    </row>
    <row r="758" spans="1:3" x14ac:dyDescent="0.25">
      <c r="A758" s="1">
        <v>45755.852083332997</v>
      </c>
      <c r="B758" s="1" t="s">
        <v>289</v>
      </c>
      <c r="C758" t="s">
        <v>857</v>
      </c>
    </row>
    <row r="759" spans="1:3" x14ac:dyDescent="0.25">
      <c r="A759" s="1">
        <v>45755.793749999997</v>
      </c>
      <c r="B759" s="1" t="s">
        <v>289</v>
      </c>
      <c r="C759" t="s">
        <v>858</v>
      </c>
    </row>
    <row r="760" spans="1:3" x14ac:dyDescent="0.25">
      <c r="A760" s="1">
        <v>45756.731249999997</v>
      </c>
      <c r="B760" s="1" t="s">
        <v>289</v>
      </c>
      <c r="C760" t="s">
        <v>859</v>
      </c>
    </row>
    <row r="761" spans="1:3" x14ac:dyDescent="0.25">
      <c r="A761" s="1">
        <v>45755.85</v>
      </c>
      <c r="B761" s="1" t="s">
        <v>289</v>
      </c>
      <c r="C761" t="s">
        <v>860</v>
      </c>
    </row>
    <row r="762" spans="1:3" x14ac:dyDescent="0.25">
      <c r="A762" s="1" t="s">
        <v>289</v>
      </c>
      <c r="B762" s="1" t="s">
        <v>289</v>
      </c>
    </row>
    <row r="763" spans="1:3" x14ac:dyDescent="0.25">
      <c r="A763" s="1">
        <v>45757.727083332997</v>
      </c>
      <c r="B763" s="1" t="s">
        <v>289</v>
      </c>
    </row>
    <row r="764" spans="1:3" x14ac:dyDescent="0.25">
      <c r="A764" s="1">
        <v>45757.783333332998</v>
      </c>
      <c r="B764" s="1" t="s">
        <v>289</v>
      </c>
    </row>
    <row r="765" spans="1:3" x14ac:dyDescent="0.25">
      <c r="A765" s="1">
        <v>45757.820833332997</v>
      </c>
      <c r="B765" s="1" t="s">
        <v>289</v>
      </c>
    </row>
    <row r="766" spans="1:3" x14ac:dyDescent="0.25">
      <c r="A766" s="1">
        <v>45757.816666667</v>
      </c>
      <c r="B766" s="1" t="s">
        <v>289</v>
      </c>
    </row>
    <row r="767" spans="1:3" x14ac:dyDescent="0.25">
      <c r="A767" s="1">
        <v>45757.822916666999</v>
      </c>
      <c r="B767" s="1" t="s">
        <v>289</v>
      </c>
    </row>
    <row r="768" spans="1:3" x14ac:dyDescent="0.25">
      <c r="A768" s="1" t="s">
        <v>289</v>
      </c>
      <c r="B768" s="1" t="s">
        <v>289</v>
      </c>
    </row>
    <row r="769" spans="1:2" x14ac:dyDescent="0.25">
      <c r="A769" s="1" t="s">
        <v>289</v>
      </c>
      <c r="B769" s="1" t="s">
        <v>289</v>
      </c>
    </row>
    <row r="770" spans="1:2" x14ac:dyDescent="0.25">
      <c r="A770" s="1" t="s">
        <v>289</v>
      </c>
      <c r="B770" s="1" t="s">
        <v>289</v>
      </c>
    </row>
    <row r="771" spans="1:2" x14ac:dyDescent="0.25">
      <c r="A771" s="1" t="s">
        <v>289</v>
      </c>
      <c r="B771" s="1" t="s">
        <v>289</v>
      </c>
    </row>
    <row r="772" spans="1:2" x14ac:dyDescent="0.25">
      <c r="A772" s="1" t="s">
        <v>289</v>
      </c>
      <c r="B772" s="1" t="s">
        <v>289</v>
      </c>
    </row>
    <row r="773" spans="1:2" x14ac:dyDescent="0.25">
      <c r="A773" s="1" t="s">
        <v>289</v>
      </c>
      <c r="B773" s="1" t="s">
        <v>289</v>
      </c>
    </row>
    <row r="774" spans="1:2" x14ac:dyDescent="0.25">
      <c r="A774" s="1">
        <v>45757.824999999997</v>
      </c>
      <c r="B774" s="1" t="s">
        <v>289</v>
      </c>
    </row>
    <row r="775" spans="1:2" x14ac:dyDescent="0.25">
      <c r="A775" s="1">
        <v>45757.84375</v>
      </c>
      <c r="B775" s="1" t="s">
        <v>289</v>
      </c>
    </row>
    <row r="776" spans="1:2" x14ac:dyDescent="0.25">
      <c r="A776" s="1" t="s">
        <v>289</v>
      </c>
      <c r="B776" s="1" t="s">
        <v>289</v>
      </c>
    </row>
    <row r="777" spans="1:2" x14ac:dyDescent="0.25">
      <c r="A777" s="1">
        <v>45757.824999999997</v>
      </c>
      <c r="B777" s="1" t="s">
        <v>289</v>
      </c>
    </row>
    <row r="778" spans="1:2" x14ac:dyDescent="0.25">
      <c r="A778" s="1">
        <v>45757.835416667003</v>
      </c>
      <c r="B778" s="1" t="s">
        <v>289</v>
      </c>
    </row>
    <row r="779" spans="1:2" x14ac:dyDescent="0.25">
      <c r="A779" s="1">
        <v>45757.841666667002</v>
      </c>
      <c r="B779" s="1" t="s">
        <v>289</v>
      </c>
    </row>
    <row r="780" spans="1:2" x14ac:dyDescent="0.25">
      <c r="A780" s="1">
        <v>45757.818749999999</v>
      </c>
      <c r="B780" s="1" t="s">
        <v>289</v>
      </c>
    </row>
    <row r="781" spans="1:2" x14ac:dyDescent="0.25">
      <c r="A781" s="1">
        <v>45757.818749999999</v>
      </c>
      <c r="B781" s="1" t="s">
        <v>289</v>
      </c>
    </row>
    <row r="782" spans="1:2" x14ac:dyDescent="0.25">
      <c r="A782" s="1">
        <v>45757.835416667003</v>
      </c>
      <c r="B782" s="1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F66B-446B-4CAA-85A7-17301A67A020}">
  <dimension ref="A1:D1321"/>
  <sheetViews>
    <sheetView workbookViewId="0">
      <selection activeCell="H5" sqref="H5"/>
    </sheetView>
  </sheetViews>
  <sheetFormatPr defaultRowHeight="15" x14ac:dyDescent="0.25"/>
  <cols>
    <col min="1" max="1" width="17.5703125" customWidth="1"/>
    <col min="2" max="2" width="21.5703125" customWidth="1"/>
    <col min="3" max="3" width="19.7109375" customWidth="1"/>
    <col min="4" max="4" width="32.5703125" customWidth="1"/>
  </cols>
  <sheetData>
    <row r="1" spans="1:4" x14ac:dyDescent="0.25">
      <c r="A1" t="s">
        <v>1106</v>
      </c>
      <c r="B1" t="s">
        <v>1107</v>
      </c>
      <c r="C1" t="s">
        <v>1108</v>
      </c>
      <c r="D1" t="s">
        <v>1109</v>
      </c>
    </row>
    <row r="2" spans="1:4" x14ac:dyDescent="0.25">
      <c r="A2" t="s">
        <v>875</v>
      </c>
      <c r="B2">
        <v>314</v>
      </c>
      <c r="C2">
        <v>154</v>
      </c>
      <c r="D2" t="s">
        <v>876</v>
      </c>
    </row>
    <row r="3" spans="1:4" x14ac:dyDescent="0.25">
      <c r="A3" t="s">
        <v>875</v>
      </c>
      <c r="B3">
        <v>321</v>
      </c>
      <c r="C3">
        <v>135</v>
      </c>
      <c r="D3" t="s">
        <v>876</v>
      </c>
    </row>
    <row r="4" spans="1:4" x14ac:dyDescent="0.25">
      <c r="A4" t="s">
        <v>875</v>
      </c>
      <c r="B4">
        <v>303</v>
      </c>
      <c r="C4">
        <v>150</v>
      </c>
      <c r="D4" t="s">
        <v>876</v>
      </c>
    </row>
    <row r="5" spans="1:4" x14ac:dyDescent="0.25">
      <c r="A5" t="s">
        <v>875</v>
      </c>
      <c r="B5">
        <v>331</v>
      </c>
      <c r="C5">
        <v>139</v>
      </c>
      <c r="D5" t="s">
        <v>876</v>
      </c>
    </row>
    <row r="6" spans="1:4" x14ac:dyDescent="0.25">
      <c r="A6" t="s">
        <v>875</v>
      </c>
      <c r="B6">
        <v>322</v>
      </c>
      <c r="C6">
        <v>151</v>
      </c>
      <c r="D6" t="s">
        <v>876</v>
      </c>
    </row>
    <row r="7" spans="1:4" x14ac:dyDescent="0.25">
      <c r="A7" t="s">
        <v>875</v>
      </c>
      <c r="B7">
        <v>312</v>
      </c>
      <c r="C7">
        <v>147</v>
      </c>
      <c r="D7" t="s">
        <v>876</v>
      </c>
    </row>
    <row r="8" spans="1:4" x14ac:dyDescent="0.25">
      <c r="A8" t="s">
        <v>875</v>
      </c>
      <c r="B8">
        <v>332</v>
      </c>
      <c r="C8">
        <v>143</v>
      </c>
      <c r="D8" t="s">
        <v>876</v>
      </c>
    </row>
    <row r="9" spans="1:4" x14ac:dyDescent="0.25">
      <c r="A9" t="s">
        <v>875</v>
      </c>
      <c r="B9">
        <v>313</v>
      </c>
      <c r="C9">
        <v>136</v>
      </c>
      <c r="D9" t="s">
        <v>876</v>
      </c>
    </row>
    <row r="10" spans="1:4" x14ac:dyDescent="0.25">
      <c r="A10" t="s">
        <v>875</v>
      </c>
      <c r="B10">
        <v>336</v>
      </c>
      <c r="C10">
        <v>152</v>
      </c>
      <c r="D10" t="s">
        <v>876</v>
      </c>
    </row>
    <row r="11" spans="1:4" x14ac:dyDescent="0.25">
      <c r="A11" t="s">
        <v>875</v>
      </c>
      <c r="B11">
        <v>302</v>
      </c>
      <c r="C11">
        <v>137</v>
      </c>
      <c r="D11" t="s">
        <v>876</v>
      </c>
    </row>
    <row r="12" spans="1:4" x14ac:dyDescent="0.25">
      <c r="A12" t="s">
        <v>875</v>
      </c>
      <c r="B12">
        <v>301</v>
      </c>
      <c r="C12">
        <v>133</v>
      </c>
      <c r="D12" t="s">
        <v>876</v>
      </c>
    </row>
    <row r="13" spans="1:4" x14ac:dyDescent="0.25">
      <c r="A13" t="s">
        <v>875</v>
      </c>
      <c r="B13">
        <v>323</v>
      </c>
      <c r="C13">
        <v>137</v>
      </c>
      <c r="D13" t="s">
        <v>876</v>
      </c>
    </row>
    <row r="14" spans="1:4" x14ac:dyDescent="0.25">
      <c r="A14" t="s">
        <v>875</v>
      </c>
      <c r="B14">
        <v>334</v>
      </c>
      <c r="C14">
        <v>143</v>
      </c>
      <c r="D14" t="s">
        <v>876</v>
      </c>
    </row>
    <row r="15" spans="1:4" x14ac:dyDescent="0.25">
      <c r="A15" t="s">
        <v>875</v>
      </c>
      <c r="B15">
        <v>335</v>
      </c>
      <c r="C15">
        <v>146</v>
      </c>
      <c r="D15" t="s">
        <v>876</v>
      </c>
    </row>
    <row r="16" spans="1:4" x14ac:dyDescent="0.25">
      <c r="A16" t="s">
        <v>875</v>
      </c>
      <c r="B16">
        <v>333</v>
      </c>
      <c r="C16">
        <v>143</v>
      </c>
      <c r="D16" t="s">
        <v>876</v>
      </c>
    </row>
    <row r="17" spans="1:4" x14ac:dyDescent="0.25">
      <c r="A17" t="s">
        <v>875</v>
      </c>
      <c r="B17">
        <v>311</v>
      </c>
      <c r="C17">
        <v>134</v>
      </c>
      <c r="D17" t="s">
        <v>876</v>
      </c>
    </row>
    <row r="18" spans="1:4" x14ac:dyDescent="0.25">
      <c r="A18" t="s">
        <v>875</v>
      </c>
      <c r="B18">
        <v>324</v>
      </c>
      <c r="C18">
        <v>153</v>
      </c>
      <c r="D18" t="s">
        <v>876</v>
      </c>
    </row>
    <row r="19" spans="1:4" x14ac:dyDescent="0.25">
      <c r="A19" t="s">
        <v>875</v>
      </c>
      <c r="B19">
        <v>235</v>
      </c>
      <c r="C19">
        <v>147</v>
      </c>
      <c r="D19" t="s">
        <v>876</v>
      </c>
    </row>
    <row r="20" spans="1:4" x14ac:dyDescent="0.25">
      <c r="A20" t="s">
        <v>875</v>
      </c>
      <c r="B20">
        <v>261</v>
      </c>
      <c r="C20">
        <v>141</v>
      </c>
      <c r="D20" t="s">
        <v>876</v>
      </c>
    </row>
    <row r="21" spans="1:4" x14ac:dyDescent="0.25">
      <c r="A21" t="s">
        <v>875</v>
      </c>
      <c r="B21">
        <v>236</v>
      </c>
      <c r="C21">
        <v>152</v>
      </c>
      <c r="D21" t="s">
        <v>876</v>
      </c>
    </row>
    <row r="22" spans="1:4" x14ac:dyDescent="0.25">
      <c r="A22" t="s">
        <v>875</v>
      </c>
      <c r="B22">
        <v>266</v>
      </c>
      <c r="C22">
        <v>150</v>
      </c>
      <c r="D22" t="s">
        <v>876</v>
      </c>
    </row>
    <row r="23" spans="1:4" x14ac:dyDescent="0.25">
      <c r="A23" t="s">
        <v>875</v>
      </c>
      <c r="B23">
        <v>263</v>
      </c>
      <c r="C23">
        <v>138</v>
      </c>
      <c r="D23" t="s">
        <v>876</v>
      </c>
    </row>
    <row r="24" spans="1:4" x14ac:dyDescent="0.25">
      <c r="A24" t="s">
        <v>875</v>
      </c>
      <c r="B24">
        <v>254</v>
      </c>
      <c r="C24">
        <v>151</v>
      </c>
      <c r="D24" t="s">
        <v>876</v>
      </c>
    </row>
    <row r="25" spans="1:4" x14ac:dyDescent="0.25">
      <c r="A25" t="s">
        <v>875</v>
      </c>
      <c r="B25">
        <v>242</v>
      </c>
      <c r="C25">
        <v>152</v>
      </c>
      <c r="D25" t="s">
        <v>876</v>
      </c>
    </row>
    <row r="26" spans="1:4" x14ac:dyDescent="0.25">
      <c r="A26" t="s">
        <v>875</v>
      </c>
      <c r="B26">
        <v>224</v>
      </c>
      <c r="C26">
        <v>153</v>
      </c>
      <c r="D26" t="s">
        <v>876</v>
      </c>
    </row>
    <row r="27" spans="1:4" x14ac:dyDescent="0.25">
      <c r="A27" t="s">
        <v>875</v>
      </c>
      <c r="B27">
        <v>203</v>
      </c>
      <c r="C27">
        <v>150</v>
      </c>
      <c r="D27" t="s">
        <v>876</v>
      </c>
    </row>
    <row r="28" spans="1:4" x14ac:dyDescent="0.25">
      <c r="A28" t="s">
        <v>875</v>
      </c>
      <c r="B28">
        <v>211</v>
      </c>
      <c r="C28">
        <v>134</v>
      </c>
      <c r="D28" t="s">
        <v>876</v>
      </c>
    </row>
    <row r="29" spans="1:4" x14ac:dyDescent="0.25">
      <c r="A29" t="s">
        <v>875</v>
      </c>
      <c r="B29">
        <v>262</v>
      </c>
      <c r="C29">
        <v>144</v>
      </c>
      <c r="D29" t="s">
        <v>876</v>
      </c>
    </row>
    <row r="30" spans="1:4" x14ac:dyDescent="0.25">
      <c r="A30" t="s">
        <v>875</v>
      </c>
      <c r="B30">
        <v>201</v>
      </c>
      <c r="C30">
        <v>133</v>
      </c>
      <c r="D30" t="s">
        <v>876</v>
      </c>
    </row>
    <row r="31" spans="1:4" x14ac:dyDescent="0.25">
      <c r="A31" t="s">
        <v>875</v>
      </c>
      <c r="B31">
        <v>202</v>
      </c>
      <c r="C31">
        <v>137</v>
      </c>
      <c r="D31" t="s">
        <v>876</v>
      </c>
    </row>
    <row r="32" spans="1:4" x14ac:dyDescent="0.25">
      <c r="A32" t="s">
        <v>875</v>
      </c>
      <c r="B32">
        <v>233</v>
      </c>
      <c r="C32">
        <v>143</v>
      </c>
      <c r="D32" t="s">
        <v>876</v>
      </c>
    </row>
    <row r="33" spans="1:4" x14ac:dyDescent="0.25">
      <c r="A33" t="s">
        <v>875</v>
      </c>
      <c r="B33">
        <v>243</v>
      </c>
      <c r="C33">
        <v>137</v>
      </c>
      <c r="D33" t="s">
        <v>876</v>
      </c>
    </row>
    <row r="34" spans="1:4" x14ac:dyDescent="0.25">
      <c r="A34" t="s">
        <v>875</v>
      </c>
      <c r="B34">
        <v>213</v>
      </c>
      <c r="C34">
        <v>136</v>
      </c>
      <c r="D34" t="s">
        <v>876</v>
      </c>
    </row>
    <row r="35" spans="1:4" x14ac:dyDescent="0.25">
      <c r="A35" t="s">
        <v>875</v>
      </c>
      <c r="B35">
        <v>212</v>
      </c>
      <c r="C35">
        <v>147</v>
      </c>
      <c r="D35" t="s">
        <v>876</v>
      </c>
    </row>
    <row r="36" spans="1:4" x14ac:dyDescent="0.25">
      <c r="A36" t="s">
        <v>875</v>
      </c>
      <c r="B36">
        <v>244</v>
      </c>
      <c r="C36">
        <v>151</v>
      </c>
      <c r="D36" t="s">
        <v>876</v>
      </c>
    </row>
    <row r="37" spans="1:4" x14ac:dyDescent="0.25">
      <c r="A37" t="s">
        <v>875</v>
      </c>
      <c r="B37">
        <v>221</v>
      </c>
      <c r="C37">
        <v>135</v>
      </c>
      <c r="D37" t="s">
        <v>876</v>
      </c>
    </row>
    <row r="38" spans="1:4" x14ac:dyDescent="0.25">
      <c r="A38" t="s">
        <v>875</v>
      </c>
      <c r="B38">
        <v>223</v>
      </c>
      <c r="C38">
        <v>136</v>
      </c>
      <c r="D38" t="s">
        <v>876</v>
      </c>
    </row>
    <row r="39" spans="1:4" x14ac:dyDescent="0.25">
      <c r="A39" t="s">
        <v>875</v>
      </c>
      <c r="B39">
        <v>265</v>
      </c>
      <c r="C39">
        <v>141</v>
      </c>
      <c r="D39" t="s">
        <v>876</v>
      </c>
    </row>
    <row r="40" spans="1:4" x14ac:dyDescent="0.25">
      <c r="A40" t="s">
        <v>875</v>
      </c>
      <c r="B40">
        <v>252</v>
      </c>
      <c r="C40">
        <v>152</v>
      </c>
      <c r="D40" t="s">
        <v>876</v>
      </c>
    </row>
    <row r="41" spans="1:4" x14ac:dyDescent="0.25">
      <c r="A41" t="s">
        <v>875</v>
      </c>
      <c r="B41">
        <v>214</v>
      </c>
      <c r="C41">
        <v>154</v>
      </c>
      <c r="D41" t="s">
        <v>876</v>
      </c>
    </row>
    <row r="42" spans="1:4" x14ac:dyDescent="0.25">
      <c r="A42" t="s">
        <v>875</v>
      </c>
      <c r="B42">
        <v>241</v>
      </c>
      <c r="C42">
        <v>138</v>
      </c>
      <c r="D42" t="s">
        <v>876</v>
      </c>
    </row>
    <row r="43" spans="1:4" x14ac:dyDescent="0.25">
      <c r="A43" t="s">
        <v>875</v>
      </c>
      <c r="B43">
        <v>253</v>
      </c>
      <c r="C43">
        <v>136</v>
      </c>
      <c r="D43" t="s">
        <v>876</v>
      </c>
    </row>
    <row r="44" spans="1:4" x14ac:dyDescent="0.25">
      <c r="A44" t="s">
        <v>875</v>
      </c>
      <c r="B44">
        <v>222</v>
      </c>
      <c r="C44">
        <v>151</v>
      </c>
      <c r="D44" t="s">
        <v>876</v>
      </c>
    </row>
    <row r="45" spans="1:4" x14ac:dyDescent="0.25">
      <c r="A45" t="s">
        <v>875</v>
      </c>
      <c r="B45">
        <v>234</v>
      </c>
      <c r="C45">
        <v>143</v>
      </c>
      <c r="D45" t="s">
        <v>876</v>
      </c>
    </row>
    <row r="46" spans="1:4" x14ac:dyDescent="0.25">
      <c r="A46" t="s">
        <v>875</v>
      </c>
      <c r="B46">
        <v>264</v>
      </c>
      <c r="C46">
        <v>144</v>
      </c>
      <c r="D46" t="s">
        <v>876</v>
      </c>
    </row>
    <row r="47" spans="1:4" x14ac:dyDescent="0.25">
      <c r="A47" t="s">
        <v>875</v>
      </c>
      <c r="B47">
        <v>232</v>
      </c>
      <c r="C47">
        <v>143</v>
      </c>
      <c r="D47" t="s">
        <v>876</v>
      </c>
    </row>
    <row r="48" spans="1:4" x14ac:dyDescent="0.25">
      <c r="A48" t="s">
        <v>875</v>
      </c>
      <c r="B48">
        <v>251</v>
      </c>
      <c r="C48">
        <v>136</v>
      </c>
      <c r="D48" t="s">
        <v>876</v>
      </c>
    </row>
    <row r="49" spans="1:4" x14ac:dyDescent="0.25">
      <c r="A49" t="s">
        <v>875</v>
      </c>
      <c r="B49">
        <v>231</v>
      </c>
      <c r="C49">
        <v>139</v>
      </c>
      <c r="D49" t="s">
        <v>876</v>
      </c>
    </row>
    <row r="50" spans="1:4" x14ac:dyDescent="0.25">
      <c r="A50" t="s">
        <v>875</v>
      </c>
      <c r="B50">
        <v>135</v>
      </c>
      <c r="C50">
        <v>147</v>
      </c>
      <c r="D50" t="s">
        <v>876</v>
      </c>
    </row>
    <row r="51" spans="1:4" x14ac:dyDescent="0.25">
      <c r="A51" t="s">
        <v>875</v>
      </c>
      <c r="B51">
        <v>152</v>
      </c>
      <c r="C51">
        <v>152</v>
      </c>
      <c r="D51" t="s">
        <v>876</v>
      </c>
    </row>
    <row r="52" spans="1:4" x14ac:dyDescent="0.25">
      <c r="A52" t="s">
        <v>875</v>
      </c>
      <c r="B52">
        <v>166</v>
      </c>
      <c r="C52">
        <v>150</v>
      </c>
      <c r="D52" t="s">
        <v>876</v>
      </c>
    </row>
    <row r="53" spans="1:4" x14ac:dyDescent="0.25">
      <c r="A53" t="s">
        <v>875</v>
      </c>
      <c r="B53">
        <v>131</v>
      </c>
      <c r="C53">
        <v>139</v>
      </c>
      <c r="D53" t="s">
        <v>876</v>
      </c>
    </row>
    <row r="54" spans="1:4" x14ac:dyDescent="0.25">
      <c r="A54" t="s">
        <v>875</v>
      </c>
      <c r="B54">
        <v>142</v>
      </c>
      <c r="C54">
        <v>152</v>
      </c>
      <c r="D54" t="s">
        <v>876</v>
      </c>
    </row>
    <row r="55" spans="1:4" x14ac:dyDescent="0.25">
      <c r="A55" t="s">
        <v>875</v>
      </c>
      <c r="B55">
        <v>134</v>
      </c>
      <c r="C55">
        <v>143</v>
      </c>
      <c r="D55" t="s">
        <v>876</v>
      </c>
    </row>
    <row r="56" spans="1:4" x14ac:dyDescent="0.25">
      <c r="A56" t="s">
        <v>875</v>
      </c>
      <c r="B56">
        <v>164</v>
      </c>
      <c r="C56">
        <v>144</v>
      </c>
      <c r="D56" t="s">
        <v>876</v>
      </c>
    </row>
    <row r="57" spans="1:4" x14ac:dyDescent="0.25">
      <c r="A57" t="s">
        <v>875</v>
      </c>
      <c r="B57">
        <v>151</v>
      </c>
      <c r="C57">
        <v>136</v>
      </c>
      <c r="D57" t="s">
        <v>876</v>
      </c>
    </row>
    <row r="58" spans="1:4" x14ac:dyDescent="0.25">
      <c r="A58" t="s">
        <v>875</v>
      </c>
      <c r="B58">
        <v>162</v>
      </c>
      <c r="C58">
        <v>144</v>
      </c>
      <c r="D58" t="s">
        <v>876</v>
      </c>
    </row>
    <row r="59" spans="1:4" x14ac:dyDescent="0.25">
      <c r="A59" t="s">
        <v>875</v>
      </c>
      <c r="B59">
        <v>143</v>
      </c>
      <c r="C59">
        <v>137</v>
      </c>
      <c r="D59" t="s">
        <v>876</v>
      </c>
    </row>
    <row r="60" spans="1:4" x14ac:dyDescent="0.25">
      <c r="A60" t="s">
        <v>875</v>
      </c>
      <c r="B60">
        <v>165</v>
      </c>
      <c r="C60">
        <v>141</v>
      </c>
      <c r="D60" t="s">
        <v>876</v>
      </c>
    </row>
    <row r="61" spans="1:4" x14ac:dyDescent="0.25">
      <c r="A61" t="s">
        <v>875</v>
      </c>
      <c r="B61">
        <v>124</v>
      </c>
      <c r="C61">
        <v>153</v>
      </c>
      <c r="D61" t="s">
        <v>876</v>
      </c>
    </row>
    <row r="62" spans="1:4" x14ac:dyDescent="0.25">
      <c r="A62" t="s">
        <v>875</v>
      </c>
      <c r="B62">
        <v>141</v>
      </c>
      <c r="C62">
        <v>138</v>
      </c>
      <c r="D62" t="s">
        <v>876</v>
      </c>
    </row>
    <row r="63" spans="1:4" x14ac:dyDescent="0.25">
      <c r="A63" t="s">
        <v>875</v>
      </c>
      <c r="B63">
        <v>161</v>
      </c>
      <c r="C63">
        <v>141</v>
      </c>
      <c r="D63" t="s">
        <v>876</v>
      </c>
    </row>
    <row r="64" spans="1:4" x14ac:dyDescent="0.25">
      <c r="A64" t="s">
        <v>875</v>
      </c>
      <c r="B64">
        <v>133</v>
      </c>
      <c r="C64">
        <v>143</v>
      </c>
      <c r="D64" t="s">
        <v>876</v>
      </c>
    </row>
    <row r="65" spans="1:4" x14ac:dyDescent="0.25">
      <c r="A65" t="s">
        <v>875</v>
      </c>
      <c r="B65">
        <v>123</v>
      </c>
      <c r="C65">
        <v>137</v>
      </c>
      <c r="D65" t="s">
        <v>876</v>
      </c>
    </row>
    <row r="66" spans="1:4" x14ac:dyDescent="0.25">
      <c r="A66" t="s">
        <v>875</v>
      </c>
      <c r="B66">
        <v>121</v>
      </c>
      <c r="C66">
        <v>135</v>
      </c>
      <c r="D66" t="s">
        <v>876</v>
      </c>
    </row>
    <row r="67" spans="1:4" x14ac:dyDescent="0.25">
      <c r="A67" t="s">
        <v>875</v>
      </c>
      <c r="B67">
        <v>132</v>
      </c>
      <c r="C67">
        <v>143</v>
      </c>
      <c r="D67" t="s">
        <v>876</v>
      </c>
    </row>
    <row r="68" spans="1:4" x14ac:dyDescent="0.25">
      <c r="A68" t="s">
        <v>875</v>
      </c>
      <c r="B68">
        <v>144</v>
      </c>
      <c r="C68">
        <v>151</v>
      </c>
      <c r="D68" t="s">
        <v>876</v>
      </c>
    </row>
    <row r="69" spans="1:4" x14ac:dyDescent="0.25">
      <c r="A69" t="s">
        <v>875</v>
      </c>
      <c r="B69">
        <v>122</v>
      </c>
      <c r="C69">
        <v>151</v>
      </c>
      <c r="D69" t="s">
        <v>876</v>
      </c>
    </row>
    <row r="70" spans="1:4" x14ac:dyDescent="0.25">
      <c r="A70" t="s">
        <v>875</v>
      </c>
      <c r="B70">
        <v>154</v>
      </c>
      <c r="C70">
        <v>151</v>
      </c>
      <c r="D70" t="s">
        <v>876</v>
      </c>
    </row>
    <row r="71" spans="1:4" x14ac:dyDescent="0.25">
      <c r="A71" t="s">
        <v>875</v>
      </c>
      <c r="B71">
        <v>136</v>
      </c>
      <c r="C71">
        <v>152</v>
      </c>
      <c r="D71" t="s">
        <v>876</v>
      </c>
    </row>
    <row r="72" spans="1:4" x14ac:dyDescent="0.25">
      <c r="A72" t="s">
        <v>875</v>
      </c>
      <c r="B72">
        <v>112</v>
      </c>
      <c r="C72">
        <v>146</v>
      </c>
      <c r="D72" t="s">
        <v>876</v>
      </c>
    </row>
    <row r="73" spans="1:4" x14ac:dyDescent="0.25">
      <c r="A73" t="s">
        <v>875</v>
      </c>
      <c r="B73">
        <v>114</v>
      </c>
      <c r="C73">
        <v>151</v>
      </c>
      <c r="D73" t="s">
        <v>876</v>
      </c>
    </row>
    <row r="74" spans="1:4" x14ac:dyDescent="0.25">
      <c r="A74" t="s">
        <v>875</v>
      </c>
      <c r="B74">
        <v>163</v>
      </c>
      <c r="C74">
        <v>138</v>
      </c>
      <c r="D74" t="s">
        <v>876</v>
      </c>
    </row>
    <row r="75" spans="1:4" x14ac:dyDescent="0.25">
      <c r="A75" t="s">
        <v>875</v>
      </c>
      <c r="B75">
        <v>111</v>
      </c>
      <c r="C75">
        <v>134</v>
      </c>
      <c r="D75" t="s">
        <v>876</v>
      </c>
    </row>
    <row r="76" spans="1:4" x14ac:dyDescent="0.25">
      <c r="A76" t="s">
        <v>875</v>
      </c>
      <c r="B76">
        <v>113</v>
      </c>
      <c r="C76">
        <v>137</v>
      </c>
      <c r="D76" t="s">
        <v>876</v>
      </c>
    </row>
    <row r="77" spans="1:4" x14ac:dyDescent="0.25">
      <c r="A77" t="s">
        <v>875</v>
      </c>
      <c r="B77">
        <v>153</v>
      </c>
      <c r="C77">
        <v>136</v>
      </c>
      <c r="D77" t="s">
        <v>876</v>
      </c>
    </row>
    <row r="78" spans="1:4" x14ac:dyDescent="0.25">
      <c r="A78" t="s">
        <v>877</v>
      </c>
      <c r="B78">
        <v>415</v>
      </c>
      <c r="C78">
        <v>147</v>
      </c>
      <c r="D78" t="s">
        <v>876</v>
      </c>
    </row>
    <row r="79" spans="1:4" x14ac:dyDescent="0.25">
      <c r="A79" t="s">
        <v>877</v>
      </c>
      <c r="B79">
        <v>421</v>
      </c>
      <c r="C79">
        <v>142</v>
      </c>
      <c r="D79" t="s">
        <v>876</v>
      </c>
    </row>
    <row r="80" spans="1:4" x14ac:dyDescent="0.25">
      <c r="A80" t="s">
        <v>877</v>
      </c>
      <c r="B80">
        <v>433</v>
      </c>
      <c r="C80">
        <v>148</v>
      </c>
      <c r="D80" t="s">
        <v>876</v>
      </c>
    </row>
    <row r="81" spans="1:4" x14ac:dyDescent="0.25">
      <c r="A81" t="s">
        <v>877</v>
      </c>
      <c r="B81" t="s">
        <v>878</v>
      </c>
      <c r="C81">
        <v>162</v>
      </c>
      <c r="D81" t="s">
        <v>876</v>
      </c>
    </row>
    <row r="82" spans="1:4" x14ac:dyDescent="0.25">
      <c r="A82" t="s">
        <v>877</v>
      </c>
      <c r="B82">
        <v>443</v>
      </c>
      <c r="C82">
        <v>181</v>
      </c>
      <c r="D82" t="s">
        <v>876</v>
      </c>
    </row>
    <row r="83" spans="1:4" x14ac:dyDescent="0.25">
      <c r="A83" t="s">
        <v>877</v>
      </c>
      <c r="B83">
        <v>426</v>
      </c>
      <c r="C83">
        <v>147</v>
      </c>
      <c r="D83" t="s">
        <v>876</v>
      </c>
    </row>
    <row r="84" spans="1:4" x14ac:dyDescent="0.25">
      <c r="A84" t="s">
        <v>877</v>
      </c>
      <c r="B84">
        <v>446</v>
      </c>
      <c r="C84">
        <v>200</v>
      </c>
      <c r="D84" t="s">
        <v>876</v>
      </c>
    </row>
    <row r="85" spans="1:4" x14ac:dyDescent="0.25">
      <c r="A85" t="s">
        <v>877</v>
      </c>
      <c r="B85">
        <v>432</v>
      </c>
      <c r="C85">
        <v>144</v>
      </c>
      <c r="D85" t="s">
        <v>876</v>
      </c>
    </row>
    <row r="86" spans="1:4" x14ac:dyDescent="0.25">
      <c r="A86" t="s">
        <v>877</v>
      </c>
      <c r="B86">
        <v>423</v>
      </c>
      <c r="C86">
        <v>144</v>
      </c>
      <c r="D86" t="s">
        <v>876</v>
      </c>
    </row>
    <row r="87" spans="1:4" x14ac:dyDescent="0.25">
      <c r="A87" t="s">
        <v>877</v>
      </c>
      <c r="B87">
        <v>442</v>
      </c>
      <c r="C87">
        <v>147</v>
      </c>
      <c r="D87" t="s">
        <v>876</v>
      </c>
    </row>
    <row r="88" spans="1:4" x14ac:dyDescent="0.25">
      <c r="A88" t="s">
        <v>877</v>
      </c>
      <c r="B88">
        <v>417</v>
      </c>
      <c r="C88">
        <v>147</v>
      </c>
      <c r="D88" t="s">
        <v>876</v>
      </c>
    </row>
    <row r="89" spans="1:4" x14ac:dyDescent="0.25">
      <c r="A89" t="s">
        <v>877</v>
      </c>
      <c r="B89">
        <v>438</v>
      </c>
      <c r="C89">
        <v>152</v>
      </c>
      <c r="D89" t="s">
        <v>876</v>
      </c>
    </row>
    <row r="90" spans="1:4" x14ac:dyDescent="0.25">
      <c r="A90" t="s">
        <v>877</v>
      </c>
      <c r="B90" t="s">
        <v>879</v>
      </c>
      <c r="C90">
        <v>163</v>
      </c>
      <c r="D90" t="s">
        <v>876</v>
      </c>
    </row>
    <row r="91" spans="1:4" x14ac:dyDescent="0.25">
      <c r="A91" t="s">
        <v>877</v>
      </c>
      <c r="B91">
        <v>436</v>
      </c>
      <c r="C91">
        <v>147</v>
      </c>
      <c r="D91" t="s">
        <v>876</v>
      </c>
    </row>
    <row r="92" spans="1:4" x14ac:dyDescent="0.25">
      <c r="A92" t="s">
        <v>877</v>
      </c>
      <c r="B92">
        <v>403</v>
      </c>
      <c r="C92">
        <v>147</v>
      </c>
      <c r="D92" t="s">
        <v>876</v>
      </c>
    </row>
    <row r="93" spans="1:4" x14ac:dyDescent="0.25">
      <c r="A93" t="s">
        <v>877</v>
      </c>
      <c r="B93">
        <v>409</v>
      </c>
      <c r="C93">
        <v>147</v>
      </c>
      <c r="D93" t="s">
        <v>876</v>
      </c>
    </row>
    <row r="94" spans="1:4" x14ac:dyDescent="0.25">
      <c r="A94" t="s">
        <v>877</v>
      </c>
      <c r="B94">
        <v>406</v>
      </c>
      <c r="C94">
        <v>147</v>
      </c>
      <c r="D94" t="s">
        <v>876</v>
      </c>
    </row>
    <row r="95" spans="1:4" x14ac:dyDescent="0.25">
      <c r="A95" t="s">
        <v>877</v>
      </c>
      <c r="B95" t="s">
        <v>880</v>
      </c>
      <c r="C95">
        <v>163</v>
      </c>
      <c r="D95" t="s">
        <v>876</v>
      </c>
    </row>
    <row r="96" spans="1:4" x14ac:dyDescent="0.25">
      <c r="A96" t="s">
        <v>877</v>
      </c>
      <c r="B96">
        <v>411</v>
      </c>
      <c r="C96">
        <v>146</v>
      </c>
      <c r="D96" t="s">
        <v>876</v>
      </c>
    </row>
    <row r="97" spans="1:4" x14ac:dyDescent="0.25">
      <c r="A97" t="s">
        <v>877</v>
      </c>
      <c r="B97">
        <v>412</v>
      </c>
      <c r="C97">
        <v>146</v>
      </c>
      <c r="D97" t="s">
        <v>876</v>
      </c>
    </row>
    <row r="98" spans="1:4" x14ac:dyDescent="0.25">
      <c r="A98" t="s">
        <v>877</v>
      </c>
      <c r="B98">
        <v>425</v>
      </c>
      <c r="C98">
        <v>141</v>
      </c>
      <c r="D98" t="s">
        <v>876</v>
      </c>
    </row>
    <row r="99" spans="1:4" x14ac:dyDescent="0.25">
      <c r="A99" t="s">
        <v>877</v>
      </c>
      <c r="B99">
        <v>420</v>
      </c>
      <c r="C99">
        <v>147</v>
      </c>
      <c r="D99" t="s">
        <v>876</v>
      </c>
    </row>
    <row r="100" spans="1:4" x14ac:dyDescent="0.25">
      <c r="A100" t="s">
        <v>877</v>
      </c>
      <c r="B100">
        <v>430</v>
      </c>
      <c r="C100">
        <v>150</v>
      </c>
      <c r="D100" t="s">
        <v>876</v>
      </c>
    </row>
    <row r="101" spans="1:4" x14ac:dyDescent="0.25">
      <c r="A101" t="s">
        <v>877</v>
      </c>
      <c r="B101" t="s">
        <v>881</v>
      </c>
      <c r="C101">
        <v>136</v>
      </c>
      <c r="D101" t="s">
        <v>876</v>
      </c>
    </row>
    <row r="102" spans="1:4" x14ac:dyDescent="0.25">
      <c r="A102" t="s">
        <v>877</v>
      </c>
      <c r="B102">
        <v>427</v>
      </c>
      <c r="C102">
        <v>179</v>
      </c>
      <c r="D102" t="s">
        <v>876</v>
      </c>
    </row>
    <row r="103" spans="1:4" x14ac:dyDescent="0.25">
      <c r="A103" t="s">
        <v>877</v>
      </c>
      <c r="B103">
        <v>413</v>
      </c>
      <c r="C103">
        <v>150</v>
      </c>
      <c r="D103" t="s">
        <v>876</v>
      </c>
    </row>
    <row r="104" spans="1:4" x14ac:dyDescent="0.25">
      <c r="A104" t="s">
        <v>877</v>
      </c>
      <c r="B104">
        <v>437</v>
      </c>
      <c r="C104">
        <v>183</v>
      </c>
      <c r="D104" t="s">
        <v>876</v>
      </c>
    </row>
    <row r="105" spans="1:4" x14ac:dyDescent="0.25">
      <c r="A105" t="s">
        <v>877</v>
      </c>
      <c r="B105">
        <v>401</v>
      </c>
      <c r="C105">
        <v>149</v>
      </c>
      <c r="D105" t="s">
        <v>876</v>
      </c>
    </row>
    <row r="106" spans="1:4" x14ac:dyDescent="0.25">
      <c r="A106" t="s">
        <v>877</v>
      </c>
      <c r="B106">
        <v>418</v>
      </c>
      <c r="C106">
        <v>147</v>
      </c>
      <c r="D106" t="s">
        <v>876</v>
      </c>
    </row>
    <row r="107" spans="1:4" x14ac:dyDescent="0.25">
      <c r="A107" t="s">
        <v>877</v>
      </c>
      <c r="B107">
        <v>435</v>
      </c>
      <c r="C107">
        <v>189</v>
      </c>
      <c r="D107" t="s">
        <v>876</v>
      </c>
    </row>
    <row r="108" spans="1:4" x14ac:dyDescent="0.25">
      <c r="A108" t="s">
        <v>877</v>
      </c>
      <c r="B108" t="s">
        <v>882</v>
      </c>
      <c r="C108">
        <v>142</v>
      </c>
      <c r="D108" t="s">
        <v>876</v>
      </c>
    </row>
    <row r="109" spans="1:4" x14ac:dyDescent="0.25">
      <c r="A109" t="s">
        <v>877</v>
      </c>
      <c r="B109" t="s">
        <v>883</v>
      </c>
      <c r="C109">
        <v>138</v>
      </c>
      <c r="D109" t="s">
        <v>876</v>
      </c>
    </row>
    <row r="110" spans="1:4" x14ac:dyDescent="0.25">
      <c r="A110" t="s">
        <v>877</v>
      </c>
      <c r="B110">
        <v>405</v>
      </c>
      <c r="C110">
        <v>147</v>
      </c>
      <c r="D110" t="s">
        <v>876</v>
      </c>
    </row>
    <row r="111" spans="1:4" x14ac:dyDescent="0.25">
      <c r="A111" t="s">
        <v>877</v>
      </c>
      <c r="B111">
        <v>439</v>
      </c>
      <c r="C111">
        <v>150</v>
      </c>
      <c r="D111" t="s">
        <v>876</v>
      </c>
    </row>
    <row r="112" spans="1:4" x14ac:dyDescent="0.25">
      <c r="A112" t="s">
        <v>877</v>
      </c>
      <c r="B112" t="s">
        <v>884</v>
      </c>
      <c r="C112">
        <v>144</v>
      </c>
      <c r="D112" t="s">
        <v>876</v>
      </c>
    </row>
    <row r="113" spans="1:4" x14ac:dyDescent="0.25">
      <c r="A113" t="s">
        <v>877</v>
      </c>
      <c r="B113">
        <v>431</v>
      </c>
      <c r="C113">
        <v>225</v>
      </c>
      <c r="D113" t="s">
        <v>885</v>
      </c>
    </row>
    <row r="114" spans="1:4" x14ac:dyDescent="0.25">
      <c r="A114" t="s">
        <v>877</v>
      </c>
      <c r="B114">
        <v>419</v>
      </c>
      <c r="C114">
        <v>146</v>
      </c>
      <c r="D114" t="s">
        <v>876</v>
      </c>
    </row>
    <row r="115" spans="1:4" x14ac:dyDescent="0.25">
      <c r="A115" t="s">
        <v>877</v>
      </c>
      <c r="B115">
        <v>402</v>
      </c>
      <c r="C115">
        <v>144</v>
      </c>
      <c r="D115" t="s">
        <v>876</v>
      </c>
    </row>
    <row r="116" spans="1:4" x14ac:dyDescent="0.25">
      <c r="A116" t="s">
        <v>877</v>
      </c>
      <c r="B116">
        <v>440</v>
      </c>
      <c r="C116">
        <v>182</v>
      </c>
      <c r="D116" t="s">
        <v>876</v>
      </c>
    </row>
    <row r="117" spans="1:4" x14ac:dyDescent="0.25">
      <c r="A117" t="s">
        <v>877</v>
      </c>
      <c r="B117">
        <v>428</v>
      </c>
      <c r="C117">
        <v>186</v>
      </c>
      <c r="D117" t="s">
        <v>876</v>
      </c>
    </row>
    <row r="118" spans="1:4" x14ac:dyDescent="0.25">
      <c r="A118" t="s">
        <v>877</v>
      </c>
      <c r="B118" t="s">
        <v>886</v>
      </c>
      <c r="C118">
        <v>170</v>
      </c>
      <c r="D118" t="s">
        <v>876</v>
      </c>
    </row>
    <row r="119" spans="1:4" x14ac:dyDescent="0.25">
      <c r="A119" t="s">
        <v>877</v>
      </c>
      <c r="B119">
        <v>444</v>
      </c>
      <c r="C119">
        <v>145</v>
      </c>
      <c r="D119" t="s">
        <v>876</v>
      </c>
    </row>
    <row r="120" spans="1:4" x14ac:dyDescent="0.25">
      <c r="A120" t="s">
        <v>877</v>
      </c>
      <c r="B120">
        <v>429</v>
      </c>
      <c r="C120">
        <v>136</v>
      </c>
      <c r="D120" t="s">
        <v>876</v>
      </c>
    </row>
    <row r="121" spans="1:4" x14ac:dyDescent="0.25">
      <c r="A121" t="s">
        <v>877</v>
      </c>
      <c r="B121" t="s">
        <v>887</v>
      </c>
      <c r="C121">
        <v>165</v>
      </c>
      <c r="D121" t="s">
        <v>876</v>
      </c>
    </row>
    <row r="122" spans="1:4" x14ac:dyDescent="0.25">
      <c r="A122" t="s">
        <v>877</v>
      </c>
      <c r="B122" t="s">
        <v>888</v>
      </c>
      <c r="C122">
        <v>143</v>
      </c>
      <c r="D122" t="s">
        <v>876</v>
      </c>
    </row>
    <row r="123" spans="1:4" x14ac:dyDescent="0.25">
      <c r="A123" t="s">
        <v>877</v>
      </c>
      <c r="B123">
        <v>445</v>
      </c>
      <c r="D123" t="s">
        <v>876</v>
      </c>
    </row>
    <row r="124" spans="1:4" x14ac:dyDescent="0.25">
      <c r="A124" t="s">
        <v>877</v>
      </c>
      <c r="B124">
        <v>408</v>
      </c>
      <c r="C124">
        <v>147</v>
      </c>
      <c r="D124" t="s">
        <v>876</v>
      </c>
    </row>
    <row r="125" spans="1:4" x14ac:dyDescent="0.25">
      <c r="A125" t="s">
        <v>877</v>
      </c>
      <c r="B125">
        <v>441</v>
      </c>
      <c r="C125">
        <v>185</v>
      </c>
      <c r="D125" t="s">
        <v>876</v>
      </c>
    </row>
    <row r="126" spans="1:4" x14ac:dyDescent="0.25">
      <c r="A126" t="s">
        <v>877</v>
      </c>
      <c r="B126">
        <v>416</v>
      </c>
      <c r="C126">
        <v>147</v>
      </c>
      <c r="D126" t="s">
        <v>876</v>
      </c>
    </row>
    <row r="127" spans="1:4" x14ac:dyDescent="0.25">
      <c r="A127" t="s">
        <v>877</v>
      </c>
      <c r="B127">
        <v>434</v>
      </c>
      <c r="C127">
        <v>205</v>
      </c>
      <c r="D127" t="s">
        <v>876</v>
      </c>
    </row>
    <row r="128" spans="1:4" x14ac:dyDescent="0.25">
      <c r="A128" t="s">
        <v>877</v>
      </c>
      <c r="B128">
        <v>407</v>
      </c>
      <c r="C128">
        <v>146</v>
      </c>
      <c r="D128" t="s">
        <v>876</v>
      </c>
    </row>
    <row r="129" spans="1:4" x14ac:dyDescent="0.25">
      <c r="A129" t="s">
        <v>877</v>
      </c>
      <c r="B129">
        <v>410</v>
      </c>
      <c r="C129">
        <v>147</v>
      </c>
      <c r="D129" t="s">
        <v>876</v>
      </c>
    </row>
    <row r="130" spans="1:4" x14ac:dyDescent="0.25">
      <c r="A130" t="s">
        <v>877</v>
      </c>
      <c r="B130" t="s">
        <v>889</v>
      </c>
      <c r="C130">
        <v>136</v>
      </c>
      <c r="D130" t="s">
        <v>876</v>
      </c>
    </row>
    <row r="131" spans="1:4" x14ac:dyDescent="0.25">
      <c r="A131" t="s">
        <v>877</v>
      </c>
      <c r="B131">
        <v>414</v>
      </c>
      <c r="C131">
        <v>147</v>
      </c>
      <c r="D131" t="s">
        <v>876</v>
      </c>
    </row>
    <row r="132" spans="1:4" x14ac:dyDescent="0.25">
      <c r="A132" t="s">
        <v>877</v>
      </c>
      <c r="B132">
        <v>424</v>
      </c>
      <c r="C132">
        <v>149</v>
      </c>
      <c r="D132" t="s">
        <v>876</v>
      </c>
    </row>
    <row r="133" spans="1:4" x14ac:dyDescent="0.25">
      <c r="A133" t="s">
        <v>877</v>
      </c>
      <c r="B133">
        <v>422</v>
      </c>
      <c r="C133">
        <v>149</v>
      </c>
      <c r="D133" t="s">
        <v>876</v>
      </c>
    </row>
    <row r="134" spans="1:4" x14ac:dyDescent="0.25">
      <c r="A134" t="s">
        <v>877</v>
      </c>
      <c r="B134" t="s">
        <v>890</v>
      </c>
      <c r="C134">
        <v>164</v>
      </c>
      <c r="D134" t="s">
        <v>876</v>
      </c>
    </row>
    <row r="135" spans="1:4" x14ac:dyDescent="0.25">
      <c r="A135" t="s">
        <v>877</v>
      </c>
      <c r="B135">
        <v>404</v>
      </c>
      <c r="C135">
        <v>142</v>
      </c>
      <c r="D135" t="s">
        <v>876</v>
      </c>
    </row>
    <row r="136" spans="1:4" x14ac:dyDescent="0.25">
      <c r="A136" t="s">
        <v>877</v>
      </c>
      <c r="B136">
        <v>463</v>
      </c>
      <c r="C136">
        <v>149</v>
      </c>
      <c r="D136" t="s">
        <v>876</v>
      </c>
    </row>
    <row r="137" spans="1:4" x14ac:dyDescent="0.25">
      <c r="A137" t="s">
        <v>877</v>
      </c>
      <c r="B137" t="s">
        <v>891</v>
      </c>
      <c r="C137">
        <v>140</v>
      </c>
      <c r="D137" t="s">
        <v>876</v>
      </c>
    </row>
    <row r="138" spans="1:4" x14ac:dyDescent="0.25">
      <c r="A138" t="s">
        <v>877</v>
      </c>
      <c r="B138" t="s">
        <v>892</v>
      </c>
      <c r="C138">
        <v>164</v>
      </c>
      <c r="D138" t="s">
        <v>876</v>
      </c>
    </row>
    <row r="139" spans="1:4" x14ac:dyDescent="0.25">
      <c r="A139" t="s">
        <v>877</v>
      </c>
      <c r="B139">
        <v>451</v>
      </c>
      <c r="C139">
        <v>149</v>
      </c>
      <c r="D139" t="s">
        <v>876</v>
      </c>
    </row>
    <row r="140" spans="1:4" x14ac:dyDescent="0.25">
      <c r="A140" t="s">
        <v>877</v>
      </c>
      <c r="B140">
        <v>460</v>
      </c>
      <c r="C140">
        <v>149</v>
      </c>
      <c r="D140" t="s">
        <v>876</v>
      </c>
    </row>
    <row r="141" spans="1:4" x14ac:dyDescent="0.25">
      <c r="A141" t="s">
        <v>877</v>
      </c>
      <c r="B141">
        <v>453</v>
      </c>
      <c r="C141">
        <v>149</v>
      </c>
      <c r="D141" t="s">
        <v>876</v>
      </c>
    </row>
    <row r="142" spans="1:4" x14ac:dyDescent="0.25">
      <c r="A142" t="s">
        <v>877</v>
      </c>
      <c r="B142" t="s">
        <v>893</v>
      </c>
      <c r="C142">
        <v>164</v>
      </c>
      <c r="D142" t="s">
        <v>876</v>
      </c>
    </row>
    <row r="143" spans="1:4" x14ac:dyDescent="0.25">
      <c r="A143" t="s">
        <v>877</v>
      </c>
      <c r="B143">
        <v>472</v>
      </c>
      <c r="C143">
        <v>149</v>
      </c>
      <c r="D143" t="s">
        <v>876</v>
      </c>
    </row>
    <row r="144" spans="1:4" x14ac:dyDescent="0.25">
      <c r="A144" t="s">
        <v>877</v>
      </c>
      <c r="B144">
        <v>469</v>
      </c>
      <c r="C144">
        <v>149</v>
      </c>
      <c r="D144" t="s">
        <v>876</v>
      </c>
    </row>
    <row r="145" spans="1:4" x14ac:dyDescent="0.25">
      <c r="A145" t="s">
        <v>877</v>
      </c>
      <c r="B145" t="s">
        <v>894</v>
      </c>
      <c r="C145">
        <v>165</v>
      </c>
      <c r="D145" t="s">
        <v>876</v>
      </c>
    </row>
    <row r="146" spans="1:4" x14ac:dyDescent="0.25">
      <c r="A146" t="s">
        <v>877</v>
      </c>
      <c r="B146">
        <v>466</v>
      </c>
      <c r="C146">
        <v>149</v>
      </c>
      <c r="D146" t="s">
        <v>876</v>
      </c>
    </row>
    <row r="147" spans="1:4" x14ac:dyDescent="0.25">
      <c r="A147" t="s">
        <v>877</v>
      </c>
      <c r="B147" t="s">
        <v>895</v>
      </c>
      <c r="C147">
        <v>136</v>
      </c>
      <c r="D147" t="s">
        <v>876</v>
      </c>
    </row>
    <row r="148" spans="1:4" x14ac:dyDescent="0.25">
      <c r="A148" t="s">
        <v>877</v>
      </c>
      <c r="B148">
        <v>458</v>
      </c>
      <c r="C148">
        <v>149</v>
      </c>
      <c r="D148" t="s">
        <v>876</v>
      </c>
    </row>
    <row r="149" spans="1:4" x14ac:dyDescent="0.25">
      <c r="A149" t="s">
        <v>877</v>
      </c>
      <c r="B149" t="s">
        <v>896</v>
      </c>
      <c r="C149">
        <v>139</v>
      </c>
      <c r="D149" t="s">
        <v>876</v>
      </c>
    </row>
    <row r="150" spans="1:4" x14ac:dyDescent="0.25">
      <c r="A150" t="s">
        <v>877</v>
      </c>
      <c r="B150">
        <v>455</v>
      </c>
      <c r="C150">
        <v>149</v>
      </c>
      <c r="D150" t="s">
        <v>876</v>
      </c>
    </row>
    <row r="151" spans="1:4" x14ac:dyDescent="0.25">
      <c r="A151" t="s">
        <v>877</v>
      </c>
      <c r="B151">
        <v>465</v>
      </c>
      <c r="C151">
        <v>149</v>
      </c>
      <c r="D151" t="s">
        <v>876</v>
      </c>
    </row>
    <row r="152" spans="1:4" x14ac:dyDescent="0.25">
      <c r="A152" t="s">
        <v>877</v>
      </c>
      <c r="B152">
        <v>471</v>
      </c>
      <c r="C152">
        <v>146</v>
      </c>
      <c r="D152" t="s">
        <v>876</v>
      </c>
    </row>
    <row r="153" spans="1:4" x14ac:dyDescent="0.25">
      <c r="A153" t="s">
        <v>877</v>
      </c>
      <c r="B153">
        <v>457</v>
      </c>
      <c r="C153">
        <v>147</v>
      </c>
      <c r="D153" t="s">
        <v>876</v>
      </c>
    </row>
    <row r="154" spans="1:4" x14ac:dyDescent="0.25">
      <c r="A154" t="s">
        <v>877</v>
      </c>
      <c r="B154" t="s">
        <v>897</v>
      </c>
      <c r="C154">
        <v>140</v>
      </c>
      <c r="D154" t="s">
        <v>876</v>
      </c>
    </row>
    <row r="155" spans="1:4" x14ac:dyDescent="0.25">
      <c r="A155" t="s">
        <v>877</v>
      </c>
      <c r="B155">
        <v>456</v>
      </c>
      <c r="C155">
        <v>149</v>
      </c>
      <c r="D155" t="s">
        <v>876</v>
      </c>
    </row>
    <row r="156" spans="1:4" x14ac:dyDescent="0.25">
      <c r="A156" t="s">
        <v>877</v>
      </c>
      <c r="B156">
        <v>470</v>
      </c>
      <c r="C156">
        <v>149</v>
      </c>
      <c r="D156" t="s">
        <v>876</v>
      </c>
    </row>
    <row r="157" spans="1:4" x14ac:dyDescent="0.25">
      <c r="A157" t="s">
        <v>877</v>
      </c>
      <c r="B157" t="s">
        <v>898</v>
      </c>
      <c r="C157">
        <v>139</v>
      </c>
      <c r="D157" t="s">
        <v>876</v>
      </c>
    </row>
    <row r="158" spans="1:4" x14ac:dyDescent="0.25">
      <c r="A158" t="s">
        <v>877</v>
      </c>
      <c r="B158">
        <v>464</v>
      </c>
      <c r="C158">
        <v>149</v>
      </c>
      <c r="D158" t="s">
        <v>876</v>
      </c>
    </row>
    <row r="159" spans="1:4" x14ac:dyDescent="0.25">
      <c r="A159" t="s">
        <v>877</v>
      </c>
      <c r="B159">
        <v>452</v>
      </c>
      <c r="C159">
        <v>146</v>
      </c>
      <c r="D159" t="s">
        <v>876</v>
      </c>
    </row>
    <row r="160" spans="1:4" x14ac:dyDescent="0.25">
      <c r="A160" t="s">
        <v>877</v>
      </c>
      <c r="B160">
        <v>467</v>
      </c>
      <c r="C160">
        <v>467</v>
      </c>
      <c r="D160" t="s">
        <v>876</v>
      </c>
    </row>
    <row r="161" spans="1:4" x14ac:dyDescent="0.25">
      <c r="A161" t="s">
        <v>877</v>
      </c>
      <c r="B161" t="s">
        <v>899</v>
      </c>
      <c r="C161">
        <v>165</v>
      </c>
      <c r="D161" t="s">
        <v>876</v>
      </c>
    </row>
    <row r="162" spans="1:4" x14ac:dyDescent="0.25">
      <c r="A162" t="s">
        <v>877</v>
      </c>
      <c r="B162">
        <v>462</v>
      </c>
      <c r="C162">
        <v>149</v>
      </c>
      <c r="D162" t="s">
        <v>876</v>
      </c>
    </row>
    <row r="163" spans="1:4" x14ac:dyDescent="0.25">
      <c r="A163" t="s">
        <v>877</v>
      </c>
      <c r="B163">
        <v>473</v>
      </c>
      <c r="C163">
        <v>146</v>
      </c>
      <c r="D163" t="s">
        <v>876</v>
      </c>
    </row>
    <row r="164" spans="1:4" x14ac:dyDescent="0.25">
      <c r="A164" t="s">
        <v>877</v>
      </c>
      <c r="B164">
        <v>468</v>
      </c>
      <c r="C164">
        <v>149</v>
      </c>
      <c r="D164" t="s">
        <v>876</v>
      </c>
    </row>
    <row r="165" spans="1:4" x14ac:dyDescent="0.25">
      <c r="A165" t="s">
        <v>877</v>
      </c>
      <c r="B165" t="s">
        <v>900</v>
      </c>
      <c r="C165">
        <v>164</v>
      </c>
      <c r="D165" t="s">
        <v>876</v>
      </c>
    </row>
    <row r="166" spans="1:4" x14ac:dyDescent="0.25">
      <c r="A166" t="s">
        <v>877</v>
      </c>
      <c r="B166">
        <v>454</v>
      </c>
      <c r="C166">
        <v>146</v>
      </c>
      <c r="D166" t="s">
        <v>876</v>
      </c>
    </row>
    <row r="167" spans="1:4" x14ac:dyDescent="0.25">
      <c r="A167" t="s">
        <v>877</v>
      </c>
      <c r="B167" t="s">
        <v>901</v>
      </c>
      <c r="C167">
        <v>140</v>
      </c>
      <c r="D167" t="s">
        <v>876</v>
      </c>
    </row>
    <row r="168" spans="1:4" x14ac:dyDescent="0.25">
      <c r="A168" t="s">
        <v>877</v>
      </c>
      <c r="B168" t="s">
        <v>902</v>
      </c>
      <c r="C168">
        <v>165</v>
      </c>
      <c r="D168" t="s">
        <v>876</v>
      </c>
    </row>
    <row r="169" spans="1:4" x14ac:dyDescent="0.25">
      <c r="A169" t="s">
        <v>877</v>
      </c>
      <c r="B169">
        <v>474</v>
      </c>
      <c r="C169">
        <v>149</v>
      </c>
      <c r="D169" t="s">
        <v>876</v>
      </c>
    </row>
    <row r="170" spans="1:4" x14ac:dyDescent="0.25">
      <c r="A170" t="s">
        <v>877</v>
      </c>
      <c r="B170">
        <v>459</v>
      </c>
      <c r="C170">
        <v>149</v>
      </c>
      <c r="D170" t="s">
        <v>876</v>
      </c>
    </row>
    <row r="171" spans="1:4" x14ac:dyDescent="0.25">
      <c r="A171" t="s">
        <v>877</v>
      </c>
      <c r="B171">
        <v>461</v>
      </c>
      <c r="C171">
        <v>148</v>
      </c>
      <c r="D171" t="s">
        <v>876</v>
      </c>
    </row>
    <row r="172" spans="1:4" x14ac:dyDescent="0.25">
      <c r="A172" t="s">
        <v>903</v>
      </c>
      <c r="B172">
        <v>204</v>
      </c>
      <c r="C172">
        <v>163</v>
      </c>
      <c r="D172" t="s">
        <v>904</v>
      </c>
    </row>
    <row r="173" spans="1:4" x14ac:dyDescent="0.25">
      <c r="A173" t="s">
        <v>903</v>
      </c>
      <c r="B173">
        <v>213</v>
      </c>
      <c r="C173">
        <v>247</v>
      </c>
      <c r="D173" t="s">
        <v>905</v>
      </c>
    </row>
    <row r="174" spans="1:4" x14ac:dyDescent="0.25">
      <c r="A174" t="s">
        <v>903</v>
      </c>
      <c r="B174">
        <v>221</v>
      </c>
      <c r="C174">
        <v>231</v>
      </c>
      <c r="D174" t="s">
        <v>905</v>
      </c>
    </row>
    <row r="175" spans="1:4" x14ac:dyDescent="0.25">
      <c r="A175" t="s">
        <v>903</v>
      </c>
      <c r="B175">
        <v>219</v>
      </c>
      <c r="C175">
        <v>167</v>
      </c>
      <c r="D175" t="s">
        <v>904</v>
      </c>
    </row>
    <row r="176" spans="1:4" x14ac:dyDescent="0.25">
      <c r="A176" t="s">
        <v>903</v>
      </c>
      <c r="B176">
        <v>206</v>
      </c>
      <c r="C176">
        <v>248</v>
      </c>
      <c r="D176" t="s">
        <v>905</v>
      </c>
    </row>
    <row r="177" spans="1:4" x14ac:dyDescent="0.25">
      <c r="A177" t="s">
        <v>903</v>
      </c>
      <c r="B177">
        <v>220</v>
      </c>
      <c r="C177">
        <v>240</v>
      </c>
      <c r="D177" t="s">
        <v>905</v>
      </c>
    </row>
    <row r="178" spans="1:4" x14ac:dyDescent="0.25">
      <c r="A178" t="s">
        <v>903</v>
      </c>
      <c r="B178">
        <v>201</v>
      </c>
      <c r="C178">
        <v>189</v>
      </c>
      <c r="D178" t="s">
        <v>905</v>
      </c>
    </row>
    <row r="179" spans="1:4" x14ac:dyDescent="0.25">
      <c r="A179" t="s">
        <v>903</v>
      </c>
      <c r="B179">
        <v>217</v>
      </c>
      <c r="C179">
        <v>175</v>
      </c>
      <c r="D179" t="s">
        <v>905</v>
      </c>
    </row>
    <row r="180" spans="1:4" x14ac:dyDescent="0.25">
      <c r="A180" t="s">
        <v>903</v>
      </c>
      <c r="B180">
        <v>207</v>
      </c>
      <c r="C180">
        <v>179</v>
      </c>
      <c r="D180" t="s">
        <v>904</v>
      </c>
    </row>
    <row r="181" spans="1:4" x14ac:dyDescent="0.25">
      <c r="A181" t="s">
        <v>903</v>
      </c>
      <c r="B181">
        <v>216</v>
      </c>
      <c r="C181">
        <v>163</v>
      </c>
      <c r="D181" t="s">
        <v>904</v>
      </c>
    </row>
    <row r="182" spans="1:4" x14ac:dyDescent="0.25">
      <c r="A182" t="s">
        <v>903</v>
      </c>
      <c r="B182">
        <v>210</v>
      </c>
      <c r="C182">
        <v>248</v>
      </c>
      <c r="D182" t="s">
        <v>905</v>
      </c>
    </row>
    <row r="183" spans="1:4" x14ac:dyDescent="0.25">
      <c r="A183" t="s">
        <v>903</v>
      </c>
      <c r="B183">
        <v>211</v>
      </c>
      <c r="C183">
        <v>248</v>
      </c>
      <c r="D183" t="s">
        <v>905</v>
      </c>
    </row>
    <row r="184" spans="1:4" x14ac:dyDescent="0.25">
      <c r="A184" t="s">
        <v>903</v>
      </c>
      <c r="B184">
        <v>218</v>
      </c>
      <c r="C184">
        <v>238</v>
      </c>
      <c r="D184" t="s">
        <v>905</v>
      </c>
    </row>
    <row r="185" spans="1:4" x14ac:dyDescent="0.25">
      <c r="A185" t="s">
        <v>903</v>
      </c>
      <c r="B185">
        <v>208</v>
      </c>
      <c r="C185">
        <v>248</v>
      </c>
      <c r="D185" t="s">
        <v>905</v>
      </c>
    </row>
    <row r="186" spans="1:4" x14ac:dyDescent="0.25">
      <c r="A186" t="s">
        <v>903</v>
      </c>
      <c r="B186">
        <v>209</v>
      </c>
      <c r="C186">
        <v>248</v>
      </c>
      <c r="D186" t="s">
        <v>905</v>
      </c>
    </row>
    <row r="187" spans="1:4" x14ac:dyDescent="0.25">
      <c r="A187" t="s">
        <v>903</v>
      </c>
      <c r="B187">
        <v>203</v>
      </c>
      <c r="C187">
        <v>168</v>
      </c>
      <c r="D187" t="s">
        <v>904</v>
      </c>
    </row>
    <row r="188" spans="1:4" x14ac:dyDescent="0.25">
      <c r="A188" t="s">
        <v>903</v>
      </c>
      <c r="B188">
        <v>214</v>
      </c>
      <c r="C188">
        <v>163</v>
      </c>
      <c r="D188" t="s">
        <v>904</v>
      </c>
    </row>
    <row r="189" spans="1:4" x14ac:dyDescent="0.25">
      <c r="A189" t="s">
        <v>903</v>
      </c>
      <c r="B189">
        <v>215</v>
      </c>
      <c r="C189">
        <v>248</v>
      </c>
      <c r="D189" t="s">
        <v>905</v>
      </c>
    </row>
    <row r="190" spans="1:4" x14ac:dyDescent="0.25">
      <c r="A190" t="s">
        <v>903</v>
      </c>
      <c r="B190">
        <v>205</v>
      </c>
      <c r="C190">
        <v>178</v>
      </c>
      <c r="D190" t="s">
        <v>904</v>
      </c>
    </row>
    <row r="191" spans="1:4" x14ac:dyDescent="0.25">
      <c r="A191" t="s">
        <v>903</v>
      </c>
      <c r="B191">
        <v>202</v>
      </c>
      <c r="C191">
        <v>235</v>
      </c>
      <c r="D191" t="s">
        <v>905</v>
      </c>
    </row>
    <row r="192" spans="1:4" x14ac:dyDescent="0.25">
      <c r="A192" t="s">
        <v>903</v>
      </c>
      <c r="B192">
        <v>212</v>
      </c>
      <c r="C192">
        <v>163</v>
      </c>
      <c r="D192" t="s">
        <v>904</v>
      </c>
    </row>
    <row r="193" spans="1:4" x14ac:dyDescent="0.25">
      <c r="A193" t="s">
        <v>903</v>
      </c>
      <c r="B193">
        <v>200</v>
      </c>
      <c r="C193">
        <v>251</v>
      </c>
      <c r="D193" t="s">
        <v>905</v>
      </c>
    </row>
    <row r="194" spans="1:4" x14ac:dyDescent="0.25">
      <c r="A194" t="s">
        <v>903</v>
      </c>
      <c r="B194">
        <v>103</v>
      </c>
      <c r="C194">
        <v>218</v>
      </c>
      <c r="D194" t="s">
        <v>905</v>
      </c>
    </row>
    <row r="195" spans="1:4" x14ac:dyDescent="0.25">
      <c r="A195" t="s">
        <v>903</v>
      </c>
      <c r="B195">
        <v>128</v>
      </c>
      <c r="C195">
        <v>200</v>
      </c>
      <c r="D195" t="s">
        <v>904</v>
      </c>
    </row>
    <row r="196" spans="1:4" x14ac:dyDescent="0.25">
      <c r="A196" t="s">
        <v>903</v>
      </c>
      <c r="B196">
        <v>105</v>
      </c>
      <c r="C196">
        <v>214</v>
      </c>
      <c r="D196" t="s">
        <v>905</v>
      </c>
    </row>
    <row r="197" spans="1:4" x14ac:dyDescent="0.25">
      <c r="A197" t="s">
        <v>903</v>
      </c>
      <c r="B197">
        <v>125</v>
      </c>
      <c r="C197">
        <v>211</v>
      </c>
      <c r="D197" t="s">
        <v>905</v>
      </c>
    </row>
    <row r="198" spans="1:4" x14ac:dyDescent="0.25">
      <c r="A198" t="s">
        <v>903</v>
      </c>
      <c r="B198" t="s">
        <v>906</v>
      </c>
      <c r="C198">
        <v>206</v>
      </c>
      <c r="D198" t="s">
        <v>885</v>
      </c>
    </row>
    <row r="199" spans="1:4" x14ac:dyDescent="0.25">
      <c r="A199" t="s">
        <v>903</v>
      </c>
      <c r="B199">
        <v>123</v>
      </c>
      <c r="C199">
        <v>134</v>
      </c>
      <c r="D199" t="s">
        <v>904</v>
      </c>
    </row>
    <row r="200" spans="1:4" x14ac:dyDescent="0.25">
      <c r="A200" t="s">
        <v>903</v>
      </c>
      <c r="B200">
        <v>116</v>
      </c>
      <c r="C200">
        <v>223</v>
      </c>
      <c r="D200" t="s">
        <v>905</v>
      </c>
    </row>
    <row r="201" spans="1:4" x14ac:dyDescent="0.25">
      <c r="A201" t="s">
        <v>903</v>
      </c>
      <c r="B201">
        <v>111</v>
      </c>
      <c r="C201">
        <v>222</v>
      </c>
      <c r="D201" t="s">
        <v>905</v>
      </c>
    </row>
    <row r="202" spans="1:4" x14ac:dyDescent="0.25">
      <c r="A202" t="s">
        <v>903</v>
      </c>
      <c r="B202">
        <v>118</v>
      </c>
      <c r="C202">
        <v>223</v>
      </c>
      <c r="D202" t="s">
        <v>905</v>
      </c>
    </row>
    <row r="203" spans="1:4" x14ac:dyDescent="0.25">
      <c r="A203" t="s">
        <v>903</v>
      </c>
      <c r="B203">
        <v>106</v>
      </c>
      <c r="C203">
        <v>211</v>
      </c>
      <c r="D203" t="s">
        <v>905</v>
      </c>
    </row>
    <row r="204" spans="1:4" x14ac:dyDescent="0.25">
      <c r="A204" t="s">
        <v>903</v>
      </c>
      <c r="B204">
        <v>129</v>
      </c>
      <c r="C204">
        <v>223</v>
      </c>
      <c r="D204" t="s">
        <v>905</v>
      </c>
    </row>
    <row r="205" spans="1:4" x14ac:dyDescent="0.25">
      <c r="A205" t="s">
        <v>903</v>
      </c>
      <c r="B205" t="s">
        <v>907</v>
      </c>
      <c r="C205">
        <v>144</v>
      </c>
      <c r="D205" t="s">
        <v>876</v>
      </c>
    </row>
    <row r="206" spans="1:4" x14ac:dyDescent="0.25">
      <c r="A206" t="s">
        <v>903</v>
      </c>
      <c r="B206">
        <v>104</v>
      </c>
      <c r="C206">
        <v>198</v>
      </c>
      <c r="D206" t="s">
        <v>908</v>
      </c>
    </row>
    <row r="207" spans="1:4" x14ac:dyDescent="0.25">
      <c r="A207" t="s">
        <v>903</v>
      </c>
      <c r="B207">
        <v>131</v>
      </c>
      <c r="C207">
        <v>219</v>
      </c>
      <c r="D207" t="s">
        <v>905</v>
      </c>
    </row>
    <row r="208" spans="1:4" x14ac:dyDescent="0.25">
      <c r="A208" t="s">
        <v>903</v>
      </c>
      <c r="B208">
        <v>110</v>
      </c>
      <c r="C208">
        <v>223</v>
      </c>
      <c r="D208" t="s">
        <v>905</v>
      </c>
    </row>
    <row r="209" spans="1:4" x14ac:dyDescent="0.25">
      <c r="A209" t="s">
        <v>903</v>
      </c>
      <c r="B209">
        <v>109</v>
      </c>
      <c r="C209">
        <v>223</v>
      </c>
      <c r="D209" t="s">
        <v>905</v>
      </c>
    </row>
    <row r="210" spans="1:4" x14ac:dyDescent="0.25">
      <c r="A210" t="s">
        <v>903</v>
      </c>
      <c r="B210">
        <v>107</v>
      </c>
      <c r="C210">
        <v>223</v>
      </c>
      <c r="D210" t="s">
        <v>909</v>
      </c>
    </row>
    <row r="211" spans="1:4" x14ac:dyDescent="0.25">
      <c r="A211" t="s">
        <v>903</v>
      </c>
      <c r="B211">
        <v>117</v>
      </c>
      <c r="C211">
        <v>150</v>
      </c>
      <c r="D211" t="s">
        <v>904</v>
      </c>
    </row>
    <row r="212" spans="1:4" x14ac:dyDescent="0.25">
      <c r="A212" t="s">
        <v>903</v>
      </c>
      <c r="B212">
        <v>101</v>
      </c>
      <c r="C212">
        <v>220</v>
      </c>
      <c r="D212" t="s">
        <v>905</v>
      </c>
    </row>
    <row r="213" spans="1:4" x14ac:dyDescent="0.25">
      <c r="A213" t="s">
        <v>903</v>
      </c>
      <c r="B213">
        <v>102</v>
      </c>
      <c r="C213">
        <v>221</v>
      </c>
      <c r="D213" t="s">
        <v>905</v>
      </c>
    </row>
    <row r="214" spans="1:4" x14ac:dyDescent="0.25">
      <c r="A214" t="s">
        <v>903</v>
      </c>
      <c r="B214">
        <v>108</v>
      </c>
      <c r="C214">
        <v>146</v>
      </c>
      <c r="D214" t="s">
        <v>904</v>
      </c>
    </row>
    <row r="215" spans="1:4" x14ac:dyDescent="0.25">
      <c r="A215" t="s">
        <v>903</v>
      </c>
      <c r="B215">
        <v>114</v>
      </c>
      <c r="C215">
        <v>223</v>
      </c>
      <c r="D215" t="s">
        <v>905</v>
      </c>
    </row>
    <row r="216" spans="1:4" x14ac:dyDescent="0.25">
      <c r="A216" t="s">
        <v>903</v>
      </c>
      <c r="B216">
        <v>127</v>
      </c>
      <c r="C216">
        <v>220</v>
      </c>
      <c r="D216" t="s">
        <v>905</v>
      </c>
    </row>
    <row r="217" spans="1:4" x14ac:dyDescent="0.25">
      <c r="A217" t="s">
        <v>903</v>
      </c>
      <c r="B217">
        <v>113</v>
      </c>
      <c r="C217">
        <v>223</v>
      </c>
      <c r="D217" t="s">
        <v>905</v>
      </c>
    </row>
    <row r="218" spans="1:4" x14ac:dyDescent="0.25">
      <c r="A218" t="s">
        <v>903</v>
      </c>
      <c r="B218">
        <v>133</v>
      </c>
      <c r="C218">
        <v>220</v>
      </c>
      <c r="D218" t="s">
        <v>905</v>
      </c>
    </row>
    <row r="219" spans="1:4" x14ac:dyDescent="0.25">
      <c r="A219" t="s">
        <v>903</v>
      </c>
      <c r="B219">
        <v>120</v>
      </c>
      <c r="C219">
        <v>231</v>
      </c>
      <c r="D219" t="s">
        <v>905</v>
      </c>
    </row>
    <row r="220" spans="1:4" x14ac:dyDescent="0.25">
      <c r="A220" t="s">
        <v>903</v>
      </c>
      <c r="B220">
        <v>115</v>
      </c>
      <c r="C220">
        <v>157</v>
      </c>
      <c r="D220" t="s">
        <v>904</v>
      </c>
    </row>
    <row r="221" spans="1:4" x14ac:dyDescent="0.25">
      <c r="A221" t="s">
        <v>903</v>
      </c>
      <c r="B221">
        <v>121</v>
      </c>
      <c r="C221">
        <v>115</v>
      </c>
      <c r="D221" t="s">
        <v>904</v>
      </c>
    </row>
    <row r="222" spans="1:4" x14ac:dyDescent="0.25">
      <c r="A222" t="s">
        <v>903</v>
      </c>
      <c r="B222">
        <v>119</v>
      </c>
      <c r="C222">
        <v>151</v>
      </c>
      <c r="D222" t="s">
        <v>904</v>
      </c>
    </row>
    <row r="223" spans="1:4" x14ac:dyDescent="0.25">
      <c r="A223" t="s">
        <v>903</v>
      </c>
      <c r="B223">
        <v>112</v>
      </c>
      <c r="C223">
        <v>223</v>
      </c>
      <c r="D223" t="s">
        <v>905</v>
      </c>
    </row>
    <row r="224" spans="1:4" x14ac:dyDescent="0.25">
      <c r="A224" t="s">
        <v>903</v>
      </c>
      <c r="B224">
        <v>130</v>
      </c>
      <c r="C224">
        <v>149</v>
      </c>
      <c r="D224" t="s">
        <v>904</v>
      </c>
    </row>
    <row r="225" spans="1:4" x14ac:dyDescent="0.25">
      <c r="A225" t="s">
        <v>903</v>
      </c>
      <c r="B225">
        <v>16</v>
      </c>
      <c r="C225">
        <v>250</v>
      </c>
      <c r="D225" t="s">
        <v>905</v>
      </c>
    </row>
    <row r="226" spans="1:4" x14ac:dyDescent="0.25">
      <c r="A226" t="s">
        <v>903</v>
      </c>
      <c r="B226">
        <v>20</v>
      </c>
      <c r="C226">
        <v>217</v>
      </c>
      <c r="D226" t="s">
        <v>905</v>
      </c>
    </row>
    <row r="227" spans="1:4" x14ac:dyDescent="0.25">
      <c r="A227" t="s">
        <v>903</v>
      </c>
      <c r="B227">
        <v>23</v>
      </c>
      <c r="C227">
        <v>179</v>
      </c>
      <c r="D227" t="s">
        <v>905</v>
      </c>
    </row>
    <row r="228" spans="1:4" x14ac:dyDescent="0.25">
      <c r="A228" t="s">
        <v>903</v>
      </c>
      <c r="B228">
        <v>18</v>
      </c>
      <c r="C228">
        <v>242</v>
      </c>
      <c r="D228" t="s">
        <v>905</v>
      </c>
    </row>
    <row r="229" spans="1:4" x14ac:dyDescent="0.25">
      <c r="A229" t="s">
        <v>903</v>
      </c>
      <c r="B229">
        <v>3</v>
      </c>
      <c r="C229">
        <v>237</v>
      </c>
      <c r="D229" t="s">
        <v>905</v>
      </c>
    </row>
    <row r="230" spans="1:4" x14ac:dyDescent="0.25">
      <c r="A230" t="s">
        <v>903</v>
      </c>
      <c r="B230">
        <v>5</v>
      </c>
      <c r="C230">
        <v>158</v>
      </c>
      <c r="D230" t="s">
        <v>904</v>
      </c>
    </row>
    <row r="231" spans="1:4" x14ac:dyDescent="0.25">
      <c r="A231" t="s">
        <v>903</v>
      </c>
      <c r="B231">
        <v>17</v>
      </c>
      <c r="C231">
        <v>259</v>
      </c>
      <c r="D231" t="s">
        <v>905</v>
      </c>
    </row>
    <row r="232" spans="1:4" x14ac:dyDescent="0.25">
      <c r="A232" t="s">
        <v>903</v>
      </c>
      <c r="B232">
        <v>19</v>
      </c>
      <c r="C232">
        <v>174</v>
      </c>
      <c r="D232" t="s">
        <v>904</v>
      </c>
    </row>
    <row r="233" spans="1:4" x14ac:dyDescent="0.25">
      <c r="A233" t="s">
        <v>903</v>
      </c>
      <c r="B233">
        <v>21</v>
      </c>
      <c r="C233">
        <v>236</v>
      </c>
      <c r="D233" t="s">
        <v>905</v>
      </c>
    </row>
    <row r="234" spans="1:4" x14ac:dyDescent="0.25">
      <c r="A234" t="s">
        <v>903</v>
      </c>
      <c r="B234">
        <v>6</v>
      </c>
      <c r="C234">
        <v>217</v>
      </c>
      <c r="D234" t="s">
        <v>905</v>
      </c>
    </row>
    <row r="235" spans="1:4" x14ac:dyDescent="0.25">
      <c r="A235" t="s">
        <v>903</v>
      </c>
      <c r="B235">
        <v>7</v>
      </c>
      <c r="C235">
        <v>158</v>
      </c>
      <c r="D235" t="s">
        <v>904</v>
      </c>
    </row>
    <row r="236" spans="1:4" x14ac:dyDescent="0.25">
      <c r="A236" t="s">
        <v>903</v>
      </c>
      <c r="B236">
        <v>9</v>
      </c>
      <c r="C236">
        <v>157</v>
      </c>
      <c r="D236" t="s">
        <v>904</v>
      </c>
    </row>
    <row r="237" spans="1:4" x14ac:dyDescent="0.25">
      <c r="A237" t="s">
        <v>903</v>
      </c>
      <c r="B237">
        <v>22</v>
      </c>
      <c r="C237">
        <v>221</v>
      </c>
      <c r="D237" t="s">
        <v>905</v>
      </c>
    </row>
    <row r="238" spans="1:4" x14ac:dyDescent="0.25">
      <c r="A238" t="s">
        <v>903</v>
      </c>
      <c r="B238">
        <v>13</v>
      </c>
      <c r="C238">
        <v>301</v>
      </c>
      <c r="D238" t="s">
        <v>909</v>
      </c>
    </row>
    <row r="239" spans="1:4" x14ac:dyDescent="0.25">
      <c r="A239" t="s">
        <v>903</v>
      </c>
      <c r="B239">
        <v>15</v>
      </c>
      <c r="C239">
        <v>202</v>
      </c>
      <c r="D239" t="s">
        <v>908</v>
      </c>
    </row>
    <row r="240" spans="1:4" x14ac:dyDescent="0.25">
      <c r="A240" t="s">
        <v>903</v>
      </c>
      <c r="B240">
        <v>4</v>
      </c>
      <c r="C240">
        <v>161</v>
      </c>
      <c r="D240" t="s">
        <v>904</v>
      </c>
    </row>
    <row r="241" spans="1:4" x14ac:dyDescent="0.25">
      <c r="A241" t="s">
        <v>903</v>
      </c>
      <c r="B241">
        <v>11</v>
      </c>
      <c r="C241">
        <v>228</v>
      </c>
      <c r="D241" t="s">
        <v>905</v>
      </c>
    </row>
    <row r="242" spans="1:4" x14ac:dyDescent="0.25">
      <c r="A242" t="s">
        <v>903</v>
      </c>
      <c r="B242">
        <v>1</v>
      </c>
      <c r="C242">
        <v>239</v>
      </c>
      <c r="D242" t="s">
        <v>904</v>
      </c>
    </row>
    <row r="243" spans="1:4" x14ac:dyDescent="0.25">
      <c r="A243" t="s">
        <v>910</v>
      </c>
      <c r="B243">
        <v>59</v>
      </c>
      <c r="C243">
        <v>204</v>
      </c>
      <c r="D243" t="s">
        <v>905</v>
      </c>
    </row>
    <row r="244" spans="1:4" x14ac:dyDescent="0.25">
      <c r="A244" t="s">
        <v>910</v>
      </c>
      <c r="B244">
        <v>57</v>
      </c>
      <c r="C244">
        <v>223</v>
      </c>
      <c r="D244" t="s">
        <v>905</v>
      </c>
    </row>
    <row r="245" spans="1:4" x14ac:dyDescent="0.25">
      <c r="A245" t="s">
        <v>910</v>
      </c>
      <c r="B245">
        <v>53</v>
      </c>
      <c r="C245">
        <v>216</v>
      </c>
      <c r="D245" t="s">
        <v>905</v>
      </c>
    </row>
    <row r="246" spans="1:4" x14ac:dyDescent="0.25">
      <c r="A246" t="s">
        <v>910</v>
      </c>
      <c r="B246">
        <v>62</v>
      </c>
      <c r="C246">
        <v>257</v>
      </c>
      <c r="D246" t="s">
        <v>905</v>
      </c>
    </row>
    <row r="247" spans="1:4" x14ac:dyDescent="0.25">
      <c r="A247" t="s">
        <v>910</v>
      </c>
      <c r="B247">
        <v>66</v>
      </c>
      <c r="C247">
        <v>297</v>
      </c>
      <c r="D247" t="s">
        <v>905</v>
      </c>
    </row>
    <row r="248" spans="1:4" x14ac:dyDescent="0.25">
      <c r="A248" t="s">
        <v>910</v>
      </c>
      <c r="B248">
        <v>65</v>
      </c>
      <c r="C248">
        <v>230</v>
      </c>
      <c r="D248" t="s">
        <v>905</v>
      </c>
    </row>
    <row r="249" spans="1:4" x14ac:dyDescent="0.25">
      <c r="A249" t="s">
        <v>910</v>
      </c>
      <c r="B249">
        <v>64</v>
      </c>
      <c r="C249">
        <v>246</v>
      </c>
      <c r="D249" t="s">
        <v>905</v>
      </c>
    </row>
    <row r="250" spans="1:4" x14ac:dyDescent="0.25">
      <c r="A250" t="s">
        <v>910</v>
      </c>
      <c r="B250">
        <v>55</v>
      </c>
      <c r="C250">
        <v>182</v>
      </c>
      <c r="D250" t="s">
        <v>904</v>
      </c>
    </row>
    <row r="251" spans="1:4" x14ac:dyDescent="0.25">
      <c r="A251" t="s">
        <v>910</v>
      </c>
      <c r="B251">
        <v>51</v>
      </c>
      <c r="C251">
        <v>233</v>
      </c>
      <c r="D251" t="s">
        <v>905</v>
      </c>
    </row>
    <row r="252" spans="1:4" x14ac:dyDescent="0.25">
      <c r="A252" t="s">
        <v>910</v>
      </c>
      <c r="B252">
        <v>63</v>
      </c>
      <c r="C252">
        <v>236</v>
      </c>
      <c r="D252" t="s">
        <v>905</v>
      </c>
    </row>
    <row r="253" spans="1:4" x14ac:dyDescent="0.25">
      <c r="A253" t="s">
        <v>910</v>
      </c>
      <c r="B253">
        <v>61</v>
      </c>
      <c r="C253">
        <v>221</v>
      </c>
      <c r="D253" t="s">
        <v>905</v>
      </c>
    </row>
    <row r="254" spans="1:4" x14ac:dyDescent="0.25">
      <c r="A254" t="s">
        <v>910</v>
      </c>
      <c r="B254">
        <v>170</v>
      </c>
      <c r="C254">
        <v>243</v>
      </c>
      <c r="D254" t="s">
        <v>905</v>
      </c>
    </row>
    <row r="255" spans="1:4" x14ac:dyDescent="0.25">
      <c r="A255" t="s">
        <v>910</v>
      </c>
      <c r="B255">
        <v>161</v>
      </c>
      <c r="C255">
        <v>154</v>
      </c>
      <c r="D255" t="s">
        <v>904</v>
      </c>
    </row>
    <row r="256" spans="1:4" x14ac:dyDescent="0.25">
      <c r="A256" t="s">
        <v>910</v>
      </c>
      <c r="B256">
        <v>166</v>
      </c>
      <c r="C256">
        <v>166</v>
      </c>
      <c r="D256" t="s">
        <v>904</v>
      </c>
    </row>
    <row r="257" spans="1:4" x14ac:dyDescent="0.25">
      <c r="A257" t="s">
        <v>910</v>
      </c>
      <c r="B257">
        <v>159</v>
      </c>
      <c r="C257">
        <v>147</v>
      </c>
      <c r="D257" t="s">
        <v>904</v>
      </c>
    </row>
    <row r="258" spans="1:4" x14ac:dyDescent="0.25">
      <c r="A258" t="s">
        <v>910</v>
      </c>
      <c r="B258">
        <v>183</v>
      </c>
      <c r="C258">
        <v>159</v>
      </c>
      <c r="D258" t="s">
        <v>904</v>
      </c>
    </row>
    <row r="259" spans="1:4" x14ac:dyDescent="0.25">
      <c r="A259" t="s">
        <v>910</v>
      </c>
      <c r="B259">
        <v>171</v>
      </c>
      <c r="C259">
        <v>228</v>
      </c>
      <c r="D259" t="s">
        <v>905</v>
      </c>
    </row>
    <row r="260" spans="1:4" x14ac:dyDescent="0.25">
      <c r="A260" t="s">
        <v>910</v>
      </c>
      <c r="B260">
        <v>186</v>
      </c>
      <c r="C260">
        <v>198</v>
      </c>
      <c r="D260" t="s">
        <v>908</v>
      </c>
    </row>
    <row r="261" spans="1:4" x14ac:dyDescent="0.25">
      <c r="A261" t="s">
        <v>910</v>
      </c>
      <c r="B261">
        <v>164</v>
      </c>
      <c r="C261">
        <v>162</v>
      </c>
      <c r="D261" t="s">
        <v>904</v>
      </c>
    </row>
    <row r="262" spans="1:4" x14ac:dyDescent="0.25">
      <c r="A262" t="s">
        <v>910</v>
      </c>
      <c r="B262">
        <v>153</v>
      </c>
      <c r="C262">
        <v>150</v>
      </c>
      <c r="D262" t="s">
        <v>904</v>
      </c>
    </row>
    <row r="263" spans="1:4" x14ac:dyDescent="0.25">
      <c r="A263" t="s">
        <v>910</v>
      </c>
      <c r="B263">
        <v>169</v>
      </c>
      <c r="C263">
        <v>151</v>
      </c>
      <c r="D263" t="s">
        <v>904</v>
      </c>
    </row>
    <row r="264" spans="1:4" x14ac:dyDescent="0.25">
      <c r="A264" t="s">
        <v>910</v>
      </c>
      <c r="B264">
        <v>162</v>
      </c>
      <c r="C264">
        <v>156</v>
      </c>
      <c r="D264" t="s">
        <v>904</v>
      </c>
    </row>
    <row r="265" spans="1:4" x14ac:dyDescent="0.25">
      <c r="A265" t="s">
        <v>910</v>
      </c>
      <c r="B265">
        <v>151</v>
      </c>
      <c r="C265">
        <v>113</v>
      </c>
      <c r="D265" t="s">
        <v>904</v>
      </c>
    </row>
    <row r="266" spans="1:4" x14ac:dyDescent="0.25">
      <c r="A266" t="s">
        <v>910</v>
      </c>
      <c r="B266">
        <v>177</v>
      </c>
      <c r="C266">
        <v>156</v>
      </c>
      <c r="D266" t="s">
        <v>904</v>
      </c>
    </row>
    <row r="267" spans="1:4" x14ac:dyDescent="0.25">
      <c r="A267" t="s">
        <v>910</v>
      </c>
      <c r="B267">
        <v>176</v>
      </c>
      <c r="C267">
        <v>266</v>
      </c>
      <c r="D267" t="s">
        <v>909</v>
      </c>
    </row>
    <row r="268" spans="1:4" x14ac:dyDescent="0.25">
      <c r="A268" t="s">
        <v>910</v>
      </c>
      <c r="B268">
        <v>184</v>
      </c>
      <c r="C268">
        <v>162</v>
      </c>
      <c r="D268" t="s">
        <v>904</v>
      </c>
    </row>
    <row r="269" spans="1:4" x14ac:dyDescent="0.25">
      <c r="A269" t="s">
        <v>910</v>
      </c>
      <c r="B269">
        <v>155</v>
      </c>
      <c r="C269">
        <v>152</v>
      </c>
      <c r="D269" t="s">
        <v>904</v>
      </c>
    </row>
    <row r="270" spans="1:4" x14ac:dyDescent="0.25">
      <c r="A270" t="s">
        <v>910</v>
      </c>
      <c r="B270">
        <v>168</v>
      </c>
      <c r="C270">
        <v>257</v>
      </c>
      <c r="D270" t="s">
        <v>909</v>
      </c>
    </row>
    <row r="271" spans="1:4" x14ac:dyDescent="0.25">
      <c r="A271" t="s">
        <v>910</v>
      </c>
      <c r="B271">
        <v>152</v>
      </c>
      <c r="C271">
        <v>149</v>
      </c>
      <c r="D271" t="s">
        <v>904</v>
      </c>
    </row>
    <row r="272" spans="1:4" x14ac:dyDescent="0.25">
      <c r="A272" t="s">
        <v>910</v>
      </c>
      <c r="B272">
        <v>181</v>
      </c>
      <c r="C272">
        <v>171</v>
      </c>
      <c r="D272" t="s">
        <v>904</v>
      </c>
    </row>
    <row r="273" spans="1:4" x14ac:dyDescent="0.25">
      <c r="A273" t="s">
        <v>910</v>
      </c>
      <c r="B273">
        <v>182</v>
      </c>
      <c r="C273">
        <v>216</v>
      </c>
      <c r="D273" t="s">
        <v>904</v>
      </c>
    </row>
    <row r="274" spans="1:4" x14ac:dyDescent="0.25">
      <c r="A274" t="s">
        <v>910</v>
      </c>
      <c r="B274">
        <v>185</v>
      </c>
      <c r="C274">
        <v>213</v>
      </c>
      <c r="D274" t="s">
        <v>904</v>
      </c>
    </row>
    <row r="275" spans="1:4" x14ac:dyDescent="0.25">
      <c r="A275" t="s">
        <v>910</v>
      </c>
      <c r="B275">
        <v>172</v>
      </c>
      <c r="C275">
        <v>153</v>
      </c>
      <c r="D275" t="s">
        <v>904</v>
      </c>
    </row>
    <row r="276" spans="1:4" x14ac:dyDescent="0.25">
      <c r="A276" t="s">
        <v>910</v>
      </c>
      <c r="B276">
        <v>157</v>
      </c>
      <c r="C276">
        <v>144</v>
      </c>
      <c r="D276" t="s">
        <v>904</v>
      </c>
    </row>
    <row r="277" spans="1:4" x14ac:dyDescent="0.25">
      <c r="A277" t="s">
        <v>910</v>
      </c>
      <c r="B277">
        <v>158</v>
      </c>
      <c r="C277">
        <v>148</v>
      </c>
      <c r="D277" t="s">
        <v>904</v>
      </c>
    </row>
    <row r="278" spans="1:4" x14ac:dyDescent="0.25">
      <c r="A278" t="s">
        <v>910</v>
      </c>
      <c r="B278">
        <v>174</v>
      </c>
      <c r="C278">
        <v>158</v>
      </c>
      <c r="D278" t="s">
        <v>904</v>
      </c>
    </row>
    <row r="279" spans="1:4" x14ac:dyDescent="0.25">
      <c r="A279" t="s">
        <v>910</v>
      </c>
      <c r="B279">
        <v>156</v>
      </c>
      <c r="C279">
        <v>144</v>
      </c>
      <c r="D279" t="s">
        <v>904</v>
      </c>
    </row>
    <row r="280" spans="1:4" x14ac:dyDescent="0.25">
      <c r="A280" t="s">
        <v>910</v>
      </c>
      <c r="B280">
        <v>150</v>
      </c>
      <c r="C280">
        <v>144</v>
      </c>
      <c r="D280" t="s">
        <v>904</v>
      </c>
    </row>
    <row r="281" spans="1:4" x14ac:dyDescent="0.25">
      <c r="A281" t="s">
        <v>910</v>
      </c>
      <c r="B281">
        <v>163</v>
      </c>
      <c r="C281">
        <v>156</v>
      </c>
      <c r="D281" t="s">
        <v>904</v>
      </c>
    </row>
    <row r="282" spans="1:4" x14ac:dyDescent="0.25">
      <c r="A282" t="s">
        <v>910</v>
      </c>
      <c r="B282">
        <v>173</v>
      </c>
      <c r="C282">
        <v>152</v>
      </c>
      <c r="D282" t="s">
        <v>904</v>
      </c>
    </row>
    <row r="283" spans="1:4" x14ac:dyDescent="0.25">
      <c r="A283" t="s">
        <v>910</v>
      </c>
      <c r="B283">
        <v>154</v>
      </c>
      <c r="C283">
        <v>145</v>
      </c>
      <c r="D283" t="s">
        <v>904</v>
      </c>
    </row>
    <row r="284" spans="1:4" x14ac:dyDescent="0.25">
      <c r="A284" t="s">
        <v>910</v>
      </c>
      <c r="B284">
        <v>160</v>
      </c>
      <c r="C284">
        <v>154</v>
      </c>
      <c r="D284" t="s">
        <v>904</v>
      </c>
    </row>
    <row r="285" spans="1:4" x14ac:dyDescent="0.25">
      <c r="A285" t="s">
        <v>910</v>
      </c>
      <c r="B285">
        <v>165</v>
      </c>
      <c r="C285">
        <v>141</v>
      </c>
      <c r="D285" t="s">
        <v>904</v>
      </c>
    </row>
    <row r="286" spans="1:4" x14ac:dyDescent="0.25">
      <c r="A286" t="s">
        <v>910</v>
      </c>
      <c r="B286">
        <v>179</v>
      </c>
      <c r="C286">
        <v>161</v>
      </c>
      <c r="D286" t="s">
        <v>904</v>
      </c>
    </row>
    <row r="287" spans="1:4" x14ac:dyDescent="0.25">
      <c r="A287" t="s">
        <v>910</v>
      </c>
      <c r="B287">
        <v>167</v>
      </c>
      <c r="C287">
        <v>165</v>
      </c>
      <c r="D287" t="s">
        <v>904</v>
      </c>
    </row>
    <row r="288" spans="1:4" x14ac:dyDescent="0.25">
      <c r="A288" t="s">
        <v>910</v>
      </c>
      <c r="B288">
        <v>180</v>
      </c>
      <c r="C288">
        <v>216</v>
      </c>
      <c r="D288" t="s">
        <v>908</v>
      </c>
    </row>
    <row r="289" spans="1:4" x14ac:dyDescent="0.25">
      <c r="A289" t="s">
        <v>910</v>
      </c>
      <c r="B289">
        <v>175</v>
      </c>
      <c r="C289">
        <v>153</v>
      </c>
      <c r="D289" t="s">
        <v>904</v>
      </c>
    </row>
    <row r="290" spans="1:4" x14ac:dyDescent="0.25">
      <c r="A290" t="s">
        <v>910</v>
      </c>
      <c r="B290">
        <v>250</v>
      </c>
      <c r="C290">
        <v>144</v>
      </c>
      <c r="D290" t="s">
        <v>904</v>
      </c>
    </row>
    <row r="291" spans="1:4" x14ac:dyDescent="0.25">
      <c r="A291" t="s">
        <v>910</v>
      </c>
      <c r="B291">
        <v>278</v>
      </c>
      <c r="C291">
        <v>239</v>
      </c>
      <c r="D291" t="s">
        <v>909</v>
      </c>
    </row>
    <row r="292" spans="1:4" x14ac:dyDescent="0.25">
      <c r="A292" t="s">
        <v>910</v>
      </c>
      <c r="B292">
        <v>272</v>
      </c>
      <c r="C292">
        <v>153</v>
      </c>
      <c r="D292" t="s">
        <v>904</v>
      </c>
    </row>
    <row r="293" spans="1:4" x14ac:dyDescent="0.25">
      <c r="A293" t="s">
        <v>910</v>
      </c>
      <c r="B293">
        <v>261</v>
      </c>
      <c r="C293">
        <v>156</v>
      </c>
      <c r="D293" t="s">
        <v>904</v>
      </c>
    </row>
    <row r="294" spans="1:4" x14ac:dyDescent="0.25">
      <c r="A294" t="s">
        <v>910</v>
      </c>
      <c r="B294">
        <v>270</v>
      </c>
      <c r="C294">
        <v>155</v>
      </c>
      <c r="D294" t="s">
        <v>904</v>
      </c>
    </row>
    <row r="295" spans="1:4" x14ac:dyDescent="0.25">
      <c r="A295" t="s">
        <v>910</v>
      </c>
      <c r="B295">
        <v>291</v>
      </c>
      <c r="C295">
        <v>245</v>
      </c>
      <c r="D295" t="s">
        <v>905</v>
      </c>
    </row>
    <row r="296" spans="1:4" x14ac:dyDescent="0.25">
      <c r="A296" t="s">
        <v>910</v>
      </c>
      <c r="B296">
        <v>283</v>
      </c>
      <c r="C296">
        <v>171</v>
      </c>
      <c r="D296" t="s">
        <v>904</v>
      </c>
    </row>
    <row r="297" spans="1:4" x14ac:dyDescent="0.25">
      <c r="A297" t="s">
        <v>910</v>
      </c>
      <c r="B297">
        <v>282</v>
      </c>
      <c r="C297">
        <v>167</v>
      </c>
      <c r="D297" t="s">
        <v>904</v>
      </c>
    </row>
    <row r="298" spans="1:4" x14ac:dyDescent="0.25">
      <c r="A298" t="s">
        <v>910</v>
      </c>
      <c r="B298">
        <v>288</v>
      </c>
      <c r="C298">
        <v>169</v>
      </c>
      <c r="D298" t="s">
        <v>904</v>
      </c>
    </row>
    <row r="299" spans="1:4" x14ac:dyDescent="0.25">
      <c r="A299" t="s">
        <v>910</v>
      </c>
      <c r="B299" t="s">
        <v>911</v>
      </c>
      <c r="C299">
        <v>233</v>
      </c>
      <c r="D299" t="s">
        <v>909</v>
      </c>
    </row>
    <row r="300" spans="1:4" x14ac:dyDescent="0.25">
      <c r="A300" t="s">
        <v>910</v>
      </c>
      <c r="B300">
        <v>279</v>
      </c>
      <c r="C300">
        <v>156</v>
      </c>
      <c r="D300" t="s">
        <v>904</v>
      </c>
    </row>
    <row r="301" spans="1:4" x14ac:dyDescent="0.25">
      <c r="A301" t="s">
        <v>910</v>
      </c>
      <c r="B301">
        <v>252</v>
      </c>
      <c r="C301">
        <v>149</v>
      </c>
      <c r="D301" t="s">
        <v>904</v>
      </c>
    </row>
    <row r="302" spans="1:4" x14ac:dyDescent="0.25">
      <c r="A302" t="s">
        <v>910</v>
      </c>
      <c r="B302">
        <v>268</v>
      </c>
      <c r="C302">
        <v>152</v>
      </c>
      <c r="D302" t="s">
        <v>904</v>
      </c>
    </row>
    <row r="303" spans="1:4" x14ac:dyDescent="0.25">
      <c r="A303" t="s">
        <v>910</v>
      </c>
      <c r="B303">
        <v>285</v>
      </c>
      <c r="C303">
        <v>159</v>
      </c>
      <c r="D303" t="s">
        <v>904</v>
      </c>
    </row>
    <row r="304" spans="1:4" x14ac:dyDescent="0.25">
      <c r="A304" t="s">
        <v>910</v>
      </c>
      <c r="B304">
        <v>260</v>
      </c>
      <c r="C304">
        <v>154</v>
      </c>
      <c r="D304" t="s">
        <v>904</v>
      </c>
    </row>
    <row r="305" spans="1:4" x14ac:dyDescent="0.25">
      <c r="A305" t="s">
        <v>910</v>
      </c>
      <c r="B305">
        <v>264</v>
      </c>
      <c r="C305">
        <v>162</v>
      </c>
      <c r="D305" t="s">
        <v>904</v>
      </c>
    </row>
    <row r="306" spans="1:4" x14ac:dyDescent="0.25">
      <c r="A306" t="s">
        <v>910</v>
      </c>
      <c r="B306">
        <v>274</v>
      </c>
      <c r="C306">
        <v>158</v>
      </c>
      <c r="D306" t="s">
        <v>904</v>
      </c>
    </row>
    <row r="307" spans="1:4" x14ac:dyDescent="0.25">
      <c r="A307" t="s">
        <v>910</v>
      </c>
      <c r="B307">
        <v>292</v>
      </c>
      <c r="C307">
        <v>153</v>
      </c>
      <c r="D307" t="s">
        <v>904</v>
      </c>
    </row>
    <row r="308" spans="1:4" x14ac:dyDescent="0.25">
      <c r="A308" t="s">
        <v>910</v>
      </c>
      <c r="B308">
        <v>262</v>
      </c>
      <c r="C308">
        <v>156</v>
      </c>
      <c r="D308" t="s">
        <v>904</v>
      </c>
    </row>
    <row r="309" spans="1:4" x14ac:dyDescent="0.25">
      <c r="A309" t="s">
        <v>910</v>
      </c>
      <c r="B309">
        <v>277</v>
      </c>
      <c r="C309">
        <v>253</v>
      </c>
      <c r="D309" t="s">
        <v>909</v>
      </c>
    </row>
    <row r="310" spans="1:4" x14ac:dyDescent="0.25">
      <c r="A310" t="s">
        <v>910</v>
      </c>
      <c r="B310">
        <v>265</v>
      </c>
      <c r="C310">
        <v>156</v>
      </c>
      <c r="D310" t="s">
        <v>904</v>
      </c>
    </row>
    <row r="311" spans="1:4" x14ac:dyDescent="0.25">
      <c r="A311" t="s">
        <v>910</v>
      </c>
      <c r="B311">
        <v>255</v>
      </c>
      <c r="C311">
        <v>144</v>
      </c>
      <c r="D311" t="s">
        <v>904</v>
      </c>
    </row>
    <row r="312" spans="1:4" x14ac:dyDescent="0.25">
      <c r="A312" t="s">
        <v>910</v>
      </c>
      <c r="B312">
        <v>253</v>
      </c>
      <c r="C312">
        <v>149</v>
      </c>
      <c r="D312" t="s">
        <v>904</v>
      </c>
    </row>
    <row r="313" spans="1:4" x14ac:dyDescent="0.25">
      <c r="A313" t="s">
        <v>910</v>
      </c>
      <c r="B313">
        <v>254</v>
      </c>
      <c r="C313">
        <v>145</v>
      </c>
      <c r="D313" t="s">
        <v>904</v>
      </c>
    </row>
    <row r="314" spans="1:4" x14ac:dyDescent="0.25">
      <c r="A314" t="s">
        <v>910</v>
      </c>
      <c r="B314">
        <v>275</v>
      </c>
      <c r="C314">
        <v>155</v>
      </c>
      <c r="D314" t="s">
        <v>904</v>
      </c>
    </row>
    <row r="315" spans="1:4" x14ac:dyDescent="0.25">
      <c r="A315" t="s">
        <v>910</v>
      </c>
      <c r="B315">
        <v>266</v>
      </c>
      <c r="C315">
        <v>257</v>
      </c>
      <c r="D315" t="s">
        <v>905</v>
      </c>
    </row>
    <row r="316" spans="1:4" x14ac:dyDescent="0.25">
      <c r="A316" t="s">
        <v>910</v>
      </c>
      <c r="B316">
        <v>267</v>
      </c>
      <c r="C316">
        <v>157</v>
      </c>
      <c r="D316" t="s">
        <v>904</v>
      </c>
    </row>
    <row r="317" spans="1:4" x14ac:dyDescent="0.25">
      <c r="A317" t="s">
        <v>910</v>
      </c>
      <c r="B317">
        <v>294</v>
      </c>
      <c r="C317">
        <v>239</v>
      </c>
      <c r="D317" t="s">
        <v>909</v>
      </c>
    </row>
    <row r="318" spans="1:4" x14ac:dyDescent="0.25">
      <c r="A318" t="s">
        <v>910</v>
      </c>
      <c r="B318">
        <v>251</v>
      </c>
      <c r="C318">
        <v>151</v>
      </c>
      <c r="D318" t="s">
        <v>904</v>
      </c>
    </row>
    <row r="319" spans="1:4" x14ac:dyDescent="0.25">
      <c r="A319" t="s">
        <v>910</v>
      </c>
      <c r="B319">
        <v>269</v>
      </c>
      <c r="C319">
        <v>154</v>
      </c>
      <c r="D319" t="s">
        <v>904</v>
      </c>
    </row>
    <row r="320" spans="1:4" x14ac:dyDescent="0.25">
      <c r="A320" t="s">
        <v>910</v>
      </c>
      <c r="B320">
        <v>287</v>
      </c>
      <c r="C320">
        <v>132</v>
      </c>
      <c r="D320" t="s">
        <v>904</v>
      </c>
    </row>
    <row r="321" spans="1:4" x14ac:dyDescent="0.25">
      <c r="A321" t="s">
        <v>910</v>
      </c>
      <c r="B321">
        <v>290</v>
      </c>
      <c r="C321">
        <v>211</v>
      </c>
      <c r="D321" t="s">
        <v>905</v>
      </c>
    </row>
    <row r="322" spans="1:4" x14ac:dyDescent="0.25">
      <c r="A322" t="s">
        <v>910</v>
      </c>
      <c r="B322">
        <v>293</v>
      </c>
      <c r="C322">
        <v>240</v>
      </c>
      <c r="D322" t="s">
        <v>909</v>
      </c>
    </row>
    <row r="323" spans="1:4" x14ac:dyDescent="0.25">
      <c r="A323" t="s">
        <v>910</v>
      </c>
      <c r="B323">
        <v>276</v>
      </c>
      <c r="C323">
        <v>266</v>
      </c>
      <c r="D323" t="s">
        <v>909</v>
      </c>
    </row>
    <row r="324" spans="1:4" x14ac:dyDescent="0.25">
      <c r="A324" t="s">
        <v>910</v>
      </c>
      <c r="B324">
        <v>258</v>
      </c>
      <c r="C324">
        <v>147</v>
      </c>
      <c r="D324" t="s">
        <v>904</v>
      </c>
    </row>
    <row r="325" spans="1:4" x14ac:dyDescent="0.25">
      <c r="A325" t="s">
        <v>910</v>
      </c>
      <c r="B325">
        <v>256</v>
      </c>
      <c r="C325">
        <v>144</v>
      </c>
      <c r="D325" t="s">
        <v>904</v>
      </c>
    </row>
    <row r="326" spans="1:4" x14ac:dyDescent="0.25">
      <c r="A326" t="s">
        <v>910</v>
      </c>
      <c r="B326">
        <v>281</v>
      </c>
      <c r="C326">
        <v>162</v>
      </c>
      <c r="D326" t="s">
        <v>904</v>
      </c>
    </row>
    <row r="327" spans="1:4" x14ac:dyDescent="0.25">
      <c r="A327" t="s">
        <v>910</v>
      </c>
      <c r="B327">
        <v>259</v>
      </c>
      <c r="C327">
        <v>154</v>
      </c>
      <c r="D327" t="s">
        <v>904</v>
      </c>
    </row>
    <row r="328" spans="1:4" x14ac:dyDescent="0.25">
      <c r="A328" t="s">
        <v>910</v>
      </c>
      <c r="B328">
        <v>263</v>
      </c>
      <c r="C328">
        <v>140</v>
      </c>
      <c r="D328" t="s">
        <v>904</v>
      </c>
    </row>
    <row r="329" spans="1:4" x14ac:dyDescent="0.25">
      <c r="A329" t="s">
        <v>910</v>
      </c>
      <c r="B329">
        <v>284</v>
      </c>
      <c r="C329">
        <v>154</v>
      </c>
      <c r="D329" t="s">
        <v>904</v>
      </c>
    </row>
    <row r="330" spans="1:4" x14ac:dyDescent="0.25">
      <c r="A330" t="s">
        <v>910</v>
      </c>
      <c r="B330">
        <v>286</v>
      </c>
      <c r="C330">
        <v>162</v>
      </c>
      <c r="D330" t="s">
        <v>904</v>
      </c>
    </row>
    <row r="331" spans="1:4" x14ac:dyDescent="0.25">
      <c r="A331" t="s">
        <v>910</v>
      </c>
      <c r="B331">
        <v>257</v>
      </c>
      <c r="C331">
        <v>147</v>
      </c>
      <c r="D331" t="s">
        <v>904</v>
      </c>
    </row>
    <row r="332" spans="1:4" x14ac:dyDescent="0.25">
      <c r="A332" t="s">
        <v>910</v>
      </c>
      <c r="B332">
        <v>271</v>
      </c>
      <c r="C332">
        <v>152</v>
      </c>
      <c r="D332" t="s">
        <v>904</v>
      </c>
    </row>
    <row r="333" spans="1:4" x14ac:dyDescent="0.25">
      <c r="A333" t="s">
        <v>910</v>
      </c>
      <c r="B333">
        <v>289</v>
      </c>
      <c r="C333">
        <v>156</v>
      </c>
      <c r="D333" t="s">
        <v>904</v>
      </c>
    </row>
    <row r="334" spans="1:4" x14ac:dyDescent="0.25">
      <c r="A334" t="s">
        <v>910</v>
      </c>
      <c r="B334">
        <v>273</v>
      </c>
      <c r="C334">
        <v>153</v>
      </c>
      <c r="D334" t="s">
        <v>904</v>
      </c>
    </row>
    <row r="335" spans="1:4" x14ac:dyDescent="0.25">
      <c r="A335" t="s">
        <v>910</v>
      </c>
      <c r="B335">
        <v>280</v>
      </c>
      <c r="C335">
        <v>152</v>
      </c>
      <c r="D335" t="s">
        <v>904</v>
      </c>
    </row>
    <row r="336" spans="1:4" x14ac:dyDescent="0.25">
      <c r="A336" t="s">
        <v>910</v>
      </c>
      <c r="B336" t="s">
        <v>912</v>
      </c>
      <c r="C336">
        <v>170</v>
      </c>
      <c r="D336" t="s">
        <v>904</v>
      </c>
    </row>
    <row r="337" spans="1:4" x14ac:dyDescent="0.25">
      <c r="A337" t="s">
        <v>910</v>
      </c>
      <c r="B337">
        <v>310</v>
      </c>
      <c r="C337">
        <v>144</v>
      </c>
      <c r="D337" t="s">
        <v>904</v>
      </c>
    </row>
    <row r="338" spans="1:4" x14ac:dyDescent="0.25">
      <c r="A338" t="s">
        <v>910</v>
      </c>
      <c r="B338">
        <v>313</v>
      </c>
      <c r="C338">
        <v>149</v>
      </c>
      <c r="D338" t="s">
        <v>904</v>
      </c>
    </row>
    <row r="339" spans="1:4" x14ac:dyDescent="0.25">
      <c r="A339" t="s">
        <v>910</v>
      </c>
      <c r="B339">
        <v>312</v>
      </c>
      <c r="C339">
        <v>149</v>
      </c>
      <c r="D339" t="s">
        <v>904</v>
      </c>
    </row>
    <row r="340" spans="1:4" x14ac:dyDescent="0.25">
      <c r="A340" t="s">
        <v>910</v>
      </c>
      <c r="B340">
        <v>314</v>
      </c>
      <c r="C340">
        <v>145</v>
      </c>
      <c r="D340" t="s">
        <v>904</v>
      </c>
    </row>
    <row r="341" spans="1:4" x14ac:dyDescent="0.25">
      <c r="A341" t="s">
        <v>910</v>
      </c>
      <c r="B341">
        <v>311</v>
      </c>
      <c r="C341">
        <v>151</v>
      </c>
      <c r="D341" t="s">
        <v>904</v>
      </c>
    </row>
    <row r="342" spans="1:4" x14ac:dyDescent="0.25">
      <c r="A342" t="s">
        <v>913</v>
      </c>
      <c r="B342" t="s">
        <v>914</v>
      </c>
      <c r="C342">
        <v>132</v>
      </c>
      <c r="D342" t="s">
        <v>876</v>
      </c>
    </row>
    <row r="343" spans="1:4" x14ac:dyDescent="0.25">
      <c r="A343" t="s">
        <v>913</v>
      </c>
      <c r="B343" t="s">
        <v>915</v>
      </c>
      <c r="C343">
        <v>140</v>
      </c>
      <c r="D343" t="s">
        <v>876</v>
      </c>
    </row>
    <row r="344" spans="1:4" x14ac:dyDescent="0.25">
      <c r="A344" t="s">
        <v>913</v>
      </c>
      <c r="B344" t="s">
        <v>916</v>
      </c>
      <c r="C344">
        <v>132</v>
      </c>
      <c r="D344" t="s">
        <v>876</v>
      </c>
    </row>
    <row r="345" spans="1:4" x14ac:dyDescent="0.25">
      <c r="A345" t="s">
        <v>913</v>
      </c>
      <c r="B345" t="s">
        <v>917</v>
      </c>
      <c r="C345">
        <v>140</v>
      </c>
      <c r="D345" t="s">
        <v>876</v>
      </c>
    </row>
    <row r="346" spans="1:4" x14ac:dyDescent="0.25">
      <c r="A346" t="s">
        <v>913</v>
      </c>
      <c r="B346" t="s">
        <v>918</v>
      </c>
      <c r="C346">
        <v>132</v>
      </c>
      <c r="D346" t="s">
        <v>876</v>
      </c>
    </row>
    <row r="347" spans="1:4" x14ac:dyDescent="0.25">
      <c r="A347" t="s">
        <v>913</v>
      </c>
      <c r="B347" t="s">
        <v>919</v>
      </c>
      <c r="C347">
        <v>147</v>
      </c>
      <c r="D347" t="s">
        <v>876</v>
      </c>
    </row>
    <row r="348" spans="1:4" x14ac:dyDescent="0.25">
      <c r="A348" t="s">
        <v>913</v>
      </c>
      <c r="B348" t="s">
        <v>920</v>
      </c>
      <c r="C348">
        <v>147</v>
      </c>
      <c r="D348" t="s">
        <v>876</v>
      </c>
    </row>
    <row r="349" spans="1:4" x14ac:dyDescent="0.25">
      <c r="A349" t="s">
        <v>913</v>
      </c>
      <c r="B349" t="s">
        <v>921</v>
      </c>
      <c r="C349">
        <v>140</v>
      </c>
      <c r="D349" t="s">
        <v>876</v>
      </c>
    </row>
    <row r="350" spans="1:4" x14ac:dyDescent="0.25">
      <c r="A350" t="s">
        <v>913</v>
      </c>
      <c r="B350" t="s">
        <v>922</v>
      </c>
      <c r="C350">
        <v>140</v>
      </c>
      <c r="D350" t="s">
        <v>876</v>
      </c>
    </row>
    <row r="351" spans="1:4" x14ac:dyDescent="0.25">
      <c r="A351" t="s">
        <v>913</v>
      </c>
      <c r="B351" t="s">
        <v>923</v>
      </c>
      <c r="C351">
        <v>147</v>
      </c>
      <c r="D351" t="s">
        <v>876</v>
      </c>
    </row>
    <row r="352" spans="1:4" x14ac:dyDescent="0.25">
      <c r="A352" t="s">
        <v>913</v>
      </c>
      <c r="B352" t="s">
        <v>924</v>
      </c>
      <c r="C352">
        <v>140</v>
      </c>
      <c r="D352" t="s">
        <v>876</v>
      </c>
    </row>
    <row r="353" spans="1:4" x14ac:dyDescent="0.25">
      <c r="A353" t="s">
        <v>913</v>
      </c>
      <c r="B353" t="s">
        <v>925</v>
      </c>
      <c r="C353">
        <v>140</v>
      </c>
      <c r="D353" t="s">
        <v>876</v>
      </c>
    </row>
    <row r="354" spans="1:4" x14ac:dyDescent="0.25">
      <c r="A354" t="s">
        <v>913</v>
      </c>
      <c r="B354" t="s">
        <v>926</v>
      </c>
      <c r="C354">
        <v>132</v>
      </c>
      <c r="D354" t="s">
        <v>876</v>
      </c>
    </row>
    <row r="355" spans="1:4" x14ac:dyDescent="0.25">
      <c r="A355" t="s">
        <v>913</v>
      </c>
      <c r="B355" t="s">
        <v>927</v>
      </c>
      <c r="C355">
        <v>140</v>
      </c>
      <c r="D355" t="s">
        <v>876</v>
      </c>
    </row>
    <row r="356" spans="1:4" x14ac:dyDescent="0.25">
      <c r="A356" t="s">
        <v>913</v>
      </c>
      <c r="B356" t="s">
        <v>928</v>
      </c>
      <c r="C356">
        <v>147</v>
      </c>
      <c r="D356" t="s">
        <v>876</v>
      </c>
    </row>
    <row r="357" spans="1:4" x14ac:dyDescent="0.25">
      <c r="A357" t="s">
        <v>913</v>
      </c>
      <c r="B357" t="s">
        <v>929</v>
      </c>
      <c r="C357">
        <v>140</v>
      </c>
      <c r="D357" t="s">
        <v>876</v>
      </c>
    </row>
    <row r="358" spans="1:4" x14ac:dyDescent="0.25">
      <c r="A358" t="s">
        <v>913</v>
      </c>
      <c r="B358" t="s">
        <v>930</v>
      </c>
      <c r="C358">
        <v>147</v>
      </c>
      <c r="D358" t="s">
        <v>876</v>
      </c>
    </row>
    <row r="359" spans="1:4" x14ac:dyDescent="0.25">
      <c r="A359" t="s">
        <v>913</v>
      </c>
      <c r="B359" t="s">
        <v>931</v>
      </c>
      <c r="C359">
        <v>132</v>
      </c>
      <c r="D359" t="s">
        <v>876</v>
      </c>
    </row>
    <row r="360" spans="1:4" x14ac:dyDescent="0.25">
      <c r="A360" t="s">
        <v>913</v>
      </c>
      <c r="B360" t="s">
        <v>932</v>
      </c>
      <c r="C360">
        <v>140</v>
      </c>
      <c r="D360" t="s">
        <v>876</v>
      </c>
    </row>
    <row r="361" spans="1:4" x14ac:dyDescent="0.25">
      <c r="A361" t="s">
        <v>913</v>
      </c>
      <c r="B361" t="s">
        <v>933</v>
      </c>
      <c r="C361">
        <v>132</v>
      </c>
      <c r="D361" t="s">
        <v>876</v>
      </c>
    </row>
    <row r="362" spans="1:4" x14ac:dyDescent="0.25">
      <c r="A362" t="s">
        <v>913</v>
      </c>
      <c r="B362" t="s">
        <v>934</v>
      </c>
      <c r="C362">
        <v>147</v>
      </c>
      <c r="D362" t="s">
        <v>876</v>
      </c>
    </row>
    <row r="363" spans="1:4" x14ac:dyDescent="0.25">
      <c r="A363" t="s">
        <v>913</v>
      </c>
      <c r="B363" t="s">
        <v>935</v>
      </c>
      <c r="C363">
        <v>140</v>
      </c>
      <c r="D363" t="s">
        <v>876</v>
      </c>
    </row>
    <row r="364" spans="1:4" x14ac:dyDescent="0.25">
      <c r="A364" t="s">
        <v>913</v>
      </c>
      <c r="B364" t="s">
        <v>936</v>
      </c>
      <c r="C364">
        <v>140</v>
      </c>
      <c r="D364" t="s">
        <v>876</v>
      </c>
    </row>
    <row r="365" spans="1:4" x14ac:dyDescent="0.25">
      <c r="A365" t="s">
        <v>913</v>
      </c>
      <c r="B365" t="s">
        <v>937</v>
      </c>
      <c r="C365">
        <v>140</v>
      </c>
      <c r="D365" t="s">
        <v>876</v>
      </c>
    </row>
    <row r="366" spans="1:4" x14ac:dyDescent="0.25">
      <c r="A366" t="s">
        <v>913</v>
      </c>
      <c r="B366" t="s">
        <v>938</v>
      </c>
      <c r="C366">
        <v>140</v>
      </c>
      <c r="D366" t="s">
        <v>876</v>
      </c>
    </row>
    <row r="367" spans="1:4" x14ac:dyDescent="0.25">
      <c r="A367" t="s">
        <v>913</v>
      </c>
      <c r="B367" t="s">
        <v>939</v>
      </c>
      <c r="C367">
        <v>132</v>
      </c>
      <c r="D367" t="s">
        <v>876</v>
      </c>
    </row>
    <row r="368" spans="1:4" x14ac:dyDescent="0.25">
      <c r="A368" t="s">
        <v>913</v>
      </c>
      <c r="B368" t="s">
        <v>940</v>
      </c>
      <c r="C368">
        <v>147</v>
      </c>
      <c r="D368" t="s">
        <v>876</v>
      </c>
    </row>
    <row r="369" spans="1:4" x14ac:dyDescent="0.25">
      <c r="A369" t="s">
        <v>913</v>
      </c>
      <c r="B369" t="s">
        <v>941</v>
      </c>
      <c r="C369">
        <v>132</v>
      </c>
      <c r="D369" t="s">
        <v>876</v>
      </c>
    </row>
    <row r="370" spans="1:4" x14ac:dyDescent="0.25">
      <c r="A370" t="s">
        <v>913</v>
      </c>
      <c r="B370" t="s">
        <v>942</v>
      </c>
      <c r="C370">
        <v>140</v>
      </c>
      <c r="D370" t="s">
        <v>876</v>
      </c>
    </row>
    <row r="371" spans="1:4" x14ac:dyDescent="0.25">
      <c r="A371" t="s">
        <v>913</v>
      </c>
      <c r="B371" t="s">
        <v>943</v>
      </c>
      <c r="C371">
        <v>140</v>
      </c>
      <c r="D371" t="s">
        <v>876</v>
      </c>
    </row>
    <row r="372" spans="1:4" x14ac:dyDescent="0.25">
      <c r="A372" t="s">
        <v>913</v>
      </c>
      <c r="B372" t="s">
        <v>944</v>
      </c>
      <c r="C372">
        <v>140</v>
      </c>
      <c r="D372" t="s">
        <v>876</v>
      </c>
    </row>
    <row r="373" spans="1:4" x14ac:dyDescent="0.25">
      <c r="A373" t="s">
        <v>913</v>
      </c>
      <c r="B373" t="s">
        <v>945</v>
      </c>
      <c r="C373">
        <v>140</v>
      </c>
      <c r="D373" t="s">
        <v>876</v>
      </c>
    </row>
    <row r="374" spans="1:4" x14ac:dyDescent="0.25">
      <c r="A374" t="s">
        <v>913</v>
      </c>
      <c r="B374" t="s">
        <v>946</v>
      </c>
      <c r="C374">
        <v>147</v>
      </c>
      <c r="D374" t="s">
        <v>876</v>
      </c>
    </row>
    <row r="375" spans="1:4" x14ac:dyDescent="0.25">
      <c r="A375" t="s">
        <v>913</v>
      </c>
      <c r="B375" t="s">
        <v>947</v>
      </c>
      <c r="C375">
        <v>132</v>
      </c>
      <c r="D375" t="s">
        <v>876</v>
      </c>
    </row>
    <row r="376" spans="1:4" x14ac:dyDescent="0.25">
      <c r="A376" t="s">
        <v>913</v>
      </c>
      <c r="B376" t="s">
        <v>948</v>
      </c>
      <c r="C376">
        <v>140</v>
      </c>
      <c r="D376" t="s">
        <v>876</v>
      </c>
    </row>
    <row r="377" spans="1:4" x14ac:dyDescent="0.25">
      <c r="A377" t="s">
        <v>913</v>
      </c>
      <c r="B377" t="s">
        <v>949</v>
      </c>
      <c r="C377">
        <v>140</v>
      </c>
      <c r="D377" t="s">
        <v>876</v>
      </c>
    </row>
    <row r="378" spans="1:4" x14ac:dyDescent="0.25">
      <c r="A378" t="s">
        <v>913</v>
      </c>
      <c r="B378" t="s">
        <v>950</v>
      </c>
      <c r="C378">
        <v>132</v>
      </c>
      <c r="D378" t="s">
        <v>876</v>
      </c>
    </row>
    <row r="379" spans="1:4" x14ac:dyDescent="0.25">
      <c r="A379" t="s">
        <v>913</v>
      </c>
      <c r="B379" t="s">
        <v>951</v>
      </c>
      <c r="C379">
        <v>147</v>
      </c>
      <c r="D379" t="s">
        <v>876</v>
      </c>
    </row>
    <row r="380" spans="1:4" x14ac:dyDescent="0.25">
      <c r="A380" t="s">
        <v>913</v>
      </c>
      <c r="B380" t="s">
        <v>952</v>
      </c>
      <c r="C380">
        <v>132</v>
      </c>
      <c r="D380" t="s">
        <v>876</v>
      </c>
    </row>
    <row r="381" spans="1:4" x14ac:dyDescent="0.25">
      <c r="A381" t="s">
        <v>913</v>
      </c>
      <c r="B381" t="s">
        <v>953</v>
      </c>
      <c r="C381">
        <v>140</v>
      </c>
      <c r="D381" t="s">
        <v>876</v>
      </c>
    </row>
    <row r="382" spans="1:4" x14ac:dyDescent="0.25">
      <c r="A382" t="s">
        <v>913</v>
      </c>
      <c r="B382" t="s">
        <v>954</v>
      </c>
      <c r="C382">
        <v>140</v>
      </c>
      <c r="D382" t="s">
        <v>876</v>
      </c>
    </row>
    <row r="383" spans="1:4" x14ac:dyDescent="0.25">
      <c r="A383" t="s">
        <v>913</v>
      </c>
      <c r="B383" t="s">
        <v>955</v>
      </c>
      <c r="C383">
        <v>140</v>
      </c>
      <c r="D383" t="s">
        <v>876</v>
      </c>
    </row>
    <row r="384" spans="1:4" x14ac:dyDescent="0.25">
      <c r="A384" t="s">
        <v>913</v>
      </c>
      <c r="B384" t="s">
        <v>956</v>
      </c>
      <c r="C384">
        <v>140</v>
      </c>
      <c r="D384" t="s">
        <v>876</v>
      </c>
    </row>
    <row r="385" spans="1:4" x14ac:dyDescent="0.25">
      <c r="A385" t="s">
        <v>913</v>
      </c>
      <c r="B385" t="s">
        <v>957</v>
      </c>
      <c r="C385">
        <v>147</v>
      </c>
      <c r="D385" t="s">
        <v>876</v>
      </c>
    </row>
    <row r="386" spans="1:4" x14ac:dyDescent="0.25">
      <c r="A386" t="s">
        <v>913</v>
      </c>
      <c r="B386" t="s">
        <v>958</v>
      </c>
      <c r="C386">
        <v>140</v>
      </c>
      <c r="D386" t="s">
        <v>876</v>
      </c>
    </row>
    <row r="387" spans="1:4" x14ac:dyDescent="0.25">
      <c r="A387" t="s">
        <v>913</v>
      </c>
      <c r="B387" t="s">
        <v>959</v>
      </c>
      <c r="C387">
        <v>132</v>
      </c>
      <c r="D387" t="s">
        <v>876</v>
      </c>
    </row>
    <row r="388" spans="1:4" x14ac:dyDescent="0.25">
      <c r="A388" t="s">
        <v>913</v>
      </c>
      <c r="B388" t="s">
        <v>960</v>
      </c>
      <c r="C388">
        <v>147</v>
      </c>
      <c r="D388" t="s">
        <v>876</v>
      </c>
    </row>
    <row r="389" spans="1:4" x14ac:dyDescent="0.25">
      <c r="A389" t="s">
        <v>913</v>
      </c>
      <c r="B389" t="s">
        <v>961</v>
      </c>
      <c r="C389">
        <v>147</v>
      </c>
      <c r="D389" t="s">
        <v>876</v>
      </c>
    </row>
    <row r="390" spans="1:4" x14ac:dyDescent="0.25">
      <c r="A390" t="s">
        <v>913</v>
      </c>
      <c r="B390" t="s">
        <v>962</v>
      </c>
      <c r="C390">
        <v>140</v>
      </c>
      <c r="D390" t="s">
        <v>876</v>
      </c>
    </row>
    <row r="391" spans="1:4" x14ac:dyDescent="0.25">
      <c r="A391" t="s">
        <v>913</v>
      </c>
      <c r="B391" t="s">
        <v>963</v>
      </c>
      <c r="C391">
        <v>140</v>
      </c>
      <c r="D391" t="s">
        <v>876</v>
      </c>
    </row>
    <row r="392" spans="1:4" x14ac:dyDescent="0.25">
      <c r="A392" t="s">
        <v>913</v>
      </c>
      <c r="B392" t="s">
        <v>964</v>
      </c>
      <c r="C392">
        <v>140</v>
      </c>
      <c r="D392" t="s">
        <v>876</v>
      </c>
    </row>
    <row r="393" spans="1:4" x14ac:dyDescent="0.25">
      <c r="A393" t="s">
        <v>913</v>
      </c>
      <c r="B393" t="s">
        <v>965</v>
      </c>
      <c r="C393">
        <v>140</v>
      </c>
      <c r="D393" t="s">
        <v>876</v>
      </c>
    </row>
    <row r="394" spans="1:4" x14ac:dyDescent="0.25">
      <c r="A394" t="s">
        <v>913</v>
      </c>
      <c r="B394" t="s">
        <v>966</v>
      </c>
      <c r="C394">
        <v>140</v>
      </c>
      <c r="D394" t="s">
        <v>876</v>
      </c>
    </row>
    <row r="395" spans="1:4" x14ac:dyDescent="0.25">
      <c r="A395" t="s">
        <v>913</v>
      </c>
      <c r="B395" t="s">
        <v>967</v>
      </c>
      <c r="C395">
        <v>140</v>
      </c>
      <c r="D395" t="s">
        <v>876</v>
      </c>
    </row>
    <row r="396" spans="1:4" x14ac:dyDescent="0.25">
      <c r="A396" t="s">
        <v>913</v>
      </c>
      <c r="B396" t="s">
        <v>968</v>
      </c>
      <c r="C396">
        <v>147</v>
      </c>
      <c r="D396" t="s">
        <v>876</v>
      </c>
    </row>
    <row r="397" spans="1:4" x14ac:dyDescent="0.25">
      <c r="A397" t="s">
        <v>913</v>
      </c>
      <c r="B397" t="s">
        <v>969</v>
      </c>
      <c r="C397">
        <v>147</v>
      </c>
      <c r="D397" t="s">
        <v>876</v>
      </c>
    </row>
    <row r="398" spans="1:4" x14ac:dyDescent="0.25">
      <c r="A398" t="s">
        <v>913</v>
      </c>
      <c r="B398" t="s">
        <v>970</v>
      </c>
      <c r="C398">
        <v>132</v>
      </c>
      <c r="D398" t="s">
        <v>876</v>
      </c>
    </row>
    <row r="399" spans="1:4" x14ac:dyDescent="0.25">
      <c r="A399" t="s">
        <v>913</v>
      </c>
      <c r="B399" t="s">
        <v>971</v>
      </c>
      <c r="C399">
        <v>147</v>
      </c>
      <c r="D399" t="s">
        <v>876</v>
      </c>
    </row>
    <row r="400" spans="1:4" x14ac:dyDescent="0.25">
      <c r="A400" t="s">
        <v>913</v>
      </c>
      <c r="B400" t="s">
        <v>972</v>
      </c>
      <c r="C400">
        <v>147</v>
      </c>
      <c r="D400" t="s">
        <v>876</v>
      </c>
    </row>
    <row r="401" spans="1:4" x14ac:dyDescent="0.25">
      <c r="A401" t="s">
        <v>913</v>
      </c>
      <c r="B401" t="s">
        <v>973</v>
      </c>
      <c r="C401">
        <v>132</v>
      </c>
      <c r="D401" t="s">
        <v>876</v>
      </c>
    </row>
    <row r="402" spans="1:4" x14ac:dyDescent="0.25">
      <c r="A402" t="s">
        <v>913</v>
      </c>
      <c r="B402" t="s">
        <v>974</v>
      </c>
      <c r="C402">
        <v>140</v>
      </c>
      <c r="D402" t="s">
        <v>876</v>
      </c>
    </row>
    <row r="403" spans="1:4" x14ac:dyDescent="0.25">
      <c r="A403" t="s">
        <v>913</v>
      </c>
      <c r="B403" t="s">
        <v>975</v>
      </c>
      <c r="C403">
        <v>140</v>
      </c>
      <c r="D403" t="s">
        <v>876</v>
      </c>
    </row>
    <row r="404" spans="1:4" x14ac:dyDescent="0.25">
      <c r="A404" t="s">
        <v>913</v>
      </c>
      <c r="B404" t="s">
        <v>976</v>
      </c>
      <c r="C404">
        <v>140</v>
      </c>
      <c r="D404" t="s">
        <v>876</v>
      </c>
    </row>
    <row r="405" spans="1:4" x14ac:dyDescent="0.25">
      <c r="A405" t="s">
        <v>913</v>
      </c>
      <c r="B405" t="s">
        <v>977</v>
      </c>
      <c r="C405">
        <v>140</v>
      </c>
      <c r="D405" t="s">
        <v>876</v>
      </c>
    </row>
    <row r="406" spans="1:4" x14ac:dyDescent="0.25">
      <c r="A406" t="s">
        <v>913</v>
      </c>
      <c r="B406" t="s">
        <v>978</v>
      </c>
      <c r="C406">
        <v>132</v>
      </c>
      <c r="D406" t="s">
        <v>876</v>
      </c>
    </row>
    <row r="407" spans="1:4" x14ac:dyDescent="0.25">
      <c r="A407" t="s">
        <v>913</v>
      </c>
      <c r="B407" t="s">
        <v>979</v>
      </c>
      <c r="C407">
        <v>140</v>
      </c>
      <c r="D407" t="s">
        <v>876</v>
      </c>
    </row>
    <row r="408" spans="1:4" x14ac:dyDescent="0.25">
      <c r="A408" t="s">
        <v>913</v>
      </c>
      <c r="B408" t="s">
        <v>980</v>
      </c>
      <c r="C408">
        <v>132</v>
      </c>
      <c r="D408" t="s">
        <v>876</v>
      </c>
    </row>
    <row r="409" spans="1:4" x14ac:dyDescent="0.25">
      <c r="A409" t="s">
        <v>913</v>
      </c>
      <c r="B409" t="s">
        <v>981</v>
      </c>
      <c r="C409">
        <v>140</v>
      </c>
      <c r="D409" t="s">
        <v>876</v>
      </c>
    </row>
    <row r="410" spans="1:4" x14ac:dyDescent="0.25">
      <c r="A410" t="s">
        <v>913</v>
      </c>
      <c r="B410" t="s">
        <v>982</v>
      </c>
      <c r="C410">
        <v>147</v>
      </c>
      <c r="D410" t="s">
        <v>876</v>
      </c>
    </row>
    <row r="411" spans="1:4" x14ac:dyDescent="0.25">
      <c r="A411" t="s">
        <v>913</v>
      </c>
      <c r="B411" t="s">
        <v>983</v>
      </c>
      <c r="C411">
        <v>147</v>
      </c>
      <c r="D411" t="s">
        <v>876</v>
      </c>
    </row>
    <row r="412" spans="1:4" x14ac:dyDescent="0.25">
      <c r="A412" t="s">
        <v>913</v>
      </c>
      <c r="B412" t="s">
        <v>984</v>
      </c>
      <c r="C412">
        <v>132</v>
      </c>
      <c r="D412" t="s">
        <v>876</v>
      </c>
    </row>
    <row r="413" spans="1:4" x14ac:dyDescent="0.25">
      <c r="A413" t="s">
        <v>985</v>
      </c>
      <c r="B413" t="s">
        <v>986</v>
      </c>
      <c r="C413">
        <v>143</v>
      </c>
      <c r="D413" t="s">
        <v>876</v>
      </c>
    </row>
    <row r="414" spans="1:4" x14ac:dyDescent="0.25">
      <c r="A414" t="s">
        <v>985</v>
      </c>
      <c r="B414" t="s">
        <v>987</v>
      </c>
      <c r="C414">
        <v>186</v>
      </c>
      <c r="D414" t="s">
        <v>876</v>
      </c>
    </row>
    <row r="415" spans="1:4" x14ac:dyDescent="0.25">
      <c r="A415" t="s">
        <v>985</v>
      </c>
      <c r="B415" t="s">
        <v>988</v>
      </c>
      <c r="C415">
        <v>137</v>
      </c>
      <c r="D415" t="s">
        <v>876</v>
      </c>
    </row>
    <row r="416" spans="1:4" x14ac:dyDescent="0.25">
      <c r="A416" t="s">
        <v>985</v>
      </c>
      <c r="B416" t="s">
        <v>989</v>
      </c>
      <c r="C416">
        <v>154</v>
      </c>
      <c r="D416" t="s">
        <v>876</v>
      </c>
    </row>
    <row r="417" spans="1:4" x14ac:dyDescent="0.25">
      <c r="A417" t="s">
        <v>985</v>
      </c>
      <c r="B417" t="s">
        <v>990</v>
      </c>
      <c r="C417">
        <v>128</v>
      </c>
      <c r="D417" t="s">
        <v>876</v>
      </c>
    </row>
    <row r="418" spans="1:4" x14ac:dyDescent="0.25">
      <c r="A418" t="s">
        <v>985</v>
      </c>
      <c r="B418" t="s">
        <v>991</v>
      </c>
      <c r="C418">
        <v>153</v>
      </c>
      <c r="D418" t="s">
        <v>876</v>
      </c>
    </row>
    <row r="419" spans="1:4" x14ac:dyDescent="0.25">
      <c r="A419" t="s">
        <v>985</v>
      </c>
      <c r="B419" t="s">
        <v>992</v>
      </c>
      <c r="C419">
        <v>209</v>
      </c>
      <c r="D419" t="s">
        <v>876</v>
      </c>
    </row>
    <row r="420" spans="1:4" x14ac:dyDescent="0.25">
      <c r="A420" t="s">
        <v>985</v>
      </c>
      <c r="B420" t="s">
        <v>993</v>
      </c>
      <c r="C420">
        <v>171</v>
      </c>
      <c r="D420" t="s">
        <v>876</v>
      </c>
    </row>
    <row r="421" spans="1:4" x14ac:dyDescent="0.25">
      <c r="A421" t="s">
        <v>985</v>
      </c>
      <c r="B421" t="s">
        <v>994</v>
      </c>
      <c r="C421">
        <v>135</v>
      </c>
      <c r="D421" t="s">
        <v>876</v>
      </c>
    </row>
    <row r="422" spans="1:4" x14ac:dyDescent="0.25">
      <c r="A422" t="s">
        <v>985</v>
      </c>
      <c r="B422" t="s">
        <v>995</v>
      </c>
      <c r="D422" t="s">
        <v>876</v>
      </c>
    </row>
    <row r="423" spans="1:4" x14ac:dyDescent="0.25">
      <c r="A423" t="s">
        <v>985</v>
      </c>
      <c r="B423" t="s">
        <v>996</v>
      </c>
      <c r="D423" t="s">
        <v>876</v>
      </c>
    </row>
    <row r="424" spans="1:4" x14ac:dyDescent="0.25">
      <c r="A424" t="s">
        <v>985</v>
      </c>
      <c r="B424" t="s">
        <v>997</v>
      </c>
      <c r="C424">
        <v>179</v>
      </c>
      <c r="D424" t="s">
        <v>876</v>
      </c>
    </row>
    <row r="425" spans="1:4" x14ac:dyDescent="0.25">
      <c r="A425" t="s">
        <v>985</v>
      </c>
      <c r="B425" t="s">
        <v>998</v>
      </c>
      <c r="D425" t="s">
        <v>876</v>
      </c>
    </row>
    <row r="426" spans="1:4" x14ac:dyDescent="0.25">
      <c r="A426" t="s">
        <v>985</v>
      </c>
      <c r="B426" t="s">
        <v>999</v>
      </c>
      <c r="C426">
        <v>136</v>
      </c>
      <c r="D426" t="s">
        <v>876</v>
      </c>
    </row>
    <row r="427" spans="1:4" x14ac:dyDescent="0.25">
      <c r="A427" t="s">
        <v>985</v>
      </c>
      <c r="B427" t="s">
        <v>1000</v>
      </c>
      <c r="C427">
        <v>154</v>
      </c>
      <c r="D427" t="s">
        <v>876</v>
      </c>
    </row>
    <row r="428" spans="1:4" x14ac:dyDescent="0.25">
      <c r="A428" t="s">
        <v>985</v>
      </c>
      <c r="B428" t="s">
        <v>1001</v>
      </c>
      <c r="C428">
        <v>170</v>
      </c>
      <c r="D428" t="s">
        <v>876</v>
      </c>
    </row>
    <row r="429" spans="1:4" x14ac:dyDescent="0.25">
      <c r="A429" t="s">
        <v>985</v>
      </c>
      <c r="B429" t="s">
        <v>1002</v>
      </c>
      <c r="C429">
        <v>153</v>
      </c>
      <c r="D429" t="s">
        <v>876</v>
      </c>
    </row>
    <row r="430" spans="1:4" x14ac:dyDescent="0.25">
      <c r="A430" t="s">
        <v>985</v>
      </c>
      <c r="B430" t="s">
        <v>1003</v>
      </c>
      <c r="C430">
        <v>131</v>
      </c>
      <c r="D430" t="s">
        <v>876</v>
      </c>
    </row>
    <row r="431" spans="1:4" x14ac:dyDescent="0.25">
      <c r="A431" t="s">
        <v>985</v>
      </c>
      <c r="B431" t="s">
        <v>1004</v>
      </c>
      <c r="C431">
        <v>135</v>
      </c>
      <c r="D431" t="s">
        <v>876</v>
      </c>
    </row>
    <row r="432" spans="1:4" x14ac:dyDescent="0.25">
      <c r="A432" t="s">
        <v>985</v>
      </c>
      <c r="B432" t="s">
        <v>1005</v>
      </c>
      <c r="C432">
        <v>131</v>
      </c>
      <c r="D432" t="s">
        <v>876</v>
      </c>
    </row>
    <row r="433" spans="1:4" x14ac:dyDescent="0.25">
      <c r="A433" t="s">
        <v>985</v>
      </c>
      <c r="B433" t="s">
        <v>1006</v>
      </c>
      <c r="C433">
        <v>135</v>
      </c>
      <c r="D433" t="s">
        <v>876</v>
      </c>
    </row>
    <row r="434" spans="1:4" x14ac:dyDescent="0.25">
      <c r="A434" t="s">
        <v>985</v>
      </c>
      <c r="B434" t="s">
        <v>1007</v>
      </c>
      <c r="C434">
        <v>127</v>
      </c>
      <c r="D434" t="s">
        <v>876</v>
      </c>
    </row>
    <row r="435" spans="1:4" x14ac:dyDescent="0.25">
      <c r="A435" t="s">
        <v>985</v>
      </c>
      <c r="B435" t="s">
        <v>1008</v>
      </c>
      <c r="C435">
        <v>149</v>
      </c>
      <c r="D435" t="s">
        <v>876</v>
      </c>
    </row>
    <row r="436" spans="1:4" x14ac:dyDescent="0.25">
      <c r="A436" t="s">
        <v>985</v>
      </c>
      <c r="B436" t="s">
        <v>1009</v>
      </c>
      <c r="C436">
        <v>133</v>
      </c>
      <c r="D436" t="s">
        <v>876</v>
      </c>
    </row>
    <row r="437" spans="1:4" x14ac:dyDescent="0.25">
      <c r="A437" t="s">
        <v>985</v>
      </c>
      <c r="B437" t="s">
        <v>1010</v>
      </c>
      <c r="C437">
        <v>123</v>
      </c>
      <c r="D437" t="s">
        <v>876</v>
      </c>
    </row>
    <row r="438" spans="1:4" x14ac:dyDescent="0.25">
      <c r="A438" t="s">
        <v>985</v>
      </c>
      <c r="B438" t="s">
        <v>1011</v>
      </c>
      <c r="C438">
        <v>168</v>
      </c>
      <c r="D438" t="s">
        <v>876</v>
      </c>
    </row>
    <row r="439" spans="1:4" x14ac:dyDescent="0.25">
      <c r="A439" t="s">
        <v>985</v>
      </c>
      <c r="B439" t="s">
        <v>1012</v>
      </c>
      <c r="C439">
        <v>214</v>
      </c>
      <c r="D439" t="s">
        <v>885</v>
      </c>
    </row>
    <row r="440" spans="1:4" x14ac:dyDescent="0.25">
      <c r="A440" t="s">
        <v>985</v>
      </c>
      <c r="B440" t="s">
        <v>1013</v>
      </c>
      <c r="C440">
        <v>158</v>
      </c>
      <c r="D440" t="s">
        <v>876</v>
      </c>
    </row>
    <row r="441" spans="1:4" x14ac:dyDescent="0.25">
      <c r="A441" t="s">
        <v>985</v>
      </c>
      <c r="B441" t="s">
        <v>1014</v>
      </c>
      <c r="C441">
        <v>181</v>
      </c>
      <c r="D441" t="s">
        <v>876</v>
      </c>
    </row>
    <row r="442" spans="1:4" x14ac:dyDescent="0.25">
      <c r="A442" t="s">
        <v>985</v>
      </c>
      <c r="B442" t="s">
        <v>1015</v>
      </c>
      <c r="C442">
        <v>167</v>
      </c>
      <c r="D442" t="s">
        <v>876</v>
      </c>
    </row>
    <row r="443" spans="1:4" x14ac:dyDescent="0.25">
      <c r="A443" t="s">
        <v>985</v>
      </c>
      <c r="B443" t="s">
        <v>1016</v>
      </c>
      <c r="C443">
        <v>166</v>
      </c>
      <c r="D443" t="s">
        <v>876</v>
      </c>
    </row>
    <row r="444" spans="1:4" x14ac:dyDescent="0.25">
      <c r="A444" t="s">
        <v>985</v>
      </c>
      <c r="B444" t="s">
        <v>1017</v>
      </c>
      <c r="C444">
        <v>142</v>
      </c>
      <c r="D444" t="s">
        <v>876</v>
      </c>
    </row>
    <row r="445" spans="1:4" x14ac:dyDescent="0.25">
      <c r="A445" t="s">
        <v>985</v>
      </c>
      <c r="B445" t="s">
        <v>1018</v>
      </c>
      <c r="C445">
        <v>171</v>
      </c>
      <c r="D445" t="s">
        <v>876</v>
      </c>
    </row>
    <row r="446" spans="1:4" x14ac:dyDescent="0.25">
      <c r="A446" t="s">
        <v>985</v>
      </c>
      <c r="B446" t="s">
        <v>1019</v>
      </c>
      <c r="C446">
        <v>144</v>
      </c>
      <c r="D446" t="s">
        <v>876</v>
      </c>
    </row>
    <row r="447" spans="1:4" x14ac:dyDescent="0.25">
      <c r="A447" t="s">
        <v>985</v>
      </c>
      <c r="B447" t="s">
        <v>1020</v>
      </c>
      <c r="C447">
        <v>225</v>
      </c>
      <c r="D447" t="s">
        <v>885</v>
      </c>
    </row>
    <row r="448" spans="1:4" x14ac:dyDescent="0.25">
      <c r="A448" t="s">
        <v>985</v>
      </c>
      <c r="B448" t="s">
        <v>1021</v>
      </c>
      <c r="C448">
        <v>156</v>
      </c>
      <c r="D448" t="s">
        <v>876</v>
      </c>
    </row>
    <row r="449" spans="1:4" x14ac:dyDescent="0.25">
      <c r="A449" t="s">
        <v>985</v>
      </c>
      <c r="B449" t="s">
        <v>1022</v>
      </c>
      <c r="C449">
        <v>132</v>
      </c>
      <c r="D449" t="s">
        <v>876</v>
      </c>
    </row>
    <row r="450" spans="1:4" x14ac:dyDescent="0.25">
      <c r="A450" t="s">
        <v>985</v>
      </c>
      <c r="B450" t="s">
        <v>1023</v>
      </c>
      <c r="C450">
        <v>138</v>
      </c>
      <c r="D450" t="s">
        <v>876</v>
      </c>
    </row>
    <row r="451" spans="1:4" x14ac:dyDescent="0.25">
      <c r="A451" t="s">
        <v>985</v>
      </c>
      <c r="B451" t="s">
        <v>1024</v>
      </c>
      <c r="C451">
        <v>138</v>
      </c>
      <c r="D451" t="s">
        <v>876</v>
      </c>
    </row>
    <row r="452" spans="1:4" x14ac:dyDescent="0.25">
      <c r="A452" t="s">
        <v>985</v>
      </c>
      <c r="B452" t="s">
        <v>1025</v>
      </c>
      <c r="C452">
        <v>141</v>
      </c>
      <c r="D452" t="s">
        <v>876</v>
      </c>
    </row>
    <row r="453" spans="1:4" x14ac:dyDescent="0.25">
      <c r="A453" t="s">
        <v>985</v>
      </c>
      <c r="B453" t="s">
        <v>1026</v>
      </c>
      <c r="C453">
        <v>154</v>
      </c>
      <c r="D453" t="s">
        <v>876</v>
      </c>
    </row>
    <row r="454" spans="1:4" x14ac:dyDescent="0.25">
      <c r="A454" t="s">
        <v>985</v>
      </c>
      <c r="B454" t="s">
        <v>1027</v>
      </c>
      <c r="C454">
        <v>156</v>
      </c>
      <c r="D454" t="s">
        <v>876</v>
      </c>
    </row>
    <row r="455" spans="1:4" x14ac:dyDescent="0.25">
      <c r="A455" t="s">
        <v>985</v>
      </c>
      <c r="B455" t="s">
        <v>1028</v>
      </c>
      <c r="C455">
        <v>172</v>
      </c>
      <c r="D455" t="s">
        <v>876</v>
      </c>
    </row>
    <row r="456" spans="1:4" x14ac:dyDescent="0.25">
      <c r="A456" t="s">
        <v>985</v>
      </c>
      <c r="B456" t="s">
        <v>1029</v>
      </c>
      <c r="C456">
        <v>139</v>
      </c>
      <c r="D456" t="s">
        <v>876</v>
      </c>
    </row>
    <row r="457" spans="1:4" x14ac:dyDescent="0.25">
      <c r="A457" t="s">
        <v>985</v>
      </c>
      <c r="B457" t="s">
        <v>1030</v>
      </c>
      <c r="C457">
        <v>201</v>
      </c>
      <c r="D457" t="s">
        <v>876</v>
      </c>
    </row>
    <row r="458" spans="1:4" x14ac:dyDescent="0.25">
      <c r="A458" t="s">
        <v>985</v>
      </c>
      <c r="B458" t="s">
        <v>906</v>
      </c>
      <c r="C458">
        <v>204</v>
      </c>
      <c r="D458" t="s">
        <v>885</v>
      </c>
    </row>
    <row r="459" spans="1:4" x14ac:dyDescent="0.25">
      <c r="A459" t="s">
        <v>985</v>
      </c>
      <c r="B459" t="s">
        <v>1031</v>
      </c>
      <c r="C459">
        <v>136</v>
      </c>
      <c r="D459" t="s">
        <v>876</v>
      </c>
    </row>
    <row r="460" spans="1:4" x14ac:dyDescent="0.25">
      <c r="A460" t="s">
        <v>985</v>
      </c>
      <c r="B460" t="s">
        <v>1032</v>
      </c>
      <c r="C460">
        <v>188</v>
      </c>
      <c r="D460" t="s">
        <v>876</v>
      </c>
    </row>
    <row r="461" spans="1:4" x14ac:dyDescent="0.25">
      <c r="A461" t="s">
        <v>985</v>
      </c>
      <c r="B461" t="s">
        <v>1033</v>
      </c>
      <c r="C461">
        <v>155</v>
      </c>
      <c r="D461" t="s">
        <v>876</v>
      </c>
    </row>
    <row r="462" spans="1:4" x14ac:dyDescent="0.25">
      <c r="A462" t="s">
        <v>985</v>
      </c>
      <c r="B462" t="s">
        <v>1034</v>
      </c>
      <c r="C462">
        <v>154</v>
      </c>
      <c r="D462" t="s">
        <v>876</v>
      </c>
    </row>
    <row r="463" spans="1:4" x14ac:dyDescent="0.25">
      <c r="A463" t="s">
        <v>985</v>
      </c>
      <c r="B463" t="s">
        <v>1035</v>
      </c>
      <c r="C463">
        <v>118</v>
      </c>
      <c r="D463" t="s">
        <v>876</v>
      </c>
    </row>
    <row r="464" spans="1:4" x14ac:dyDescent="0.25">
      <c r="A464" t="s">
        <v>985</v>
      </c>
      <c r="B464" t="s">
        <v>1036</v>
      </c>
      <c r="C464">
        <v>164</v>
      </c>
      <c r="D464" t="s">
        <v>876</v>
      </c>
    </row>
    <row r="465" spans="1:4" x14ac:dyDescent="0.25">
      <c r="A465" t="s">
        <v>985</v>
      </c>
      <c r="B465" t="s">
        <v>1037</v>
      </c>
      <c r="C465">
        <v>133</v>
      </c>
      <c r="D465" t="s">
        <v>876</v>
      </c>
    </row>
    <row r="466" spans="1:4" x14ac:dyDescent="0.25">
      <c r="A466" t="s">
        <v>985</v>
      </c>
      <c r="B466" t="s">
        <v>907</v>
      </c>
      <c r="C466">
        <v>135</v>
      </c>
      <c r="D466" t="s">
        <v>876</v>
      </c>
    </row>
    <row r="467" spans="1:4" x14ac:dyDescent="0.25">
      <c r="A467" t="s">
        <v>985</v>
      </c>
      <c r="B467" t="s">
        <v>1038</v>
      </c>
      <c r="C467">
        <v>158</v>
      </c>
      <c r="D467" t="s">
        <v>876</v>
      </c>
    </row>
    <row r="468" spans="1:4" x14ac:dyDescent="0.25">
      <c r="A468" t="s">
        <v>985</v>
      </c>
      <c r="B468" t="s">
        <v>1039</v>
      </c>
      <c r="C468">
        <v>211</v>
      </c>
      <c r="D468" t="s">
        <v>885</v>
      </c>
    </row>
    <row r="469" spans="1:4" x14ac:dyDescent="0.25">
      <c r="A469" t="s">
        <v>985</v>
      </c>
      <c r="B469" t="s">
        <v>1040</v>
      </c>
      <c r="C469">
        <v>207</v>
      </c>
      <c r="D469" t="s">
        <v>885</v>
      </c>
    </row>
    <row r="470" spans="1:4" x14ac:dyDescent="0.25">
      <c r="A470" t="s">
        <v>985</v>
      </c>
      <c r="B470" t="s">
        <v>1041</v>
      </c>
      <c r="C470">
        <v>204</v>
      </c>
      <c r="D470" t="s">
        <v>885</v>
      </c>
    </row>
    <row r="471" spans="1:4" x14ac:dyDescent="0.25">
      <c r="A471" t="s">
        <v>985</v>
      </c>
      <c r="B471" t="s">
        <v>1042</v>
      </c>
      <c r="C471">
        <v>161</v>
      </c>
      <c r="D471" t="s">
        <v>876</v>
      </c>
    </row>
    <row r="472" spans="1:4" x14ac:dyDescent="0.25">
      <c r="A472" t="s">
        <v>985</v>
      </c>
      <c r="B472" t="s">
        <v>1043</v>
      </c>
      <c r="C472">
        <v>141</v>
      </c>
      <c r="D472" t="s">
        <v>876</v>
      </c>
    </row>
    <row r="473" spans="1:4" x14ac:dyDescent="0.25">
      <c r="A473" t="s">
        <v>985</v>
      </c>
      <c r="B473" t="s">
        <v>1044</v>
      </c>
      <c r="C473">
        <v>143</v>
      </c>
      <c r="D473" t="s">
        <v>876</v>
      </c>
    </row>
    <row r="474" spans="1:4" x14ac:dyDescent="0.25">
      <c r="A474" t="s">
        <v>985</v>
      </c>
      <c r="B474" t="s">
        <v>1045</v>
      </c>
      <c r="C474">
        <v>133</v>
      </c>
      <c r="D474" t="s">
        <v>876</v>
      </c>
    </row>
    <row r="475" spans="1:4" x14ac:dyDescent="0.25">
      <c r="A475" t="s">
        <v>985</v>
      </c>
      <c r="B475" t="s">
        <v>1046</v>
      </c>
      <c r="C475">
        <v>122</v>
      </c>
      <c r="D475" t="s">
        <v>876</v>
      </c>
    </row>
    <row r="476" spans="1:4" x14ac:dyDescent="0.25">
      <c r="A476" t="s">
        <v>985</v>
      </c>
      <c r="B476" t="s">
        <v>1047</v>
      </c>
      <c r="C476">
        <v>156</v>
      </c>
      <c r="D476" t="s">
        <v>876</v>
      </c>
    </row>
    <row r="477" spans="1:4" x14ac:dyDescent="0.25">
      <c r="A477" t="s">
        <v>985</v>
      </c>
      <c r="B477" t="s">
        <v>1048</v>
      </c>
      <c r="C477">
        <v>172</v>
      </c>
      <c r="D477" t="s">
        <v>876</v>
      </c>
    </row>
    <row r="478" spans="1:4" x14ac:dyDescent="0.25">
      <c r="A478" t="s">
        <v>985</v>
      </c>
      <c r="B478" t="s">
        <v>1049</v>
      </c>
      <c r="C478">
        <v>154</v>
      </c>
      <c r="D478" t="s">
        <v>876</v>
      </c>
    </row>
    <row r="479" spans="1:4" x14ac:dyDescent="0.25">
      <c r="A479" t="s">
        <v>985</v>
      </c>
      <c r="B479" t="s">
        <v>1050</v>
      </c>
      <c r="C479">
        <v>172</v>
      </c>
      <c r="D479" t="s">
        <v>876</v>
      </c>
    </row>
    <row r="480" spans="1:4" x14ac:dyDescent="0.25">
      <c r="A480" t="s">
        <v>985</v>
      </c>
      <c r="B480" t="s">
        <v>1051</v>
      </c>
      <c r="C480">
        <v>155</v>
      </c>
      <c r="D480" t="s">
        <v>876</v>
      </c>
    </row>
    <row r="481" spans="1:4" x14ac:dyDescent="0.25">
      <c r="A481" t="s">
        <v>985</v>
      </c>
      <c r="B481" t="s">
        <v>1052</v>
      </c>
      <c r="C481">
        <v>132</v>
      </c>
      <c r="D481" t="s">
        <v>876</v>
      </c>
    </row>
    <row r="482" spans="1:4" x14ac:dyDescent="0.25">
      <c r="A482" t="s">
        <v>985</v>
      </c>
      <c r="B482" t="s">
        <v>1053</v>
      </c>
      <c r="C482">
        <v>154</v>
      </c>
      <c r="D482" t="s">
        <v>876</v>
      </c>
    </row>
    <row r="483" spans="1:4" x14ac:dyDescent="0.25">
      <c r="A483" t="s">
        <v>985</v>
      </c>
      <c r="B483" t="s">
        <v>1054</v>
      </c>
      <c r="C483">
        <v>177</v>
      </c>
      <c r="D483" t="s">
        <v>876</v>
      </c>
    </row>
    <row r="484" spans="1:4" x14ac:dyDescent="0.25">
      <c r="A484" t="s">
        <v>985</v>
      </c>
      <c r="B484" t="s">
        <v>1055</v>
      </c>
      <c r="C484">
        <v>172</v>
      </c>
      <c r="D484" t="s">
        <v>876</v>
      </c>
    </row>
    <row r="485" spans="1:4" x14ac:dyDescent="0.25">
      <c r="A485" t="s">
        <v>985</v>
      </c>
      <c r="B485" t="s">
        <v>1056</v>
      </c>
      <c r="C485">
        <v>138</v>
      </c>
      <c r="D485" t="s">
        <v>876</v>
      </c>
    </row>
    <row r="486" spans="1:4" x14ac:dyDescent="0.25">
      <c r="A486" t="s">
        <v>985</v>
      </c>
      <c r="B486" t="s">
        <v>1057</v>
      </c>
      <c r="C486">
        <v>156</v>
      </c>
      <c r="D486" t="s">
        <v>876</v>
      </c>
    </row>
    <row r="487" spans="1:4" x14ac:dyDescent="0.25">
      <c r="A487" t="s">
        <v>985</v>
      </c>
      <c r="B487" t="s">
        <v>1058</v>
      </c>
      <c r="C487">
        <v>155</v>
      </c>
      <c r="D487" t="s">
        <v>876</v>
      </c>
    </row>
    <row r="488" spans="1:4" x14ac:dyDescent="0.25">
      <c r="A488" t="s">
        <v>985</v>
      </c>
      <c r="B488" t="s">
        <v>1059</v>
      </c>
      <c r="C488">
        <v>131</v>
      </c>
      <c r="D488" t="s">
        <v>876</v>
      </c>
    </row>
    <row r="489" spans="1:4" x14ac:dyDescent="0.25">
      <c r="A489" t="s">
        <v>985</v>
      </c>
      <c r="B489" t="s">
        <v>1060</v>
      </c>
      <c r="C489">
        <v>154</v>
      </c>
      <c r="D489" t="s">
        <v>876</v>
      </c>
    </row>
    <row r="490" spans="1:4" x14ac:dyDescent="0.25">
      <c r="A490" t="s">
        <v>985</v>
      </c>
      <c r="B490" t="s">
        <v>1061</v>
      </c>
      <c r="C490">
        <v>143</v>
      </c>
      <c r="D490" t="s">
        <v>876</v>
      </c>
    </row>
    <row r="491" spans="1:4" x14ac:dyDescent="0.25">
      <c r="A491" t="s">
        <v>985</v>
      </c>
      <c r="B491" t="s">
        <v>1062</v>
      </c>
      <c r="C491">
        <v>153</v>
      </c>
      <c r="D491" t="s">
        <v>876</v>
      </c>
    </row>
    <row r="492" spans="1:4" x14ac:dyDescent="0.25">
      <c r="A492" t="s">
        <v>985</v>
      </c>
      <c r="B492" t="s">
        <v>1063</v>
      </c>
      <c r="C492">
        <v>213</v>
      </c>
      <c r="D492" t="s">
        <v>876</v>
      </c>
    </row>
    <row r="493" spans="1:4" x14ac:dyDescent="0.25">
      <c r="A493" t="s">
        <v>985</v>
      </c>
      <c r="B493" t="s">
        <v>1064</v>
      </c>
      <c r="C493">
        <v>155</v>
      </c>
      <c r="D493" t="s">
        <v>876</v>
      </c>
    </row>
    <row r="494" spans="1:4" x14ac:dyDescent="0.25">
      <c r="A494" t="s">
        <v>985</v>
      </c>
      <c r="B494" t="s">
        <v>1065</v>
      </c>
      <c r="C494">
        <v>156</v>
      </c>
      <c r="D494" t="s">
        <v>876</v>
      </c>
    </row>
    <row r="495" spans="1:4" x14ac:dyDescent="0.25">
      <c r="A495" t="s">
        <v>985</v>
      </c>
      <c r="B495" t="s">
        <v>1066</v>
      </c>
      <c r="C495">
        <v>201</v>
      </c>
      <c r="D495" t="s">
        <v>876</v>
      </c>
    </row>
    <row r="496" spans="1:4" x14ac:dyDescent="0.25">
      <c r="A496" t="s">
        <v>985</v>
      </c>
      <c r="B496" t="s">
        <v>1067</v>
      </c>
      <c r="C496">
        <v>150</v>
      </c>
      <c r="D496" t="s">
        <v>876</v>
      </c>
    </row>
    <row r="497" spans="1:4" x14ac:dyDescent="0.25">
      <c r="A497" t="s">
        <v>985</v>
      </c>
      <c r="B497" t="s">
        <v>1068</v>
      </c>
      <c r="C497">
        <v>154</v>
      </c>
      <c r="D497" t="s">
        <v>876</v>
      </c>
    </row>
    <row r="498" spans="1:4" x14ac:dyDescent="0.25">
      <c r="A498" t="s">
        <v>985</v>
      </c>
      <c r="B498" t="s">
        <v>1069</v>
      </c>
      <c r="C498">
        <v>154</v>
      </c>
      <c r="D498" t="s">
        <v>876</v>
      </c>
    </row>
    <row r="499" spans="1:4" x14ac:dyDescent="0.25">
      <c r="A499" t="s">
        <v>985</v>
      </c>
      <c r="B499" t="s">
        <v>1070</v>
      </c>
      <c r="C499">
        <v>144</v>
      </c>
      <c r="D499" t="s">
        <v>876</v>
      </c>
    </row>
    <row r="500" spans="1:4" x14ac:dyDescent="0.25">
      <c r="A500" t="s">
        <v>985</v>
      </c>
      <c r="B500" t="s">
        <v>1071</v>
      </c>
      <c r="C500">
        <v>165</v>
      </c>
      <c r="D500" t="s">
        <v>876</v>
      </c>
    </row>
    <row r="501" spans="1:4" x14ac:dyDescent="0.25">
      <c r="A501" t="s">
        <v>985</v>
      </c>
      <c r="B501" t="s">
        <v>1072</v>
      </c>
      <c r="C501">
        <v>140</v>
      </c>
      <c r="D501" t="s">
        <v>876</v>
      </c>
    </row>
    <row r="502" spans="1:4" x14ac:dyDescent="0.25">
      <c r="A502" t="s">
        <v>985</v>
      </c>
      <c r="B502" t="s">
        <v>1073</v>
      </c>
      <c r="C502">
        <v>226</v>
      </c>
      <c r="D502" t="s">
        <v>885</v>
      </c>
    </row>
    <row r="503" spans="1:4" x14ac:dyDescent="0.25">
      <c r="A503" t="s">
        <v>985</v>
      </c>
      <c r="B503" t="s">
        <v>1074</v>
      </c>
      <c r="C503">
        <v>141</v>
      </c>
      <c r="D503" t="s">
        <v>876</v>
      </c>
    </row>
    <row r="504" spans="1:4" x14ac:dyDescent="0.25">
      <c r="A504" t="s">
        <v>985</v>
      </c>
      <c r="B504" t="s">
        <v>1075</v>
      </c>
      <c r="C504">
        <v>165</v>
      </c>
      <c r="D504" t="s">
        <v>876</v>
      </c>
    </row>
    <row r="505" spans="1:4" x14ac:dyDescent="0.25">
      <c r="A505" t="s">
        <v>985</v>
      </c>
      <c r="B505" t="s">
        <v>1076</v>
      </c>
      <c r="C505">
        <v>154</v>
      </c>
      <c r="D505" t="s">
        <v>876</v>
      </c>
    </row>
    <row r="506" spans="1:4" x14ac:dyDescent="0.25">
      <c r="A506" t="s">
        <v>985</v>
      </c>
      <c r="B506" t="s">
        <v>1077</v>
      </c>
      <c r="C506">
        <v>150</v>
      </c>
      <c r="D506" t="s">
        <v>876</v>
      </c>
    </row>
    <row r="507" spans="1:4" x14ac:dyDescent="0.25">
      <c r="A507" t="s">
        <v>985</v>
      </c>
      <c r="B507" t="s">
        <v>1078</v>
      </c>
      <c r="C507">
        <v>138</v>
      </c>
      <c r="D507" t="s">
        <v>876</v>
      </c>
    </row>
    <row r="508" spans="1:4" x14ac:dyDescent="0.25">
      <c r="A508" t="s">
        <v>985</v>
      </c>
      <c r="B508" t="s">
        <v>1079</v>
      </c>
      <c r="C508">
        <v>154</v>
      </c>
      <c r="D508" t="s">
        <v>876</v>
      </c>
    </row>
    <row r="509" spans="1:4" x14ac:dyDescent="0.25">
      <c r="A509" t="s">
        <v>985</v>
      </c>
      <c r="B509" t="s">
        <v>1080</v>
      </c>
      <c r="C509">
        <v>145</v>
      </c>
      <c r="D509" t="s">
        <v>876</v>
      </c>
    </row>
    <row r="510" spans="1:4" x14ac:dyDescent="0.25">
      <c r="A510" t="s">
        <v>985</v>
      </c>
      <c r="B510" t="s">
        <v>1081</v>
      </c>
      <c r="C510">
        <v>143</v>
      </c>
      <c r="D510" t="s">
        <v>876</v>
      </c>
    </row>
    <row r="511" spans="1:4" x14ac:dyDescent="0.25">
      <c r="A511" t="s">
        <v>985</v>
      </c>
      <c r="B511" t="s">
        <v>1082</v>
      </c>
      <c r="C511">
        <v>204</v>
      </c>
      <c r="D511" t="s">
        <v>885</v>
      </c>
    </row>
    <row r="512" spans="1:4" x14ac:dyDescent="0.25">
      <c r="A512" t="s">
        <v>985</v>
      </c>
      <c r="B512" t="s">
        <v>1083</v>
      </c>
      <c r="C512">
        <v>173</v>
      </c>
      <c r="D512" t="s">
        <v>876</v>
      </c>
    </row>
    <row r="513" spans="1:4" x14ac:dyDescent="0.25">
      <c r="A513" t="s">
        <v>985</v>
      </c>
      <c r="B513" t="s">
        <v>1084</v>
      </c>
      <c r="C513">
        <v>156</v>
      </c>
      <c r="D513" t="s">
        <v>876</v>
      </c>
    </row>
    <row r="514" spans="1:4" x14ac:dyDescent="0.25">
      <c r="A514" t="s">
        <v>985</v>
      </c>
      <c r="B514" t="s">
        <v>1085</v>
      </c>
      <c r="C514">
        <v>134</v>
      </c>
      <c r="D514" t="s">
        <v>876</v>
      </c>
    </row>
    <row r="515" spans="1:4" x14ac:dyDescent="0.25">
      <c r="A515" t="s">
        <v>985</v>
      </c>
      <c r="B515" t="s">
        <v>1086</v>
      </c>
      <c r="C515">
        <v>152</v>
      </c>
      <c r="D515" t="s">
        <v>876</v>
      </c>
    </row>
    <row r="516" spans="1:4" x14ac:dyDescent="0.25">
      <c r="A516" t="s">
        <v>985</v>
      </c>
      <c r="B516" t="s">
        <v>1087</v>
      </c>
      <c r="C516">
        <v>234</v>
      </c>
      <c r="D516" t="s">
        <v>885</v>
      </c>
    </row>
    <row r="517" spans="1:4" x14ac:dyDescent="0.25">
      <c r="A517" t="s">
        <v>985</v>
      </c>
      <c r="B517">
        <v>222</v>
      </c>
      <c r="C517">
        <v>313</v>
      </c>
      <c r="D517" t="s">
        <v>909</v>
      </c>
    </row>
    <row r="518" spans="1:4" x14ac:dyDescent="0.25">
      <c r="A518" t="s">
        <v>985</v>
      </c>
      <c r="B518" t="s">
        <v>1088</v>
      </c>
      <c r="C518">
        <v>166</v>
      </c>
      <c r="D518" t="s">
        <v>876</v>
      </c>
    </row>
    <row r="519" spans="1:4" x14ac:dyDescent="0.25">
      <c r="A519" t="s">
        <v>985</v>
      </c>
      <c r="B519">
        <v>221</v>
      </c>
      <c r="C519">
        <v>293</v>
      </c>
      <c r="D519" t="s">
        <v>909</v>
      </c>
    </row>
    <row r="520" spans="1:4" x14ac:dyDescent="0.25">
      <c r="A520" t="s">
        <v>985</v>
      </c>
      <c r="B520" t="s">
        <v>1089</v>
      </c>
      <c r="C520">
        <v>143</v>
      </c>
      <c r="D520" t="s">
        <v>876</v>
      </c>
    </row>
    <row r="521" spans="1:4" x14ac:dyDescent="0.25">
      <c r="A521" t="s">
        <v>985</v>
      </c>
      <c r="B521" t="s">
        <v>1090</v>
      </c>
      <c r="C521">
        <v>205</v>
      </c>
      <c r="D521" t="s">
        <v>885</v>
      </c>
    </row>
    <row r="522" spans="1:4" x14ac:dyDescent="0.25">
      <c r="A522" t="s">
        <v>985</v>
      </c>
      <c r="B522" t="s">
        <v>1091</v>
      </c>
      <c r="C522">
        <v>153</v>
      </c>
      <c r="D522" t="s">
        <v>876</v>
      </c>
    </row>
    <row r="523" spans="1:4" x14ac:dyDescent="0.25">
      <c r="A523" t="s">
        <v>1092</v>
      </c>
      <c r="B523">
        <v>127</v>
      </c>
      <c r="C523">
        <v>158</v>
      </c>
      <c r="D523" t="s">
        <v>876</v>
      </c>
    </row>
    <row r="524" spans="1:4" x14ac:dyDescent="0.25">
      <c r="A524" t="s">
        <v>1092</v>
      </c>
      <c r="B524">
        <v>144</v>
      </c>
      <c r="C524">
        <v>139</v>
      </c>
      <c r="D524" t="s">
        <v>876</v>
      </c>
    </row>
    <row r="525" spans="1:4" x14ac:dyDescent="0.25">
      <c r="A525" t="s">
        <v>1092</v>
      </c>
      <c r="B525">
        <v>147</v>
      </c>
      <c r="C525">
        <v>191</v>
      </c>
      <c r="D525" t="s">
        <v>885</v>
      </c>
    </row>
    <row r="526" spans="1:4" x14ac:dyDescent="0.25">
      <c r="A526" t="s">
        <v>1092</v>
      </c>
      <c r="B526">
        <v>106</v>
      </c>
      <c r="C526">
        <v>157</v>
      </c>
      <c r="D526" t="s">
        <v>876</v>
      </c>
    </row>
    <row r="527" spans="1:4" x14ac:dyDescent="0.25">
      <c r="A527" t="s">
        <v>1092</v>
      </c>
      <c r="B527">
        <v>103</v>
      </c>
      <c r="C527">
        <v>141</v>
      </c>
      <c r="D527" t="s">
        <v>876</v>
      </c>
    </row>
    <row r="528" spans="1:4" x14ac:dyDescent="0.25">
      <c r="A528" t="s">
        <v>1092</v>
      </c>
      <c r="B528">
        <v>111</v>
      </c>
      <c r="C528">
        <v>147</v>
      </c>
      <c r="D528" t="s">
        <v>876</v>
      </c>
    </row>
    <row r="529" spans="1:4" x14ac:dyDescent="0.25">
      <c r="A529" t="s">
        <v>1092</v>
      </c>
      <c r="B529">
        <v>113</v>
      </c>
      <c r="C529">
        <v>154</v>
      </c>
      <c r="D529" t="s">
        <v>876</v>
      </c>
    </row>
    <row r="530" spans="1:4" x14ac:dyDescent="0.25">
      <c r="A530" t="s">
        <v>1092</v>
      </c>
      <c r="B530">
        <v>108</v>
      </c>
      <c r="C530">
        <v>152</v>
      </c>
      <c r="D530" t="s">
        <v>876</v>
      </c>
    </row>
    <row r="531" spans="1:4" x14ac:dyDescent="0.25">
      <c r="A531" t="s">
        <v>1092</v>
      </c>
      <c r="B531">
        <v>71</v>
      </c>
    </row>
    <row r="532" spans="1:4" x14ac:dyDescent="0.25">
      <c r="A532" t="s">
        <v>1092</v>
      </c>
      <c r="B532">
        <v>107</v>
      </c>
      <c r="C532">
        <v>152</v>
      </c>
      <c r="D532" t="s">
        <v>876</v>
      </c>
    </row>
    <row r="533" spans="1:4" x14ac:dyDescent="0.25">
      <c r="A533" t="s">
        <v>1092</v>
      </c>
      <c r="B533">
        <v>149</v>
      </c>
      <c r="C533">
        <v>183</v>
      </c>
      <c r="D533" t="s">
        <v>885</v>
      </c>
    </row>
    <row r="534" spans="1:4" x14ac:dyDescent="0.25">
      <c r="A534" t="s">
        <v>1092</v>
      </c>
      <c r="B534">
        <v>160</v>
      </c>
      <c r="C534">
        <v>142</v>
      </c>
      <c r="D534" t="s">
        <v>876</v>
      </c>
    </row>
    <row r="535" spans="1:4" x14ac:dyDescent="0.25">
      <c r="A535" t="s">
        <v>1092</v>
      </c>
      <c r="B535">
        <v>141</v>
      </c>
      <c r="C535">
        <v>152</v>
      </c>
      <c r="D535" t="s">
        <v>876</v>
      </c>
    </row>
    <row r="536" spans="1:4" x14ac:dyDescent="0.25">
      <c r="A536" t="s">
        <v>1092</v>
      </c>
      <c r="B536">
        <v>105</v>
      </c>
      <c r="C536">
        <v>157</v>
      </c>
      <c r="D536" t="s">
        <v>876</v>
      </c>
    </row>
    <row r="537" spans="1:4" x14ac:dyDescent="0.25">
      <c r="A537" t="s">
        <v>1092</v>
      </c>
      <c r="B537">
        <v>115</v>
      </c>
      <c r="C537">
        <v>155</v>
      </c>
      <c r="D537" t="s">
        <v>876</v>
      </c>
    </row>
    <row r="538" spans="1:4" x14ac:dyDescent="0.25">
      <c r="A538" t="s">
        <v>1092</v>
      </c>
      <c r="B538">
        <v>163</v>
      </c>
      <c r="C538">
        <v>157</v>
      </c>
      <c r="D538" t="s">
        <v>876</v>
      </c>
    </row>
    <row r="539" spans="1:4" x14ac:dyDescent="0.25">
      <c r="A539" t="s">
        <v>1092</v>
      </c>
      <c r="B539">
        <v>126</v>
      </c>
      <c r="C539">
        <v>160</v>
      </c>
      <c r="D539" t="s">
        <v>876</v>
      </c>
    </row>
    <row r="540" spans="1:4" x14ac:dyDescent="0.25">
      <c r="A540" t="s">
        <v>1092</v>
      </c>
      <c r="B540">
        <v>143</v>
      </c>
      <c r="C540">
        <v>158</v>
      </c>
      <c r="D540" t="s">
        <v>876</v>
      </c>
    </row>
    <row r="541" spans="1:4" x14ac:dyDescent="0.25">
      <c r="A541" t="s">
        <v>1092</v>
      </c>
      <c r="B541">
        <v>138</v>
      </c>
      <c r="C541">
        <v>145</v>
      </c>
      <c r="D541" t="s">
        <v>876</v>
      </c>
    </row>
    <row r="542" spans="1:4" x14ac:dyDescent="0.25">
      <c r="A542" t="s">
        <v>1092</v>
      </c>
      <c r="B542">
        <v>125</v>
      </c>
      <c r="C542">
        <v>152</v>
      </c>
      <c r="D542" t="s">
        <v>876</v>
      </c>
    </row>
    <row r="543" spans="1:4" x14ac:dyDescent="0.25">
      <c r="A543" t="s">
        <v>1092</v>
      </c>
      <c r="B543">
        <v>161</v>
      </c>
      <c r="C543">
        <v>152</v>
      </c>
      <c r="D543" t="s">
        <v>876</v>
      </c>
    </row>
    <row r="544" spans="1:4" x14ac:dyDescent="0.25">
      <c r="A544" t="s">
        <v>1092</v>
      </c>
      <c r="B544">
        <v>153</v>
      </c>
      <c r="C544">
        <v>155</v>
      </c>
      <c r="D544" t="s">
        <v>876</v>
      </c>
    </row>
    <row r="545" spans="1:4" x14ac:dyDescent="0.25">
      <c r="A545" t="s">
        <v>1092</v>
      </c>
      <c r="B545">
        <v>151</v>
      </c>
      <c r="C545">
        <v>146</v>
      </c>
      <c r="D545" t="s">
        <v>876</v>
      </c>
    </row>
    <row r="546" spans="1:4" x14ac:dyDescent="0.25">
      <c r="A546" t="s">
        <v>1092</v>
      </c>
      <c r="B546">
        <v>128</v>
      </c>
      <c r="C546">
        <v>139</v>
      </c>
      <c r="D546" t="s">
        <v>876</v>
      </c>
    </row>
    <row r="547" spans="1:4" x14ac:dyDescent="0.25">
      <c r="A547" t="s">
        <v>1092</v>
      </c>
      <c r="B547">
        <v>164</v>
      </c>
      <c r="C547">
        <v>157</v>
      </c>
      <c r="D547" t="s">
        <v>876</v>
      </c>
    </row>
    <row r="548" spans="1:4" x14ac:dyDescent="0.25">
      <c r="A548" t="s">
        <v>1092</v>
      </c>
      <c r="B548">
        <v>168</v>
      </c>
      <c r="C548">
        <v>191</v>
      </c>
      <c r="D548" t="s">
        <v>885</v>
      </c>
    </row>
    <row r="549" spans="1:4" x14ac:dyDescent="0.25">
      <c r="A549" t="s">
        <v>1092</v>
      </c>
      <c r="B549">
        <v>140</v>
      </c>
      <c r="C549">
        <v>150</v>
      </c>
      <c r="D549" t="s">
        <v>876</v>
      </c>
    </row>
    <row r="550" spans="1:4" x14ac:dyDescent="0.25">
      <c r="A550" t="s">
        <v>1092</v>
      </c>
      <c r="B550">
        <v>110</v>
      </c>
      <c r="C550">
        <v>142</v>
      </c>
      <c r="D550" t="s">
        <v>876</v>
      </c>
    </row>
    <row r="551" spans="1:4" x14ac:dyDescent="0.25">
      <c r="A551" t="s">
        <v>1092</v>
      </c>
      <c r="B551">
        <v>166</v>
      </c>
      <c r="C551">
        <v>141</v>
      </c>
      <c r="D551" t="s">
        <v>876</v>
      </c>
    </row>
    <row r="552" spans="1:4" x14ac:dyDescent="0.25">
      <c r="A552" t="s">
        <v>1092</v>
      </c>
      <c r="B552">
        <v>123</v>
      </c>
      <c r="C552">
        <v>143</v>
      </c>
      <c r="D552" t="s">
        <v>876</v>
      </c>
    </row>
    <row r="553" spans="1:4" x14ac:dyDescent="0.25">
      <c r="A553" t="s">
        <v>1092</v>
      </c>
      <c r="B553">
        <v>122</v>
      </c>
      <c r="C553">
        <v>145</v>
      </c>
      <c r="D553" t="s">
        <v>876</v>
      </c>
    </row>
    <row r="554" spans="1:4" x14ac:dyDescent="0.25">
      <c r="A554" t="s">
        <v>1092</v>
      </c>
      <c r="B554">
        <v>139</v>
      </c>
      <c r="C554">
        <v>143</v>
      </c>
      <c r="D554" t="s">
        <v>876</v>
      </c>
    </row>
    <row r="555" spans="1:4" x14ac:dyDescent="0.25">
      <c r="A555" t="s">
        <v>1092</v>
      </c>
      <c r="B555">
        <v>101</v>
      </c>
      <c r="C555">
        <v>183</v>
      </c>
      <c r="D555" t="s">
        <v>885</v>
      </c>
    </row>
    <row r="556" spans="1:4" x14ac:dyDescent="0.25">
      <c r="A556" t="s">
        <v>1092</v>
      </c>
      <c r="B556">
        <v>142</v>
      </c>
      <c r="C556">
        <v>160</v>
      </c>
      <c r="D556" t="s">
        <v>876</v>
      </c>
    </row>
    <row r="557" spans="1:4" x14ac:dyDescent="0.25">
      <c r="A557" t="s">
        <v>1092</v>
      </c>
      <c r="B557">
        <v>109</v>
      </c>
      <c r="C557">
        <v>142</v>
      </c>
      <c r="D557" t="s">
        <v>876</v>
      </c>
    </row>
    <row r="558" spans="1:4" x14ac:dyDescent="0.25">
      <c r="A558" t="s">
        <v>1092</v>
      </c>
      <c r="B558">
        <v>145</v>
      </c>
      <c r="C558">
        <v>141</v>
      </c>
      <c r="D558" t="s">
        <v>876</v>
      </c>
    </row>
    <row r="559" spans="1:4" x14ac:dyDescent="0.25">
      <c r="A559" t="s">
        <v>1092</v>
      </c>
      <c r="B559">
        <v>159</v>
      </c>
      <c r="C559">
        <v>142</v>
      </c>
      <c r="D559" t="s">
        <v>876</v>
      </c>
    </row>
    <row r="560" spans="1:4" x14ac:dyDescent="0.25">
      <c r="A560" t="s">
        <v>1092</v>
      </c>
      <c r="B560">
        <v>117</v>
      </c>
      <c r="C560">
        <v>146</v>
      </c>
      <c r="D560" t="s">
        <v>876</v>
      </c>
    </row>
    <row r="561" spans="1:4" x14ac:dyDescent="0.25">
      <c r="A561" t="s">
        <v>1092</v>
      </c>
      <c r="B561">
        <v>155</v>
      </c>
      <c r="C561">
        <v>154</v>
      </c>
      <c r="D561" t="s">
        <v>876</v>
      </c>
    </row>
    <row r="562" spans="1:4" x14ac:dyDescent="0.25">
      <c r="A562" t="s">
        <v>1092</v>
      </c>
      <c r="B562">
        <v>129</v>
      </c>
      <c r="C562">
        <v>141</v>
      </c>
      <c r="D562" t="s">
        <v>876</v>
      </c>
    </row>
    <row r="563" spans="1:4" x14ac:dyDescent="0.25">
      <c r="A563" t="s">
        <v>1092</v>
      </c>
      <c r="B563">
        <v>167</v>
      </c>
      <c r="C563">
        <v>183</v>
      </c>
      <c r="D563" t="s">
        <v>885</v>
      </c>
    </row>
    <row r="564" spans="1:4" x14ac:dyDescent="0.25">
      <c r="A564" t="s">
        <v>1092</v>
      </c>
      <c r="B564">
        <v>165</v>
      </c>
      <c r="C564">
        <v>141</v>
      </c>
      <c r="D564" t="s">
        <v>876</v>
      </c>
    </row>
    <row r="565" spans="1:4" x14ac:dyDescent="0.25">
      <c r="A565" t="s">
        <v>1092</v>
      </c>
      <c r="B565">
        <v>157</v>
      </c>
      <c r="C565">
        <v>147</v>
      </c>
      <c r="D565" t="s">
        <v>876</v>
      </c>
    </row>
    <row r="566" spans="1:4" x14ac:dyDescent="0.25">
      <c r="A566" t="s">
        <v>1092</v>
      </c>
      <c r="B566">
        <v>124</v>
      </c>
      <c r="C566">
        <v>150</v>
      </c>
      <c r="D566" t="s">
        <v>876</v>
      </c>
    </row>
    <row r="567" spans="1:4" x14ac:dyDescent="0.25">
      <c r="A567" t="s">
        <v>1092</v>
      </c>
      <c r="B567">
        <v>102</v>
      </c>
      <c r="C567">
        <v>191</v>
      </c>
      <c r="D567" t="s">
        <v>885</v>
      </c>
    </row>
    <row r="568" spans="1:4" x14ac:dyDescent="0.25">
      <c r="A568" t="s">
        <v>1092</v>
      </c>
      <c r="B568">
        <v>162</v>
      </c>
      <c r="C568">
        <v>152</v>
      </c>
      <c r="D568" t="s">
        <v>876</v>
      </c>
    </row>
    <row r="569" spans="1:4" x14ac:dyDescent="0.25">
      <c r="A569" t="s">
        <v>1092</v>
      </c>
      <c r="B569">
        <v>104</v>
      </c>
      <c r="C569">
        <v>142</v>
      </c>
      <c r="D569" t="s">
        <v>876</v>
      </c>
    </row>
    <row r="570" spans="1:4" x14ac:dyDescent="0.25">
      <c r="A570" t="s">
        <v>1092</v>
      </c>
      <c r="B570">
        <v>309</v>
      </c>
      <c r="C570">
        <v>143</v>
      </c>
      <c r="D570" t="s">
        <v>885</v>
      </c>
    </row>
    <row r="571" spans="1:4" x14ac:dyDescent="0.25">
      <c r="A571" t="s">
        <v>1092</v>
      </c>
      <c r="B571">
        <v>364</v>
      </c>
      <c r="C571">
        <v>131</v>
      </c>
      <c r="D571" t="s">
        <v>876</v>
      </c>
    </row>
    <row r="572" spans="1:4" x14ac:dyDescent="0.25">
      <c r="A572" t="s">
        <v>1092</v>
      </c>
      <c r="B572">
        <v>360</v>
      </c>
      <c r="C572">
        <v>126</v>
      </c>
      <c r="D572" t="s">
        <v>876</v>
      </c>
    </row>
    <row r="573" spans="1:4" x14ac:dyDescent="0.25">
      <c r="A573" t="s">
        <v>1092</v>
      </c>
      <c r="B573">
        <v>368</v>
      </c>
      <c r="C573">
        <v>191</v>
      </c>
      <c r="D573" t="s">
        <v>885</v>
      </c>
    </row>
    <row r="574" spans="1:4" x14ac:dyDescent="0.25">
      <c r="A574" t="s">
        <v>1092</v>
      </c>
      <c r="B574">
        <v>363</v>
      </c>
      <c r="C574">
        <v>153</v>
      </c>
      <c r="D574" t="s">
        <v>876</v>
      </c>
    </row>
    <row r="575" spans="1:4" x14ac:dyDescent="0.25">
      <c r="A575" t="s">
        <v>1092</v>
      </c>
      <c r="B575">
        <v>361</v>
      </c>
      <c r="C575">
        <v>154</v>
      </c>
      <c r="D575" t="s">
        <v>876</v>
      </c>
    </row>
    <row r="576" spans="1:4" x14ac:dyDescent="0.25">
      <c r="A576" t="s">
        <v>1092</v>
      </c>
      <c r="B576">
        <v>359</v>
      </c>
      <c r="C576">
        <v>143</v>
      </c>
      <c r="D576" t="s">
        <v>876</v>
      </c>
    </row>
    <row r="577" spans="1:4" x14ac:dyDescent="0.25">
      <c r="A577" t="s">
        <v>1092</v>
      </c>
      <c r="B577">
        <v>307</v>
      </c>
      <c r="C577">
        <v>154</v>
      </c>
      <c r="D577" t="s">
        <v>885</v>
      </c>
    </row>
    <row r="578" spans="1:4" x14ac:dyDescent="0.25">
      <c r="A578" t="s">
        <v>1092</v>
      </c>
      <c r="B578">
        <v>358</v>
      </c>
      <c r="C578">
        <v>141</v>
      </c>
      <c r="D578" t="s">
        <v>876</v>
      </c>
    </row>
    <row r="579" spans="1:4" x14ac:dyDescent="0.25">
      <c r="A579" t="s">
        <v>1092</v>
      </c>
      <c r="B579">
        <v>304</v>
      </c>
    </row>
    <row r="580" spans="1:4" x14ac:dyDescent="0.25">
      <c r="A580" t="s">
        <v>1092</v>
      </c>
      <c r="B580">
        <v>366</v>
      </c>
      <c r="C580">
        <v>124</v>
      </c>
      <c r="D580" t="s">
        <v>876</v>
      </c>
    </row>
    <row r="581" spans="1:4" x14ac:dyDescent="0.25">
      <c r="A581" t="s">
        <v>1092</v>
      </c>
      <c r="B581">
        <v>306</v>
      </c>
    </row>
    <row r="582" spans="1:4" x14ac:dyDescent="0.25">
      <c r="A582" t="s">
        <v>1092</v>
      </c>
      <c r="B582">
        <v>367</v>
      </c>
      <c r="C582">
        <v>183</v>
      </c>
      <c r="D582" t="s">
        <v>885</v>
      </c>
    </row>
    <row r="583" spans="1:4" x14ac:dyDescent="0.25">
      <c r="A583" t="s">
        <v>1092</v>
      </c>
      <c r="B583">
        <v>356</v>
      </c>
      <c r="C583">
        <v>143</v>
      </c>
      <c r="D583" t="s">
        <v>876</v>
      </c>
    </row>
    <row r="584" spans="1:4" x14ac:dyDescent="0.25">
      <c r="A584" t="s">
        <v>1092</v>
      </c>
      <c r="B584">
        <v>365</v>
      </c>
      <c r="C584">
        <v>142</v>
      </c>
      <c r="D584" t="s">
        <v>876</v>
      </c>
    </row>
    <row r="585" spans="1:4" x14ac:dyDescent="0.25">
      <c r="A585" t="s">
        <v>1092</v>
      </c>
      <c r="B585">
        <v>362</v>
      </c>
      <c r="C585">
        <v>150</v>
      </c>
      <c r="D585" t="s">
        <v>876</v>
      </c>
    </row>
    <row r="586" spans="1:4" x14ac:dyDescent="0.25">
      <c r="A586" t="s">
        <v>1092</v>
      </c>
      <c r="B586">
        <v>302</v>
      </c>
      <c r="C586">
        <v>192</v>
      </c>
      <c r="D586" t="s">
        <v>885</v>
      </c>
    </row>
    <row r="587" spans="1:4" x14ac:dyDescent="0.25">
      <c r="A587" t="s">
        <v>1092</v>
      </c>
      <c r="B587">
        <v>305</v>
      </c>
      <c r="C587">
        <v>157</v>
      </c>
      <c r="D587" t="s">
        <v>885</v>
      </c>
    </row>
    <row r="588" spans="1:4" x14ac:dyDescent="0.25">
      <c r="A588" t="s">
        <v>1092</v>
      </c>
      <c r="B588">
        <v>308</v>
      </c>
    </row>
    <row r="589" spans="1:4" x14ac:dyDescent="0.25">
      <c r="A589" t="s">
        <v>1092</v>
      </c>
      <c r="B589">
        <v>301</v>
      </c>
      <c r="C589">
        <v>183</v>
      </c>
      <c r="D589" t="s">
        <v>885</v>
      </c>
    </row>
    <row r="590" spans="1:4" x14ac:dyDescent="0.25">
      <c r="A590" t="s">
        <v>1092</v>
      </c>
      <c r="B590">
        <v>310</v>
      </c>
    </row>
    <row r="591" spans="1:4" x14ac:dyDescent="0.25">
      <c r="A591" t="s">
        <v>1092</v>
      </c>
      <c r="B591">
        <v>303</v>
      </c>
      <c r="C591">
        <v>142</v>
      </c>
      <c r="D591" t="s">
        <v>885</v>
      </c>
    </row>
    <row r="592" spans="1:4" x14ac:dyDescent="0.25">
      <c r="A592" t="s">
        <v>1092</v>
      </c>
      <c r="B592">
        <v>202</v>
      </c>
      <c r="C592">
        <v>191</v>
      </c>
      <c r="D592" t="s">
        <v>885</v>
      </c>
    </row>
    <row r="593" spans="1:4" x14ac:dyDescent="0.25">
      <c r="A593" t="s">
        <v>1092</v>
      </c>
      <c r="B593">
        <v>203</v>
      </c>
      <c r="C593">
        <v>142</v>
      </c>
      <c r="D593" t="s">
        <v>876</v>
      </c>
    </row>
    <row r="594" spans="1:4" x14ac:dyDescent="0.25">
      <c r="A594" t="s">
        <v>1092</v>
      </c>
      <c r="B594">
        <v>222</v>
      </c>
      <c r="C594">
        <v>141</v>
      </c>
      <c r="D594" t="s">
        <v>876</v>
      </c>
    </row>
    <row r="595" spans="1:4" x14ac:dyDescent="0.25">
      <c r="A595" t="s">
        <v>1092</v>
      </c>
      <c r="B595">
        <v>266</v>
      </c>
      <c r="C595">
        <v>142</v>
      </c>
      <c r="D595" t="s">
        <v>876</v>
      </c>
    </row>
    <row r="596" spans="1:4" x14ac:dyDescent="0.25">
      <c r="A596" t="s">
        <v>1092</v>
      </c>
      <c r="B596">
        <v>215</v>
      </c>
      <c r="C596">
        <v>151</v>
      </c>
      <c r="D596" t="s">
        <v>876</v>
      </c>
    </row>
    <row r="597" spans="1:4" x14ac:dyDescent="0.25">
      <c r="A597" t="s">
        <v>1092</v>
      </c>
      <c r="B597">
        <v>230</v>
      </c>
      <c r="C597">
        <v>171</v>
      </c>
      <c r="D597" t="s">
        <v>904</v>
      </c>
    </row>
    <row r="598" spans="1:4" x14ac:dyDescent="0.25">
      <c r="A598" t="s">
        <v>1092</v>
      </c>
      <c r="B598">
        <v>227</v>
      </c>
      <c r="C598">
        <v>156</v>
      </c>
      <c r="D598" t="s">
        <v>876</v>
      </c>
    </row>
    <row r="599" spans="1:4" x14ac:dyDescent="0.25">
      <c r="A599" t="s">
        <v>1092</v>
      </c>
      <c r="B599">
        <v>265</v>
      </c>
      <c r="C599">
        <v>142</v>
      </c>
      <c r="D599" t="s">
        <v>876</v>
      </c>
    </row>
    <row r="600" spans="1:4" x14ac:dyDescent="0.25">
      <c r="A600" t="s">
        <v>1092</v>
      </c>
      <c r="B600">
        <v>268</v>
      </c>
      <c r="C600">
        <v>183</v>
      </c>
      <c r="D600" t="s">
        <v>885</v>
      </c>
    </row>
    <row r="601" spans="1:4" x14ac:dyDescent="0.25">
      <c r="A601" t="s">
        <v>1092</v>
      </c>
      <c r="B601">
        <v>229</v>
      </c>
      <c r="C601">
        <v>143</v>
      </c>
      <c r="D601" t="s">
        <v>876</v>
      </c>
    </row>
    <row r="602" spans="1:4" x14ac:dyDescent="0.25">
      <c r="A602" t="s">
        <v>1092</v>
      </c>
      <c r="B602">
        <v>210</v>
      </c>
      <c r="C602">
        <v>142</v>
      </c>
      <c r="D602" t="s">
        <v>876</v>
      </c>
    </row>
    <row r="603" spans="1:4" x14ac:dyDescent="0.25">
      <c r="A603" t="s">
        <v>1092</v>
      </c>
      <c r="B603">
        <v>226</v>
      </c>
      <c r="C603">
        <v>156</v>
      </c>
      <c r="D603" t="s">
        <v>876</v>
      </c>
    </row>
    <row r="604" spans="1:4" x14ac:dyDescent="0.25">
      <c r="A604" t="s">
        <v>1092</v>
      </c>
      <c r="B604">
        <v>204</v>
      </c>
      <c r="C604">
        <v>142</v>
      </c>
      <c r="D604" t="s">
        <v>876</v>
      </c>
    </row>
    <row r="605" spans="1:4" x14ac:dyDescent="0.25">
      <c r="A605" t="s">
        <v>1092</v>
      </c>
      <c r="B605">
        <v>225</v>
      </c>
      <c r="D605" t="s">
        <v>876</v>
      </c>
    </row>
    <row r="606" spans="1:4" x14ac:dyDescent="0.25">
      <c r="A606" t="s">
        <v>1092</v>
      </c>
      <c r="B606">
        <v>211</v>
      </c>
      <c r="C606">
        <v>143</v>
      </c>
      <c r="D606" t="s">
        <v>876</v>
      </c>
    </row>
    <row r="607" spans="1:4" x14ac:dyDescent="0.25">
      <c r="A607" t="s">
        <v>1092</v>
      </c>
      <c r="B607">
        <v>208</v>
      </c>
      <c r="C607">
        <v>153</v>
      </c>
      <c r="D607" t="s">
        <v>876</v>
      </c>
    </row>
    <row r="608" spans="1:4" x14ac:dyDescent="0.25">
      <c r="A608" t="s">
        <v>1092</v>
      </c>
      <c r="B608">
        <v>231</v>
      </c>
      <c r="C608">
        <v>157</v>
      </c>
      <c r="D608" t="s">
        <v>904</v>
      </c>
    </row>
    <row r="609" spans="1:4" x14ac:dyDescent="0.25">
      <c r="A609" t="s">
        <v>1092</v>
      </c>
      <c r="B609">
        <v>207</v>
      </c>
      <c r="C609">
        <v>153</v>
      </c>
      <c r="D609" t="s">
        <v>876</v>
      </c>
    </row>
    <row r="610" spans="1:4" x14ac:dyDescent="0.25">
      <c r="A610" t="s">
        <v>1092</v>
      </c>
      <c r="B610">
        <v>243</v>
      </c>
      <c r="C610">
        <v>154</v>
      </c>
      <c r="D610" t="s">
        <v>876</v>
      </c>
    </row>
    <row r="611" spans="1:4" x14ac:dyDescent="0.25">
      <c r="A611" t="s">
        <v>1092</v>
      </c>
      <c r="B611">
        <v>260</v>
      </c>
      <c r="C611">
        <v>142</v>
      </c>
      <c r="D611" t="s">
        <v>876</v>
      </c>
    </row>
    <row r="612" spans="1:4" x14ac:dyDescent="0.25">
      <c r="A612" t="s">
        <v>1092</v>
      </c>
      <c r="B612">
        <v>236</v>
      </c>
      <c r="C612">
        <v>169</v>
      </c>
      <c r="D612" t="s">
        <v>904</v>
      </c>
    </row>
    <row r="613" spans="1:4" x14ac:dyDescent="0.25">
      <c r="A613" t="s">
        <v>1092</v>
      </c>
      <c r="B613">
        <v>223</v>
      </c>
      <c r="C613">
        <v>141</v>
      </c>
      <c r="D613" t="s">
        <v>876</v>
      </c>
    </row>
    <row r="614" spans="1:4" x14ac:dyDescent="0.25">
      <c r="A614" t="s">
        <v>1092</v>
      </c>
      <c r="B614">
        <v>237</v>
      </c>
      <c r="C614">
        <v>158</v>
      </c>
      <c r="D614" t="s">
        <v>908</v>
      </c>
    </row>
    <row r="615" spans="1:4" x14ac:dyDescent="0.25">
      <c r="A615" t="s">
        <v>1092</v>
      </c>
      <c r="B615">
        <v>245</v>
      </c>
      <c r="C615">
        <v>141</v>
      </c>
      <c r="D615" t="s">
        <v>876</v>
      </c>
    </row>
    <row r="616" spans="1:4" x14ac:dyDescent="0.25">
      <c r="A616" t="s">
        <v>1092</v>
      </c>
      <c r="B616">
        <v>232</v>
      </c>
      <c r="C616">
        <v>133</v>
      </c>
      <c r="D616" t="s">
        <v>904</v>
      </c>
    </row>
    <row r="617" spans="1:4" x14ac:dyDescent="0.25">
      <c r="A617" t="s">
        <v>1092</v>
      </c>
      <c r="B617">
        <v>262</v>
      </c>
      <c r="C617">
        <v>134</v>
      </c>
      <c r="D617" t="s">
        <v>876</v>
      </c>
    </row>
    <row r="618" spans="1:4" x14ac:dyDescent="0.25">
      <c r="A618" t="s">
        <v>1092</v>
      </c>
      <c r="B618">
        <v>238</v>
      </c>
      <c r="C618">
        <v>143</v>
      </c>
      <c r="D618" t="s">
        <v>876</v>
      </c>
    </row>
    <row r="619" spans="1:4" x14ac:dyDescent="0.25">
      <c r="A619" t="s">
        <v>1092</v>
      </c>
      <c r="B619">
        <v>239</v>
      </c>
      <c r="C619">
        <v>142</v>
      </c>
      <c r="D619" t="s">
        <v>876</v>
      </c>
    </row>
    <row r="620" spans="1:4" x14ac:dyDescent="0.25">
      <c r="A620" t="s">
        <v>1092</v>
      </c>
      <c r="B620">
        <v>201</v>
      </c>
      <c r="C620">
        <v>183</v>
      </c>
      <c r="D620" t="s">
        <v>885</v>
      </c>
    </row>
    <row r="621" spans="1:4" x14ac:dyDescent="0.25">
      <c r="A621" t="s">
        <v>1092</v>
      </c>
      <c r="B621">
        <v>261</v>
      </c>
      <c r="C621">
        <v>153</v>
      </c>
      <c r="D621" t="s">
        <v>876</v>
      </c>
    </row>
    <row r="622" spans="1:4" x14ac:dyDescent="0.25">
      <c r="A622" t="s">
        <v>1092</v>
      </c>
      <c r="B622">
        <v>228</v>
      </c>
      <c r="C622">
        <v>143</v>
      </c>
      <c r="D622" t="s">
        <v>876</v>
      </c>
    </row>
    <row r="623" spans="1:4" x14ac:dyDescent="0.25">
      <c r="A623" t="s">
        <v>1092</v>
      </c>
      <c r="B623">
        <v>263</v>
      </c>
      <c r="C623">
        <v>152</v>
      </c>
      <c r="D623" t="s">
        <v>876</v>
      </c>
    </row>
    <row r="624" spans="1:4" x14ac:dyDescent="0.25">
      <c r="A624" t="s">
        <v>1092</v>
      </c>
      <c r="B624">
        <v>224</v>
      </c>
      <c r="C624">
        <v>154</v>
      </c>
      <c r="D624" t="s">
        <v>876</v>
      </c>
    </row>
    <row r="625" spans="1:4" x14ac:dyDescent="0.25">
      <c r="A625" t="s">
        <v>1092</v>
      </c>
      <c r="B625">
        <v>205</v>
      </c>
      <c r="C625">
        <v>152</v>
      </c>
      <c r="D625" t="s">
        <v>876</v>
      </c>
    </row>
    <row r="626" spans="1:4" x14ac:dyDescent="0.25">
      <c r="A626" t="s">
        <v>1092</v>
      </c>
      <c r="B626">
        <v>241</v>
      </c>
      <c r="C626">
        <v>153</v>
      </c>
      <c r="D626" t="s">
        <v>876</v>
      </c>
    </row>
    <row r="627" spans="1:4" x14ac:dyDescent="0.25">
      <c r="A627" t="s">
        <v>1092</v>
      </c>
      <c r="B627">
        <v>217</v>
      </c>
      <c r="C627">
        <v>143</v>
      </c>
      <c r="D627" t="s">
        <v>876</v>
      </c>
    </row>
    <row r="628" spans="1:4" x14ac:dyDescent="0.25">
      <c r="A628" t="s">
        <v>1092</v>
      </c>
      <c r="B628">
        <v>267</v>
      </c>
      <c r="C628">
        <v>183</v>
      </c>
      <c r="D628" t="s">
        <v>885</v>
      </c>
    </row>
    <row r="629" spans="1:4" x14ac:dyDescent="0.25">
      <c r="A629" t="s">
        <v>1092</v>
      </c>
      <c r="B629">
        <v>257</v>
      </c>
      <c r="C629">
        <v>142</v>
      </c>
      <c r="D629" t="s">
        <v>876</v>
      </c>
    </row>
    <row r="630" spans="1:4" x14ac:dyDescent="0.25">
      <c r="A630" t="s">
        <v>1092</v>
      </c>
      <c r="B630">
        <v>240</v>
      </c>
      <c r="C630">
        <v>152</v>
      </c>
      <c r="D630" t="s">
        <v>876</v>
      </c>
    </row>
    <row r="631" spans="1:4" x14ac:dyDescent="0.25">
      <c r="A631" t="s">
        <v>1092</v>
      </c>
      <c r="B631">
        <v>213</v>
      </c>
      <c r="C631">
        <v>151</v>
      </c>
      <c r="D631" t="s">
        <v>876</v>
      </c>
    </row>
    <row r="632" spans="1:4" x14ac:dyDescent="0.25">
      <c r="A632" t="s">
        <v>1092</v>
      </c>
      <c r="B632">
        <v>259</v>
      </c>
      <c r="C632">
        <v>142</v>
      </c>
      <c r="D632" t="s">
        <v>876</v>
      </c>
    </row>
    <row r="633" spans="1:4" x14ac:dyDescent="0.25">
      <c r="A633" t="s">
        <v>1092</v>
      </c>
      <c r="B633">
        <v>253</v>
      </c>
      <c r="C633">
        <v>153</v>
      </c>
      <c r="D633" t="s">
        <v>876</v>
      </c>
    </row>
    <row r="634" spans="1:4" x14ac:dyDescent="0.25">
      <c r="A634" t="s">
        <v>1092</v>
      </c>
      <c r="B634">
        <v>264</v>
      </c>
      <c r="C634">
        <v>154</v>
      </c>
      <c r="D634" t="s">
        <v>876</v>
      </c>
    </row>
    <row r="635" spans="1:4" x14ac:dyDescent="0.25">
      <c r="A635" t="s">
        <v>1092</v>
      </c>
      <c r="B635">
        <v>209</v>
      </c>
      <c r="C635">
        <v>142</v>
      </c>
      <c r="D635" t="s">
        <v>876</v>
      </c>
    </row>
    <row r="636" spans="1:4" x14ac:dyDescent="0.25">
      <c r="A636" t="s">
        <v>1092</v>
      </c>
      <c r="B636">
        <v>255</v>
      </c>
      <c r="C636">
        <v>152</v>
      </c>
      <c r="D636" t="s">
        <v>876</v>
      </c>
    </row>
    <row r="637" spans="1:4" x14ac:dyDescent="0.25">
      <c r="A637" t="s">
        <v>1092</v>
      </c>
      <c r="B637">
        <v>242</v>
      </c>
      <c r="C637">
        <v>159</v>
      </c>
      <c r="D637" t="s">
        <v>876</v>
      </c>
    </row>
    <row r="638" spans="1:4" x14ac:dyDescent="0.25">
      <c r="A638" t="s">
        <v>1092</v>
      </c>
      <c r="B638">
        <v>244</v>
      </c>
      <c r="C638">
        <v>139</v>
      </c>
      <c r="D638" t="s">
        <v>876</v>
      </c>
    </row>
    <row r="639" spans="1:4" x14ac:dyDescent="0.25">
      <c r="A639" t="s">
        <v>1092</v>
      </c>
      <c r="B639">
        <v>234</v>
      </c>
      <c r="C639">
        <v>133</v>
      </c>
      <c r="D639" t="s">
        <v>904</v>
      </c>
    </row>
    <row r="640" spans="1:4" x14ac:dyDescent="0.25">
      <c r="A640" t="s">
        <v>1092</v>
      </c>
      <c r="B640">
        <v>251</v>
      </c>
      <c r="C640">
        <v>142</v>
      </c>
      <c r="D640" t="s">
        <v>876</v>
      </c>
    </row>
    <row r="641" spans="1:4" x14ac:dyDescent="0.25">
      <c r="A641" t="s">
        <v>1092</v>
      </c>
      <c r="B641">
        <v>206</v>
      </c>
      <c r="C641">
        <v>153</v>
      </c>
      <c r="D641" t="s">
        <v>876</v>
      </c>
    </row>
    <row r="642" spans="1:4" x14ac:dyDescent="0.25">
      <c r="A642" t="s">
        <v>1093</v>
      </c>
      <c r="B642">
        <v>343</v>
      </c>
      <c r="C642">
        <v>174</v>
      </c>
      <c r="D642" t="s">
        <v>905</v>
      </c>
    </row>
    <row r="643" spans="1:4" x14ac:dyDescent="0.25">
      <c r="A643" t="s">
        <v>1093</v>
      </c>
      <c r="B643">
        <v>341</v>
      </c>
      <c r="C643">
        <v>175</v>
      </c>
      <c r="D643" t="s">
        <v>904</v>
      </c>
    </row>
    <row r="644" spans="1:4" x14ac:dyDescent="0.25">
      <c r="A644" t="s">
        <v>1093</v>
      </c>
      <c r="B644">
        <v>342</v>
      </c>
      <c r="C644">
        <v>179</v>
      </c>
      <c r="D644" t="s">
        <v>904</v>
      </c>
    </row>
    <row r="645" spans="1:4" x14ac:dyDescent="0.25">
      <c r="A645" t="s">
        <v>1093</v>
      </c>
      <c r="B645">
        <v>24</v>
      </c>
      <c r="C645">
        <v>167</v>
      </c>
      <c r="D645" t="s">
        <v>905</v>
      </c>
    </row>
    <row r="646" spans="1:4" x14ac:dyDescent="0.25">
      <c r="A646" t="s">
        <v>1093</v>
      </c>
      <c r="B646">
        <v>26</v>
      </c>
      <c r="C646">
        <v>178</v>
      </c>
      <c r="D646" t="s">
        <v>909</v>
      </c>
    </row>
    <row r="647" spans="1:4" x14ac:dyDescent="0.25">
      <c r="A647" t="s">
        <v>1093</v>
      </c>
      <c r="B647">
        <v>25</v>
      </c>
      <c r="D647" t="s">
        <v>905</v>
      </c>
    </row>
    <row r="648" spans="1:4" x14ac:dyDescent="0.25">
      <c r="A648" t="s">
        <v>1093</v>
      </c>
      <c r="B648">
        <v>5</v>
      </c>
      <c r="C648">
        <v>150</v>
      </c>
      <c r="D648" t="s">
        <v>904</v>
      </c>
    </row>
    <row r="649" spans="1:4" x14ac:dyDescent="0.25">
      <c r="A649" t="s">
        <v>1093</v>
      </c>
      <c r="B649">
        <v>19</v>
      </c>
      <c r="C649">
        <v>147</v>
      </c>
      <c r="D649" t="s">
        <v>904</v>
      </c>
    </row>
    <row r="650" spans="1:4" x14ac:dyDescent="0.25">
      <c r="A650" t="s">
        <v>1093</v>
      </c>
      <c r="B650">
        <v>15</v>
      </c>
      <c r="C650">
        <v>119</v>
      </c>
      <c r="D650" t="s">
        <v>904</v>
      </c>
    </row>
    <row r="651" spans="1:4" x14ac:dyDescent="0.25">
      <c r="A651" t="s">
        <v>1093</v>
      </c>
      <c r="B651">
        <v>8</v>
      </c>
      <c r="C651">
        <v>175</v>
      </c>
      <c r="D651" t="s">
        <v>905</v>
      </c>
    </row>
    <row r="652" spans="1:4" x14ac:dyDescent="0.25">
      <c r="A652" t="s">
        <v>1093</v>
      </c>
      <c r="B652">
        <v>17</v>
      </c>
      <c r="C652">
        <v>147</v>
      </c>
      <c r="D652" t="s">
        <v>905</v>
      </c>
    </row>
    <row r="653" spans="1:4" x14ac:dyDescent="0.25">
      <c r="A653" t="s">
        <v>1093</v>
      </c>
      <c r="B653">
        <v>23</v>
      </c>
      <c r="C653">
        <v>162</v>
      </c>
      <c r="D653" t="s">
        <v>904</v>
      </c>
    </row>
    <row r="654" spans="1:4" x14ac:dyDescent="0.25">
      <c r="A654" t="s">
        <v>1093</v>
      </c>
      <c r="B654">
        <v>21</v>
      </c>
      <c r="C654">
        <v>143</v>
      </c>
      <c r="D654" t="s">
        <v>904</v>
      </c>
    </row>
    <row r="655" spans="1:4" x14ac:dyDescent="0.25">
      <c r="A655" t="s">
        <v>1093</v>
      </c>
      <c r="B655">
        <v>2</v>
      </c>
      <c r="C655">
        <v>201</v>
      </c>
      <c r="D655" t="s">
        <v>905</v>
      </c>
    </row>
    <row r="656" spans="1:4" x14ac:dyDescent="0.25">
      <c r="A656" t="s">
        <v>1093</v>
      </c>
      <c r="B656">
        <v>9</v>
      </c>
      <c r="C656">
        <v>173</v>
      </c>
      <c r="D656" t="s">
        <v>905</v>
      </c>
    </row>
    <row r="657" spans="1:4" x14ac:dyDescent="0.25">
      <c r="A657" t="s">
        <v>1093</v>
      </c>
      <c r="B657">
        <v>16</v>
      </c>
      <c r="C657">
        <v>285</v>
      </c>
      <c r="D657" t="s">
        <v>905</v>
      </c>
    </row>
    <row r="658" spans="1:4" x14ac:dyDescent="0.25">
      <c r="A658" t="s">
        <v>1093</v>
      </c>
      <c r="B658">
        <v>6</v>
      </c>
      <c r="C658">
        <v>183</v>
      </c>
      <c r="D658" t="s">
        <v>905</v>
      </c>
    </row>
    <row r="659" spans="1:4" x14ac:dyDescent="0.25">
      <c r="A659" t="s">
        <v>1093</v>
      </c>
      <c r="B659">
        <v>4</v>
      </c>
      <c r="C659">
        <v>183</v>
      </c>
      <c r="D659" t="s">
        <v>905</v>
      </c>
    </row>
    <row r="660" spans="1:4" x14ac:dyDescent="0.25">
      <c r="A660" t="s">
        <v>1093</v>
      </c>
      <c r="B660">
        <v>14</v>
      </c>
      <c r="C660">
        <v>164</v>
      </c>
      <c r="D660" t="s">
        <v>905</v>
      </c>
    </row>
    <row r="661" spans="1:4" x14ac:dyDescent="0.25">
      <c r="A661" t="s">
        <v>1093</v>
      </c>
      <c r="B661">
        <v>1</v>
      </c>
      <c r="C661">
        <v>327</v>
      </c>
      <c r="D661" t="s">
        <v>909</v>
      </c>
    </row>
    <row r="662" spans="1:4" x14ac:dyDescent="0.25">
      <c r="A662" t="s">
        <v>1093</v>
      </c>
      <c r="B662">
        <v>11</v>
      </c>
      <c r="C662">
        <v>168</v>
      </c>
      <c r="D662" t="s">
        <v>904</v>
      </c>
    </row>
    <row r="663" spans="1:4" x14ac:dyDescent="0.25">
      <c r="A663" t="s">
        <v>1093</v>
      </c>
      <c r="B663">
        <v>12</v>
      </c>
      <c r="C663">
        <v>246</v>
      </c>
      <c r="D663" t="s">
        <v>905</v>
      </c>
    </row>
    <row r="664" spans="1:4" x14ac:dyDescent="0.25">
      <c r="A664" t="s">
        <v>1093</v>
      </c>
      <c r="B664">
        <v>3</v>
      </c>
      <c r="C664">
        <v>159</v>
      </c>
      <c r="D664" t="s">
        <v>904</v>
      </c>
    </row>
    <row r="665" spans="1:4" x14ac:dyDescent="0.25">
      <c r="A665" t="s">
        <v>1093</v>
      </c>
      <c r="B665">
        <v>10</v>
      </c>
      <c r="C665">
        <v>332</v>
      </c>
      <c r="D665" t="s">
        <v>909</v>
      </c>
    </row>
    <row r="666" spans="1:4" x14ac:dyDescent="0.25">
      <c r="A666" t="s">
        <v>1093</v>
      </c>
      <c r="B666">
        <v>143</v>
      </c>
      <c r="C666">
        <v>174</v>
      </c>
      <c r="D666" t="s">
        <v>905</v>
      </c>
    </row>
    <row r="667" spans="1:4" x14ac:dyDescent="0.25">
      <c r="A667" t="s">
        <v>1093</v>
      </c>
      <c r="B667">
        <v>124</v>
      </c>
      <c r="C667">
        <v>149</v>
      </c>
      <c r="D667" t="s">
        <v>905</v>
      </c>
    </row>
    <row r="668" spans="1:4" x14ac:dyDescent="0.25">
      <c r="A668" t="s">
        <v>1093</v>
      </c>
      <c r="B668">
        <v>117</v>
      </c>
      <c r="C668">
        <v>211</v>
      </c>
      <c r="D668" t="s">
        <v>909</v>
      </c>
    </row>
    <row r="669" spans="1:4" x14ac:dyDescent="0.25">
      <c r="A669" t="s">
        <v>1093</v>
      </c>
      <c r="B669">
        <v>135</v>
      </c>
      <c r="C669">
        <v>167</v>
      </c>
      <c r="D669" t="s">
        <v>904</v>
      </c>
    </row>
    <row r="670" spans="1:4" x14ac:dyDescent="0.25">
      <c r="A670" t="s">
        <v>1093</v>
      </c>
      <c r="B670" t="s">
        <v>986</v>
      </c>
      <c r="C670">
        <v>177</v>
      </c>
      <c r="D670" t="s">
        <v>904</v>
      </c>
    </row>
    <row r="671" spans="1:4" x14ac:dyDescent="0.25">
      <c r="A671" t="s">
        <v>1093</v>
      </c>
      <c r="B671">
        <v>121</v>
      </c>
      <c r="C671">
        <v>172</v>
      </c>
      <c r="D671" t="s">
        <v>905</v>
      </c>
    </row>
    <row r="672" spans="1:4" x14ac:dyDescent="0.25">
      <c r="A672" t="s">
        <v>1093</v>
      </c>
      <c r="B672">
        <v>127</v>
      </c>
      <c r="C672">
        <v>169</v>
      </c>
      <c r="D672" t="s">
        <v>904</v>
      </c>
    </row>
    <row r="673" spans="1:4" x14ac:dyDescent="0.25">
      <c r="A673" t="s">
        <v>1093</v>
      </c>
      <c r="B673">
        <v>132</v>
      </c>
      <c r="C673">
        <v>174</v>
      </c>
      <c r="D673" t="s">
        <v>905</v>
      </c>
    </row>
    <row r="674" spans="1:4" x14ac:dyDescent="0.25">
      <c r="A674" t="s">
        <v>1093</v>
      </c>
      <c r="B674">
        <v>125</v>
      </c>
      <c r="C674">
        <v>171</v>
      </c>
      <c r="D674" t="s">
        <v>905</v>
      </c>
    </row>
    <row r="675" spans="1:4" x14ac:dyDescent="0.25">
      <c r="A675" t="s">
        <v>1093</v>
      </c>
      <c r="B675">
        <v>128</v>
      </c>
      <c r="C675">
        <v>173</v>
      </c>
      <c r="D675" t="s">
        <v>905</v>
      </c>
    </row>
    <row r="676" spans="1:4" x14ac:dyDescent="0.25">
      <c r="A676" t="s">
        <v>1093</v>
      </c>
      <c r="B676">
        <v>122</v>
      </c>
      <c r="C676">
        <v>168</v>
      </c>
      <c r="D676" t="s">
        <v>904</v>
      </c>
    </row>
    <row r="677" spans="1:4" x14ac:dyDescent="0.25">
      <c r="A677" t="s">
        <v>1093</v>
      </c>
      <c r="B677">
        <v>129</v>
      </c>
      <c r="C677">
        <v>182</v>
      </c>
      <c r="D677" t="s">
        <v>905</v>
      </c>
    </row>
    <row r="678" spans="1:4" x14ac:dyDescent="0.25">
      <c r="A678" t="s">
        <v>1093</v>
      </c>
      <c r="B678">
        <v>113</v>
      </c>
      <c r="C678">
        <v>176</v>
      </c>
      <c r="D678" t="s">
        <v>905</v>
      </c>
    </row>
    <row r="679" spans="1:4" x14ac:dyDescent="0.25">
      <c r="A679" t="s">
        <v>1093</v>
      </c>
      <c r="B679">
        <v>130</v>
      </c>
      <c r="C679">
        <v>174</v>
      </c>
      <c r="D679" t="s">
        <v>876</v>
      </c>
    </row>
    <row r="680" spans="1:4" x14ac:dyDescent="0.25">
      <c r="A680" t="s">
        <v>1093</v>
      </c>
      <c r="B680">
        <v>126</v>
      </c>
      <c r="C680">
        <v>172</v>
      </c>
      <c r="D680" t="s">
        <v>905</v>
      </c>
    </row>
    <row r="681" spans="1:4" x14ac:dyDescent="0.25">
      <c r="A681" t="s">
        <v>1093</v>
      </c>
      <c r="B681">
        <v>136</v>
      </c>
      <c r="C681">
        <v>175</v>
      </c>
      <c r="D681" t="s">
        <v>905</v>
      </c>
    </row>
    <row r="682" spans="1:4" x14ac:dyDescent="0.25">
      <c r="A682" t="s">
        <v>1093</v>
      </c>
      <c r="B682">
        <v>141</v>
      </c>
      <c r="C682">
        <v>175</v>
      </c>
      <c r="D682" t="s">
        <v>905</v>
      </c>
    </row>
    <row r="683" spans="1:4" x14ac:dyDescent="0.25">
      <c r="A683" t="s">
        <v>1093</v>
      </c>
      <c r="B683">
        <v>115</v>
      </c>
      <c r="C683">
        <v>175</v>
      </c>
      <c r="D683" t="s">
        <v>905</v>
      </c>
    </row>
    <row r="684" spans="1:4" x14ac:dyDescent="0.25">
      <c r="A684" t="s">
        <v>1093</v>
      </c>
      <c r="B684">
        <v>137</v>
      </c>
      <c r="C684">
        <v>167</v>
      </c>
      <c r="D684" t="s">
        <v>905</v>
      </c>
    </row>
    <row r="685" spans="1:4" x14ac:dyDescent="0.25">
      <c r="A685" t="s">
        <v>1093</v>
      </c>
      <c r="B685">
        <v>112</v>
      </c>
      <c r="C685">
        <v>245</v>
      </c>
      <c r="D685" t="s">
        <v>909</v>
      </c>
    </row>
    <row r="686" spans="1:4" x14ac:dyDescent="0.25">
      <c r="A686" t="s">
        <v>1093</v>
      </c>
      <c r="B686">
        <v>133</v>
      </c>
      <c r="C686">
        <v>166</v>
      </c>
      <c r="D686" t="s">
        <v>905</v>
      </c>
    </row>
    <row r="687" spans="1:4" x14ac:dyDescent="0.25">
      <c r="A687" t="s">
        <v>1093</v>
      </c>
      <c r="B687">
        <v>111</v>
      </c>
      <c r="C687">
        <v>175</v>
      </c>
      <c r="D687" t="s">
        <v>905</v>
      </c>
    </row>
    <row r="688" spans="1:4" x14ac:dyDescent="0.25">
      <c r="A688" t="s">
        <v>1093</v>
      </c>
      <c r="B688" t="s">
        <v>995</v>
      </c>
      <c r="C688">
        <v>142</v>
      </c>
      <c r="D688" t="s">
        <v>876</v>
      </c>
    </row>
    <row r="689" spans="1:4" x14ac:dyDescent="0.25">
      <c r="A689" t="s">
        <v>1093</v>
      </c>
      <c r="B689">
        <v>120</v>
      </c>
      <c r="C689">
        <v>188</v>
      </c>
      <c r="D689" t="s">
        <v>905</v>
      </c>
    </row>
    <row r="690" spans="1:4" x14ac:dyDescent="0.25">
      <c r="A690" t="s">
        <v>1093</v>
      </c>
      <c r="B690">
        <v>118</v>
      </c>
      <c r="C690">
        <v>251</v>
      </c>
      <c r="D690" t="s">
        <v>905</v>
      </c>
    </row>
    <row r="691" spans="1:4" x14ac:dyDescent="0.25">
      <c r="A691" t="s">
        <v>1093</v>
      </c>
      <c r="B691">
        <v>110</v>
      </c>
      <c r="C691">
        <v>127</v>
      </c>
      <c r="D691" t="s">
        <v>904</v>
      </c>
    </row>
    <row r="692" spans="1:4" x14ac:dyDescent="0.25">
      <c r="A692" t="s">
        <v>1093</v>
      </c>
      <c r="B692" t="s">
        <v>998</v>
      </c>
      <c r="C692">
        <v>140</v>
      </c>
      <c r="D692" t="s">
        <v>876</v>
      </c>
    </row>
    <row r="693" spans="1:4" x14ac:dyDescent="0.25">
      <c r="A693" t="s">
        <v>1093</v>
      </c>
      <c r="B693" t="s">
        <v>1094</v>
      </c>
      <c r="C693">
        <v>296</v>
      </c>
      <c r="D693" t="s">
        <v>909</v>
      </c>
    </row>
    <row r="694" spans="1:4" x14ac:dyDescent="0.25">
      <c r="A694" t="s">
        <v>1093</v>
      </c>
      <c r="B694">
        <v>134</v>
      </c>
      <c r="C694">
        <v>176</v>
      </c>
      <c r="D694" t="s">
        <v>905</v>
      </c>
    </row>
    <row r="695" spans="1:4" x14ac:dyDescent="0.25">
      <c r="A695" t="s">
        <v>1093</v>
      </c>
      <c r="B695">
        <v>119</v>
      </c>
      <c r="C695">
        <v>173</v>
      </c>
      <c r="D695" t="s">
        <v>904</v>
      </c>
    </row>
    <row r="696" spans="1:4" x14ac:dyDescent="0.25">
      <c r="A696" t="s">
        <v>1093</v>
      </c>
      <c r="B696">
        <v>131</v>
      </c>
      <c r="C696">
        <v>174</v>
      </c>
      <c r="D696" t="s">
        <v>876</v>
      </c>
    </row>
    <row r="697" spans="1:4" x14ac:dyDescent="0.25">
      <c r="A697" t="s">
        <v>1093</v>
      </c>
      <c r="B697">
        <v>140</v>
      </c>
      <c r="C697">
        <v>177</v>
      </c>
      <c r="D697" t="s">
        <v>905</v>
      </c>
    </row>
    <row r="698" spans="1:4" x14ac:dyDescent="0.25">
      <c r="A698" t="s">
        <v>1093</v>
      </c>
      <c r="B698">
        <v>142</v>
      </c>
      <c r="C698">
        <v>179</v>
      </c>
      <c r="D698" t="s">
        <v>905</v>
      </c>
    </row>
    <row r="699" spans="1:4" x14ac:dyDescent="0.25">
      <c r="A699" t="s">
        <v>1093</v>
      </c>
      <c r="B699">
        <v>123</v>
      </c>
      <c r="C699">
        <v>172</v>
      </c>
      <c r="D699" t="s">
        <v>905</v>
      </c>
    </row>
    <row r="700" spans="1:4" x14ac:dyDescent="0.25">
      <c r="A700" t="s">
        <v>1093</v>
      </c>
      <c r="B700">
        <v>139</v>
      </c>
      <c r="C700">
        <v>169</v>
      </c>
      <c r="D700" t="s">
        <v>905</v>
      </c>
    </row>
    <row r="701" spans="1:4" x14ac:dyDescent="0.25">
      <c r="A701" t="s">
        <v>1093</v>
      </c>
      <c r="B701">
        <v>138</v>
      </c>
      <c r="C701">
        <v>174</v>
      </c>
      <c r="D701" t="s">
        <v>905</v>
      </c>
    </row>
    <row r="702" spans="1:4" x14ac:dyDescent="0.25">
      <c r="A702" t="s">
        <v>1093</v>
      </c>
      <c r="B702">
        <v>238</v>
      </c>
      <c r="C702">
        <v>174</v>
      </c>
      <c r="D702" t="s">
        <v>905</v>
      </c>
    </row>
    <row r="703" spans="1:4" x14ac:dyDescent="0.25">
      <c r="A703" t="s">
        <v>1093</v>
      </c>
      <c r="B703">
        <v>241</v>
      </c>
      <c r="C703">
        <v>156</v>
      </c>
      <c r="D703" t="s">
        <v>904</v>
      </c>
    </row>
    <row r="704" spans="1:4" x14ac:dyDescent="0.25">
      <c r="A704" t="s">
        <v>1093</v>
      </c>
      <c r="B704">
        <v>242</v>
      </c>
      <c r="C704">
        <v>203</v>
      </c>
      <c r="D704" t="s">
        <v>905</v>
      </c>
    </row>
    <row r="705" spans="1:4" x14ac:dyDescent="0.25">
      <c r="A705" t="s">
        <v>1093</v>
      </c>
      <c r="B705">
        <v>237</v>
      </c>
      <c r="C705">
        <v>175</v>
      </c>
      <c r="D705" t="s">
        <v>905</v>
      </c>
    </row>
    <row r="706" spans="1:4" x14ac:dyDescent="0.25">
      <c r="A706" t="s">
        <v>1093</v>
      </c>
      <c r="B706">
        <v>216</v>
      </c>
      <c r="C706">
        <v>175</v>
      </c>
      <c r="D706" t="s">
        <v>905</v>
      </c>
    </row>
    <row r="707" spans="1:4" x14ac:dyDescent="0.25">
      <c r="A707" t="s">
        <v>1093</v>
      </c>
      <c r="B707">
        <v>224</v>
      </c>
      <c r="C707">
        <v>172</v>
      </c>
      <c r="D707" t="s">
        <v>905</v>
      </c>
    </row>
    <row r="708" spans="1:4" x14ac:dyDescent="0.25">
      <c r="A708" t="s">
        <v>1093</v>
      </c>
      <c r="B708">
        <v>207</v>
      </c>
      <c r="C708">
        <v>179</v>
      </c>
      <c r="D708" t="s">
        <v>905</v>
      </c>
    </row>
    <row r="709" spans="1:4" x14ac:dyDescent="0.25">
      <c r="A709" t="s">
        <v>1093</v>
      </c>
      <c r="B709">
        <v>230</v>
      </c>
      <c r="C709">
        <v>173</v>
      </c>
      <c r="D709" t="s">
        <v>876</v>
      </c>
    </row>
    <row r="710" spans="1:4" x14ac:dyDescent="0.25">
      <c r="A710" t="s">
        <v>1093</v>
      </c>
      <c r="B710">
        <v>234</v>
      </c>
      <c r="C710">
        <v>170</v>
      </c>
      <c r="D710" t="s">
        <v>905</v>
      </c>
    </row>
    <row r="711" spans="1:4" x14ac:dyDescent="0.25">
      <c r="A711" t="s">
        <v>1093</v>
      </c>
      <c r="B711">
        <v>204</v>
      </c>
      <c r="C711">
        <v>180</v>
      </c>
      <c r="D711" t="s">
        <v>905</v>
      </c>
    </row>
    <row r="712" spans="1:4" x14ac:dyDescent="0.25">
      <c r="A712" t="s">
        <v>1093</v>
      </c>
      <c r="B712">
        <v>215</v>
      </c>
      <c r="C712">
        <v>175</v>
      </c>
      <c r="D712" t="s">
        <v>905</v>
      </c>
    </row>
    <row r="713" spans="1:4" x14ac:dyDescent="0.25">
      <c r="A713" t="s">
        <v>1093</v>
      </c>
      <c r="B713">
        <v>222</v>
      </c>
      <c r="C713">
        <v>168</v>
      </c>
      <c r="D713" t="s">
        <v>905</v>
      </c>
    </row>
    <row r="714" spans="1:4" x14ac:dyDescent="0.25">
      <c r="A714" t="s">
        <v>1093</v>
      </c>
      <c r="B714">
        <v>201</v>
      </c>
      <c r="C714">
        <v>376</v>
      </c>
      <c r="D714" t="s">
        <v>909</v>
      </c>
    </row>
    <row r="715" spans="1:4" x14ac:dyDescent="0.25">
      <c r="A715" t="s">
        <v>1093</v>
      </c>
      <c r="B715">
        <v>208</v>
      </c>
      <c r="C715">
        <v>142</v>
      </c>
      <c r="D715" t="s">
        <v>904</v>
      </c>
    </row>
    <row r="716" spans="1:4" x14ac:dyDescent="0.25">
      <c r="A716" t="s">
        <v>1093</v>
      </c>
      <c r="B716">
        <v>229</v>
      </c>
      <c r="C716">
        <v>182</v>
      </c>
      <c r="D716" t="s">
        <v>905</v>
      </c>
    </row>
    <row r="717" spans="1:4" x14ac:dyDescent="0.25">
      <c r="A717" t="s">
        <v>1093</v>
      </c>
      <c r="B717">
        <v>235</v>
      </c>
      <c r="C717">
        <v>174</v>
      </c>
      <c r="D717" t="s">
        <v>905</v>
      </c>
    </row>
    <row r="718" spans="1:4" x14ac:dyDescent="0.25">
      <c r="A718" t="s">
        <v>1093</v>
      </c>
      <c r="B718">
        <v>217</v>
      </c>
      <c r="C718">
        <v>223</v>
      </c>
      <c r="D718" t="s">
        <v>905</v>
      </c>
    </row>
    <row r="719" spans="1:4" x14ac:dyDescent="0.25">
      <c r="A719" t="s">
        <v>1093</v>
      </c>
      <c r="B719">
        <v>221</v>
      </c>
      <c r="C719">
        <v>172</v>
      </c>
      <c r="D719" t="s">
        <v>905</v>
      </c>
    </row>
    <row r="720" spans="1:4" x14ac:dyDescent="0.25">
      <c r="A720" t="s">
        <v>1093</v>
      </c>
      <c r="B720">
        <v>203</v>
      </c>
      <c r="C720">
        <v>178</v>
      </c>
      <c r="D720" t="s">
        <v>904</v>
      </c>
    </row>
    <row r="721" spans="1:4" x14ac:dyDescent="0.25">
      <c r="A721" t="s">
        <v>1093</v>
      </c>
      <c r="B721">
        <v>205</v>
      </c>
      <c r="C721">
        <v>178</v>
      </c>
      <c r="D721" t="s">
        <v>905</v>
      </c>
    </row>
    <row r="722" spans="1:4" x14ac:dyDescent="0.25">
      <c r="A722" t="s">
        <v>1093</v>
      </c>
      <c r="B722">
        <v>243</v>
      </c>
      <c r="C722">
        <v>174</v>
      </c>
      <c r="D722" t="s">
        <v>905</v>
      </c>
    </row>
    <row r="723" spans="1:4" x14ac:dyDescent="0.25">
      <c r="A723" t="s">
        <v>1093</v>
      </c>
      <c r="B723">
        <v>227</v>
      </c>
      <c r="C723">
        <v>169</v>
      </c>
      <c r="D723" t="s">
        <v>905</v>
      </c>
    </row>
    <row r="724" spans="1:4" x14ac:dyDescent="0.25">
      <c r="A724" t="s">
        <v>1093</v>
      </c>
      <c r="B724">
        <v>236</v>
      </c>
      <c r="C724">
        <v>174</v>
      </c>
      <c r="D724" t="s">
        <v>905</v>
      </c>
    </row>
    <row r="725" spans="1:4" x14ac:dyDescent="0.25">
      <c r="A725" t="s">
        <v>1093</v>
      </c>
      <c r="B725">
        <v>232</v>
      </c>
      <c r="C725">
        <v>174</v>
      </c>
      <c r="D725" t="s">
        <v>905</v>
      </c>
    </row>
    <row r="726" spans="1:4" x14ac:dyDescent="0.25">
      <c r="A726" t="s">
        <v>1093</v>
      </c>
      <c r="B726">
        <v>223</v>
      </c>
      <c r="C726">
        <v>174</v>
      </c>
      <c r="D726" t="s">
        <v>905</v>
      </c>
    </row>
    <row r="727" spans="1:4" x14ac:dyDescent="0.25">
      <c r="A727" t="s">
        <v>1093</v>
      </c>
      <c r="B727">
        <v>219</v>
      </c>
      <c r="C727">
        <v>173</v>
      </c>
      <c r="D727" t="s">
        <v>905</v>
      </c>
    </row>
    <row r="728" spans="1:4" x14ac:dyDescent="0.25">
      <c r="A728" t="s">
        <v>1093</v>
      </c>
      <c r="B728">
        <v>233</v>
      </c>
      <c r="C728">
        <v>175</v>
      </c>
      <c r="D728" t="s">
        <v>905</v>
      </c>
    </row>
    <row r="729" spans="1:4" x14ac:dyDescent="0.25">
      <c r="A729" t="s">
        <v>1093</v>
      </c>
      <c r="B729" t="s">
        <v>1095</v>
      </c>
      <c r="C729">
        <v>296</v>
      </c>
      <c r="D729" t="s">
        <v>909</v>
      </c>
    </row>
    <row r="730" spans="1:4" x14ac:dyDescent="0.25">
      <c r="A730" t="s">
        <v>1093</v>
      </c>
      <c r="B730">
        <v>225</v>
      </c>
      <c r="C730">
        <v>171</v>
      </c>
      <c r="D730" t="s">
        <v>905</v>
      </c>
    </row>
    <row r="731" spans="1:4" x14ac:dyDescent="0.25">
      <c r="A731" t="s">
        <v>1093</v>
      </c>
      <c r="B731">
        <v>209</v>
      </c>
      <c r="C731">
        <v>187</v>
      </c>
      <c r="D731" t="s">
        <v>905</v>
      </c>
    </row>
    <row r="732" spans="1:4" x14ac:dyDescent="0.25">
      <c r="A732" t="s">
        <v>1093</v>
      </c>
      <c r="B732">
        <v>239</v>
      </c>
      <c r="C732">
        <v>175</v>
      </c>
      <c r="D732" t="s">
        <v>905</v>
      </c>
    </row>
    <row r="733" spans="1:4" x14ac:dyDescent="0.25">
      <c r="A733" t="s">
        <v>1093</v>
      </c>
      <c r="B733">
        <v>220</v>
      </c>
      <c r="C733">
        <v>188</v>
      </c>
      <c r="D733" t="s">
        <v>905</v>
      </c>
    </row>
    <row r="734" spans="1:4" x14ac:dyDescent="0.25">
      <c r="A734" t="s">
        <v>1093</v>
      </c>
      <c r="B734">
        <v>228</v>
      </c>
      <c r="C734">
        <v>173</v>
      </c>
      <c r="D734" t="s">
        <v>905</v>
      </c>
    </row>
    <row r="735" spans="1:4" x14ac:dyDescent="0.25">
      <c r="A735" t="s">
        <v>1093</v>
      </c>
      <c r="B735">
        <v>213</v>
      </c>
      <c r="C735">
        <v>176</v>
      </c>
      <c r="D735" t="s">
        <v>905</v>
      </c>
    </row>
    <row r="736" spans="1:4" x14ac:dyDescent="0.25">
      <c r="A736" t="s">
        <v>1093</v>
      </c>
      <c r="B736">
        <v>231</v>
      </c>
      <c r="C736">
        <v>174</v>
      </c>
      <c r="D736" t="s">
        <v>876</v>
      </c>
    </row>
    <row r="737" spans="1:4" x14ac:dyDescent="0.25">
      <c r="A737" t="s">
        <v>1093</v>
      </c>
      <c r="B737">
        <v>211</v>
      </c>
      <c r="C737">
        <v>178</v>
      </c>
      <c r="D737" t="s">
        <v>905</v>
      </c>
    </row>
    <row r="738" spans="1:4" x14ac:dyDescent="0.25">
      <c r="A738" t="s">
        <v>1093</v>
      </c>
      <c r="B738">
        <v>226</v>
      </c>
      <c r="C738">
        <v>172</v>
      </c>
      <c r="D738" t="s">
        <v>905</v>
      </c>
    </row>
    <row r="739" spans="1:4" x14ac:dyDescent="0.25">
      <c r="A739" t="s">
        <v>1093</v>
      </c>
      <c r="B739">
        <v>202</v>
      </c>
      <c r="C739">
        <v>178</v>
      </c>
      <c r="D739" t="s">
        <v>905</v>
      </c>
    </row>
    <row r="740" spans="1:4" x14ac:dyDescent="0.25">
      <c r="A740" t="s">
        <v>1093</v>
      </c>
      <c r="B740">
        <v>206</v>
      </c>
      <c r="C740">
        <v>282</v>
      </c>
      <c r="D740" t="s">
        <v>909</v>
      </c>
    </row>
    <row r="741" spans="1:4" x14ac:dyDescent="0.25">
      <c r="A741" t="s">
        <v>1093</v>
      </c>
      <c r="B741" t="s">
        <v>1066</v>
      </c>
      <c r="C741">
        <v>177</v>
      </c>
      <c r="D741" t="s">
        <v>904</v>
      </c>
    </row>
    <row r="742" spans="1:4" x14ac:dyDescent="0.25">
      <c r="A742" t="s">
        <v>1093</v>
      </c>
      <c r="B742">
        <v>214</v>
      </c>
      <c r="C742">
        <v>179</v>
      </c>
      <c r="D742" t="s">
        <v>905</v>
      </c>
    </row>
    <row r="743" spans="1:4" x14ac:dyDescent="0.25">
      <c r="A743" t="s">
        <v>1093</v>
      </c>
      <c r="B743">
        <v>212</v>
      </c>
      <c r="C743">
        <v>179</v>
      </c>
      <c r="D743" t="s">
        <v>905</v>
      </c>
    </row>
    <row r="744" spans="1:4" x14ac:dyDescent="0.25">
      <c r="A744" t="s">
        <v>1093</v>
      </c>
      <c r="B744">
        <v>210</v>
      </c>
      <c r="C744">
        <v>178</v>
      </c>
      <c r="D744" t="s">
        <v>905</v>
      </c>
    </row>
    <row r="745" spans="1:4" x14ac:dyDescent="0.25">
      <c r="A745" t="s">
        <v>1093</v>
      </c>
      <c r="B745">
        <v>218</v>
      </c>
      <c r="C745">
        <v>224</v>
      </c>
      <c r="D745" t="s">
        <v>905</v>
      </c>
    </row>
    <row r="746" spans="1:4" x14ac:dyDescent="0.25">
      <c r="A746" t="s">
        <v>1096</v>
      </c>
      <c r="B746">
        <v>208</v>
      </c>
      <c r="C746">
        <v>236</v>
      </c>
      <c r="D746" t="s">
        <v>905</v>
      </c>
    </row>
    <row r="747" spans="1:4" x14ac:dyDescent="0.25">
      <c r="A747" t="s">
        <v>1096</v>
      </c>
      <c r="B747">
        <v>212</v>
      </c>
      <c r="C747">
        <v>244</v>
      </c>
      <c r="D747" t="s">
        <v>905</v>
      </c>
    </row>
    <row r="748" spans="1:4" x14ac:dyDescent="0.25">
      <c r="A748" t="s">
        <v>1096</v>
      </c>
      <c r="B748">
        <v>221</v>
      </c>
      <c r="C748">
        <v>239</v>
      </c>
      <c r="D748" t="s">
        <v>905</v>
      </c>
    </row>
    <row r="749" spans="1:4" x14ac:dyDescent="0.25">
      <c r="A749" t="s">
        <v>1096</v>
      </c>
      <c r="B749">
        <v>201</v>
      </c>
      <c r="C749">
        <v>206</v>
      </c>
      <c r="D749" t="s">
        <v>905</v>
      </c>
    </row>
    <row r="750" spans="1:4" x14ac:dyDescent="0.25">
      <c r="A750" t="s">
        <v>1096</v>
      </c>
      <c r="B750">
        <v>207</v>
      </c>
      <c r="C750">
        <v>235</v>
      </c>
      <c r="D750" t="s">
        <v>905</v>
      </c>
    </row>
    <row r="751" spans="1:4" x14ac:dyDescent="0.25">
      <c r="A751" t="s">
        <v>1096</v>
      </c>
      <c r="B751">
        <v>216</v>
      </c>
      <c r="C751">
        <v>215</v>
      </c>
      <c r="D751" t="s">
        <v>905</v>
      </c>
    </row>
    <row r="752" spans="1:4" x14ac:dyDescent="0.25">
      <c r="A752" t="s">
        <v>1096</v>
      </c>
      <c r="B752">
        <v>225</v>
      </c>
      <c r="C752">
        <v>224</v>
      </c>
      <c r="D752" t="s">
        <v>905</v>
      </c>
    </row>
    <row r="753" spans="1:4" x14ac:dyDescent="0.25">
      <c r="A753" t="s">
        <v>1096</v>
      </c>
      <c r="B753">
        <v>217</v>
      </c>
      <c r="C753">
        <v>314</v>
      </c>
      <c r="D753" t="s">
        <v>905</v>
      </c>
    </row>
    <row r="754" spans="1:4" x14ac:dyDescent="0.25">
      <c r="A754" t="s">
        <v>1096</v>
      </c>
      <c r="B754">
        <v>215</v>
      </c>
      <c r="C754">
        <v>233</v>
      </c>
      <c r="D754" t="s">
        <v>905</v>
      </c>
    </row>
    <row r="755" spans="1:4" x14ac:dyDescent="0.25">
      <c r="A755" t="s">
        <v>1096</v>
      </c>
      <c r="B755">
        <v>223</v>
      </c>
      <c r="C755">
        <v>233</v>
      </c>
      <c r="D755" t="s">
        <v>905</v>
      </c>
    </row>
    <row r="756" spans="1:4" x14ac:dyDescent="0.25">
      <c r="A756" t="s">
        <v>1096</v>
      </c>
      <c r="B756">
        <v>214</v>
      </c>
      <c r="C756">
        <v>209</v>
      </c>
      <c r="D756" t="s">
        <v>904</v>
      </c>
    </row>
    <row r="757" spans="1:4" x14ac:dyDescent="0.25">
      <c r="A757" t="s">
        <v>1096</v>
      </c>
      <c r="B757">
        <v>210</v>
      </c>
      <c r="C757">
        <v>227</v>
      </c>
      <c r="D757" t="s">
        <v>905</v>
      </c>
    </row>
    <row r="758" spans="1:4" x14ac:dyDescent="0.25">
      <c r="A758" t="s">
        <v>1096</v>
      </c>
      <c r="B758">
        <v>218</v>
      </c>
      <c r="C758">
        <v>369</v>
      </c>
      <c r="D758" t="s">
        <v>905</v>
      </c>
    </row>
    <row r="759" spans="1:4" x14ac:dyDescent="0.25">
      <c r="A759" t="s">
        <v>1096</v>
      </c>
      <c r="B759">
        <v>206</v>
      </c>
      <c r="C759">
        <v>232</v>
      </c>
      <c r="D759" t="s">
        <v>905</v>
      </c>
    </row>
    <row r="760" spans="1:4" x14ac:dyDescent="0.25">
      <c r="A760" t="s">
        <v>1096</v>
      </c>
      <c r="B760">
        <v>205</v>
      </c>
      <c r="C760">
        <v>244</v>
      </c>
      <c r="D760" t="s">
        <v>905</v>
      </c>
    </row>
    <row r="761" spans="1:4" x14ac:dyDescent="0.25">
      <c r="A761" t="s">
        <v>1096</v>
      </c>
      <c r="B761">
        <v>203</v>
      </c>
      <c r="C761">
        <v>234</v>
      </c>
      <c r="D761" t="s">
        <v>904</v>
      </c>
    </row>
    <row r="762" spans="1:4" x14ac:dyDescent="0.25">
      <c r="A762" t="s">
        <v>1096</v>
      </c>
      <c r="B762">
        <v>209</v>
      </c>
      <c r="C762">
        <v>230</v>
      </c>
      <c r="D762" t="s">
        <v>905</v>
      </c>
    </row>
    <row r="763" spans="1:4" x14ac:dyDescent="0.25">
      <c r="A763" t="s">
        <v>1096</v>
      </c>
      <c r="B763">
        <v>220</v>
      </c>
      <c r="C763">
        <v>215</v>
      </c>
      <c r="D763" t="s">
        <v>905</v>
      </c>
    </row>
    <row r="764" spans="1:4" x14ac:dyDescent="0.25">
      <c r="A764" t="s">
        <v>1096</v>
      </c>
      <c r="B764">
        <v>211</v>
      </c>
      <c r="C764">
        <v>228</v>
      </c>
      <c r="D764" t="s">
        <v>905</v>
      </c>
    </row>
    <row r="765" spans="1:4" x14ac:dyDescent="0.25">
      <c r="A765" t="s">
        <v>1096</v>
      </c>
      <c r="B765">
        <v>204</v>
      </c>
      <c r="C765">
        <v>234</v>
      </c>
      <c r="D765" t="s">
        <v>905</v>
      </c>
    </row>
    <row r="766" spans="1:4" x14ac:dyDescent="0.25">
      <c r="A766" t="s">
        <v>1096</v>
      </c>
      <c r="B766">
        <v>222</v>
      </c>
      <c r="C766">
        <v>315</v>
      </c>
      <c r="D766" t="s">
        <v>904</v>
      </c>
    </row>
    <row r="767" spans="1:4" x14ac:dyDescent="0.25">
      <c r="A767" t="s">
        <v>1096</v>
      </c>
      <c r="B767">
        <v>219</v>
      </c>
      <c r="C767">
        <v>233</v>
      </c>
      <c r="D767" t="s">
        <v>905</v>
      </c>
    </row>
    <row r="768" spans="1:4" x14ac:dyDescent="0.25">
      <c r="A768" t="s">
        <v>1096</v>
      </c>
      <c r="B768">
        <v>213</v>
      </c>
      <c r="C768">
        <v>238</v>
      </c>
      <c r="D768" t="s">
        <v>905</v>
      </c>
    </row>
    <row r="769" spans="1:4" x14ac:dyDescent="0.25">
      <c r="A769" t="s">
        <v>1096</v>
      </c>
      <c r="B769">
        <v>202</v>
      </c>
      <c r="C769">
        <v>222</v>
      </c>
      <c r="D769" t="s">
        <v>905</v>
      </c>
    </row>
    <row r="770" spans="1:4" x14ac:dyDescent="0.25">
      <c r="A770" t="s">
        <v>1096</v>
      </c>
      <c r="B770">
        <v>224</v>
      </c>
      <c r="C770">
        <v>215</v>
      </c>
      <c r="D770" t="s">
        <v>905</v>
      </c>
    </row>
    <row r="771" spans="1:4" x14ac:dyDescent="0.25">
      <c r="A771" t="s">
        <v>1096</v>
      </c>
      <c r="B771">
        <v>124</v>
      </c>
      <c r="C771">
        <v>220</v>
      </c>
      <c r="D771" t="s">
        <v>909</v>
      </c>
    </row>
    <row r="772" spans="1:4" x14ac:dyDescent="0.25">
      <c r="A772" t="s">
        <v>1096</v>
      </c>
      <c r="B772">
        <v>111</v>
      </c>
      <c r="C772">
        <v>225</v>
      </c>
      <c r="D772" t="s">
        <v>904</v>
      </c>
    </row>
    <row r="773" spans="1:4" x14ac:dyDescent="0.25">
      <c r="A773" t="s">
        <v>1096</v>
      </c>
      <c r="B773">
        <v>110</v>
      </c>
      <c r="C773">
        <v>228</v>
      </c>
      <c r="D773" t="s">
        <v>905</v>
      </c>
    </row>
    <row r="774" spans="1:4" x14ac:dyDescent="0.25">
      <c r="A774" t="s">
        <v>1096</v>
      </c>
      <c r="B774">
        <v>113</v>
      </c>
      <c r="C774">
        <v>265</v>
      </c>
      <c r="D774" t="s">
        <v>909</v>
      </c>
    </row>
    <row r="775" spans="1:4" x14ac:dyDescent="0.25">
      <c r="A775" t="s">
        <v>1096</v>
      </c>
      <c r="B775">
        <v>109</v>
      </c>
      <c r="C775">
        <v>234</v>
      </c>
      <c r="D775" t="s">
        <v>905</v>
      </c>
    </row>
    <row r="776" spans="1:4" x14ac:dyDescent="0.25">
      <c r="A776" t="s">
        <v>1096</v>
      </c>
      <c r="B776">
        <v>121</v>
      </c>
      <c r="C776">
        <v>237</v>
      </c>
      <c r="D776" t="s">
        <v>905</v>
      </c>
    </row>
    <row r="777" spans="1:4" x14ac:dyDescent="0.25">
      <c r="A777" t="s">
        <v>1096</v>
      </c>
      <c r="B777">
        <v>108</v>
      </c>
      <c r="C777">
        <v>232</v>
      </c>
      <c r="D777" t="s">
        <v>909</v>
      </c>
    </row>
    <row r="778" spans="1:4" x14ac:dyDescent="0.25">
      <c r="A778" t="s">
        <v>1096</v>
      </c>
      <c r="B778">
        <v>123</v>
      </c>
      <c r="C778">
        <v>123</v>
      </c>
      <c r="D778" t="s">
        <v>905</v>
      </c>
    </row>
    <row r="779" spans="1:4" x14ac:dyDescent="0.25">
      <c r="A779" t="s">
        <v>1096</v>
      </c>
      <c r="B779">
        <v>118</v>
      </c>
      <c r="C779">
        <v>237</v>
      </c>
      <c r="D779" t="s">
        <v>905</v>
      </c>
    </row>
    <row r="780" spans="1:4" x14ac:dyDescent="0.25">
      <c r="A780" t="s">
        <v>1096</v>
      </c>
      <c r="B780">
        <v>107</v>
      </c>
      <c r="C780">
        <v>227</v>
      </c>
      <c r="D780" t="s">
        <v>905</v>
      </c>
    </row>
    <row r="781" spans="1:4" x14ac:dyDescent="0.25">
      <c r="A781" t="s">
        <v>1096</v>
      </c>
      <c r="B781">
        <v>112</v>
      </c>
      <c r="C781">
        <v>245</v>
      </c>
      <c r="D781" t="s">
        <v>909</v>
      </c>
    </row>
    <row r="782" spans="1:4" x14ac:dyDescent="0.25">
      <c r="A782" t="s">
        <v>1096</v>
      </c>
      <c r="B782">
        <v>117</v>
      </c>
      <c r="C782">
        <v>237</v>
      </c>
      <c r="D782" t="s">
        <v>904</v>
      </c>
    </row>
    <row r="783" spans="1:4" x14ac:dyDescent="0.25">
      <c r="A783" t="s">
        <v>1096</v>
      </c>
      <c r="B783">
        <v>120</v>
      </c>
      <c r="C783">
        <v>220</v>
      </c>
      <c r="D783" t="s">
        <v>905</v>
      </c>
    </row>
    <row r="784" spans="1:4" x14ac:dyDescent="0.25">
      <c r="A784" t="s">
        <v>1096</v>
      </c>
      <c r="B784">
        <v>115</v>
      </c>
      <c r="C784">
        <v>239</v>
      </c>
      <c r="D784" t="s">
        <v>905</v>
      </c>
    </row>
    <row r="785" spans="1:4" x14ac:dyDescent="0.25">
      <c r="A785" t="s">
        <v>1096</v>
      </c>
      <c r="B785">
        <v>122</v>
      </c>
      <c r="C785">
        <v>237</v>
      </c>
      <c r="D785" t="s">
        <v>905</v>
      </c>
    </row>
    <row r="786" spans="1:4" x14ac:dyDescent="0.25">
      <c r="A786" t="s">
        <v>1096</v>
      </c>
      <c r="B786">
        <v>116</v>
      </c>
      <c r="C786">
        <v>220</v>
      </c>
      <c r="D786" t="s">
        <v>905</v>
      </c>
    </row>
    <row r="787" spans="1:4" x14ac:dyDescent="0.25">
      <c r="A787" t="s">
        <v>1096</v>
      </c>
      <c r="B787">
        <v>119</v>
      </c>
      <c r="C787">
        <v>239</v>
      </c>
      <c r="D787" t="s">
        <v>905</v>
      </c>
    </row>
    <row r="788" spans="1:4" x14ac:dyDescent="0.25">
      <c r="A788" t="s">
        <v>1096</v>
      </c>
      <c r="B788">
        <v>125</v>
      </c>
      <c r="C788">
        <v>239</v>
      </c>
      <c r="D788" t="s">
        <v>905</v>
      </c>
    </row>
    <row r="789" spans="1:4" x14ac:dyDescent="0.25">
      <c r="A789" t="s">
        <v>1096</v>
      </c>
      <c r="B789">
        <v>114</v>
      </c>
      <c r="C789">
        <v>237</v>
      </c>
      <c r="D789" t="s">
        <v>905</v>
      </c>
    </row>
    <row r="790" spans="1:4" x14ac:dyDescent="0.25">
      <c r="A790" t="s">
        <v>1096</v>
      </c>
      <c r="B790" t="s">
        <v>1097</v>
      </c>
      <c r="C790">
        <v>181</v>
      </c>
      <c r="D790" t="s">
        <v>904</v>
      </c>
    </row>
    <row r="791" spans="1:4" x14ac:dyDescent="0.25">
      <c r="A791" t="s">
        <v>1098</v>
      </c>
    </row>
    <row r="792" spans="1:4" x14ac:dyDescent="0.25">
      <c r="A792" t="s">
        <v>1098</v>
      </c>
    </row>
    <row r="793" spans="1:4" x14ac:dyDescent="0.25">
      <c r="A793" t="s">
        <v>1098</v>
      </c>
      <c r="B793">
        <v>21</v>
      </c>
      <c r="C793">
        <v>128</v>
      </c>
      <c r="D793" t="s">
        <v>904</v>
      </c>
    </row>
    <row r="794" spans="1:4" x14ac:dyDescent="0.25">
      <c r="A794" t="s">
        <v>1098</v>
      </c>
      <c r="B794">
        <v>5</v>
      </c>
      <c r="C794">
        <v>135</v>
      </c>
      <c r="D794" t="s">
        <v>904</v>
      </c>
    </row>
    <row r="795" spans="1:4" x14ac:dyDescent="0.25">
      <c r="A795" t="s">
        <v>1098</v>
      </c>
      <c r="B795">
        <v>6</v>
      </c>
      <c r="C795">
        <v>129</v>
      </c>
      <c r="D795" t="s">
        <v>904</v>
      </c>
    </row>
    <row r="796" spans="1:4" x14ac:dyDescent="0.25">
      <c r="A796" t="s">
        <v>1098</v>
      </c>
      <c r="B796">
        <v>12</v>
      </c>
      <c r="C796">
        <v>131</v>
      </c>
      <c r="D796" t="s">
        <v>904</v>
      </c>
    </row>
    <row r="797" spans="1:4" x14ac:dyDescent="0.25">
      <c r="A797" t="s">
        <v>1098</v>
      </c>
      <c r="B797">
        <v>14</v>
      </c>
      <c r="C797">
        <v>131</v>
      </c>
      <c r="D797" t="s">
        <v>904</v>
      </c>
    </row>
    <row r="798" spans="1:4" x14ac:dyDescent="0.25">
      <c r="A798" t="s">
        <v>1098</v>
      </c>
      <c r="B798">
        <v>1</v>
      </c>
      <c r="C798">
        <v>123</v>
      </c>
      <c r="D798" t="s">
        <v>904</v>
      </c>
    </row>
    <row r="799" spans="1:4" x14ac:dyDescent="0.25">
      <c r="A799" t="s">
        <v>1098</v>
      </c>
      <c r="B799">
        <v>17</v>
      </c>
      <c r="C799">
        <v>132</v>
      </c>
      <c r="D799" t="s">
        <v>904</v>
      </c>
    </row>
    <row r="800" spans="1:4" x14ac:dyDescent="0.25">
      <c r="A800" t="s">
        <v>1098</v>
      </c>
      <c r="B800">
        <v>9</v>
      </c>
      <c r="C800">
        <v>134</v>
      </c>
      <c r="D800" t="s">
        <v>904</v>
      </c>
    </row>
    <row r="801" spans="1:4" x14ac:dyDescent="0.25">
      <c r="A801" t="s">
        <v>1098</v>
      </c>
      <c r="B801">
        <v>16</v>
      </c>
      <c r="C801">
        <v>131</v>
      </c>
      <c r="D801" t="s">
        <v>904</v>
      </c>
    </row>
    <row r="802" spans="1:4" x14ac:dyDescent="0.25">
      <c r="A802" t="s">
        <v>1098</v>
      </c>
      <c r="B802">
        <v>7</v>
      </c>
      <c r="C802">
        <v>135</v>
      </c>
      <c r="D802" t="s">
        <v>904</v>
      </c>
    </row>
    <row r="803" spans="1:4" x14ac:dyDescent="0.25">
      <c r="A803" t="s">
        <v>1098</v>
      </c>
      <c r="B803">
        <v>19</v>
      </c>
      <c r="C803">
        <v>137</v>
      </c>
      <c r="D803" t="s">
        <v>904</v>
      </c>
    </row>
    <row r="804" spans="1:4" x14ac:dyDescent="0.25">
      <c r="A804" t="s">
        <v>1098</v>
      </c>
      <c r="B804">
        <v>11</v>
      </c>
      <c r="C804">
        <v>114</v>
      </c>
      <c r="D804" t="s">
        <v>904</v>
      </c>
    </row>
    <row r="805" spans="1:4" x14ac:dyDescent="0.25">
      <c r="A805" t="s">
        <v>1098</v>
      </c>
      <c r="B805">
        <v>3</v>
      </c>
      <c r="C805">
        <v>135</v>
      </c>
      <c r="D805" t="s">
        <v>904</v>
      </c>
    </row>
    <row r="806" spans="1:4" x14ac:dyDescent="0.25">
      <c r="A806" t="s">
        <v>1098</v>
      </c>
      <c r="B806">
        <v>22</v>
      </c>
      <c r="C806">
        <v>131</v>
      </c>
      <c r="D806" t="s">
        <v>904</v>
      </c>
    </row>
    <row r="807" spans="1:4" x14ac:dyDescent="0.25">
      <c r="A807" t="s">
        <v>1098</v>
      </c>
      <c r="B807">
        <v>20</v>
      </c>
      <c r="C807">
        <v>131</v>
      </c>
      <c r="D807" t="s">
        <v>904</v>
      </c>
    </row>
    <row r="808" spans="1:4" x14ac:dyDescent="0.25">
      <c r="A808" t="s">
        <v>1098</v>
      </c>
      <c r="B808">
        <v>10</v>
      </c>
      <c r="C808">
        <v>131</v>
      </c>
      <c r="D808" t="s">
        <v>904</v>
      </c>
    </row>
    <row r="809" spans="1:4" x14ac:dyDescent="0.25">
      <c r="A809" t="s">
        <v>1098</v>
      </c>
      <c r="B809">
        <v>4</v>
      </c>
      <c r="C809">
        <v>135</v>
      </c>
      <c r="D809" t="s">
        <v>904</v>
      </c>
    </row>
    <row r="810" spans="1:4" x14ac:dyDescent="0.25">
      <c r="A810" t="s">
        <v>1098</v>
      </c>
      <c r="B810">
        <v>2</v>
      </c>
      <c r="C810">
        <v>118</v>
      </c>
      <c r="D810" t="s">
        <v>904</v>
      </c>
    </row>
    <row r="811" spans="1:4" x14ac:dyDescent="0.25">
      <c r="A811" t="s">
        <v>1098</v>
      </c>
      <c r="B811">
        <v>15</v>
      </c>
      <c r="C811">
        <v>139</v>
      </c>
      <c r="D811" t="s">
        <v>904</v>
      </c>
    </row>
    <row r="812" spans="1:4" x14ac:dyDescent="0.25">
      <c r="A812" t="s">
        <v>1098</v>
      </c>
      <c r="B812">
        <v>18</v>
      </c>
      <c r="C812">
        <v>132</v>
      </c>
      <c r="D812" t="s">
        <v>904</v>
      </c>
    </row>
    <row r="813" spans="1:4" x14ac:dyDescent="0.25">
      <c r="A813" t="s">
        <v>1098</v>
      </c>
      <c r="B813">
        <v>8</v>
      </c>
      <c r="C813">
        <v>166</v>
      </c>
      <c r="D813" t="s">
        <v>904</v>
      </c>
    </row>
    <row r="814" spans="1:4" x14ac:dyDescent="0.25">
      <c r="A814" t="s">
        <v>1098</v>
      </c>
      <c r="B814">
        <v>13</v>
      </c>
      <c r="C814">
        <v>131</v>
      </c>
      <c r="D814" t="s">
        <v>904</v>
      </c>
    </row>
    <row r="815" spans="1:4" x14ac:dyDescent="0.25">
      <c r="A815" t="s">
        <v>1098</v>
      </c>
      <c r="B815">
        <v>23</v>
      </c>
      <c r="C815">
        <v>129</v>
      </c>
      <c r="D815" t="s">
        <v>904</v>
      </c>
    </row>
    <row r="816" spans="1:4" x14ac:dyDescent="0.25">
      <c r="A816" t="s">
        <v>1098</v>
      </c>
      <c r="B816">
        <v>33</v>
      </c>
      <c r="C816">
        <v>132</v>
      </c>
      <c r="D816" t="s">
        <v>904</v>
      </c>
    </row>
    <row r="817" spans="1:4" x14ac:dyDescent="0.25">
      <c r="A817" t="s">
        <v>1098</v>
      </c>
      <c r="B817">
        <v>25</v>
      </c>
      <c r="C817">
        <v>118</v>
      </c>
      <c r="D817" t="s">
        <v>904</v>
      </c>
    </row>
    <row r="818" spans="1:4" x14ac:dyDescent="0.25">
      <c r="A818" t="s">
        <v>1098</v>
      </c>
      <c r="B818">
        <v>28</v>
      </c>
      <c r="C818">
        <v>135</v>
      </c>
      <c r="D818" t="s">
        <v>904</v>
      </c>
    </row>
    <row r="819" spans="1:4" x14ac:dyDescent="0.25">
      <c r="A819" t="s">
        <v>1098</v>
      </c>
      <c r="B819">
        <v>26</v>
      </c>
      <c r="C819">
        <v>135</v>
      </c>
      <c r="D819" t="s">
        <v>904</v>
      </c>
    </row>
    <row r="820" spans="1:4" x14ac:dyDescent="0.25">
      <c r="A820" t="s">
        <v>1098</v>
      </c>
      <c r="B820">
        <v>30</v>
      </c>
      <c r="C820">
        <v>135</v>
      </c>
      <c r="D820" t="s">
        <v>904</v>
      </c>
    </row>
    <row r="821" spans="1:4" x14ac:dyDescent="0.25">
      <c r="A821" t="s">
        <v>1098</v>
      </c>
      <c r="B821">
        <v>34</v>
      </c>
      <c r="C821">
        <v>132</v>
      </c>
      <c r="D821" t="s">
        <v>904</v>
      </c>
    </row>
    <row r="822" spans="1:4" x14ac:dyDescent="0.25">
      <c r="A822" t="s">
        <v>1098</v>
      </c>
      <c r="B822">
        <v>29</v>
      </c>
      <c r="C822">
        <v>129</v>
      </c>
      <c r="D822" t="s">
        <v>904</v>
      </c>
    </row>
    <row r="823" spans="1:4" x14ac:dyDescent="0.25">
      <c r="A823" t="s">
        <v>1098</v>
      </c>
      <c r="B823">
        <v>24</v>
      </c>
      <c r="C823">
        <v>123</v>
      </c>
      <c r="D823" t="s">
        <v>904</v>
      </c>
    </row>
    <row r="824" spans="1:4" x14ac:dyDescent="0.25">
      <c r="A824" t="s">
        <v>1098</v>
      </c>
      <c r="B824">
        <v>31</v>
      </c>
      <c r="C824">
        <v>149</v>
      </c>
      <c r="D824" t="s">
        <v>904</v>
      </c>
    </row>
    <row r="825" spans="1:4" x14ac:dyDescent="0.25">
      <c r="A825" t="s">
        <v>1098</v>
      </c>
      <c r="B825">
        <v>32</v>
      </c>
      <c r="C825">
        <v>133</v>
      </c>
      <c r="D825" t="s">
        <v>904</v>
      </c>
    </row>
    <row r="826" spans="1:4" x14ac:dyDescent="0.25">
      <c r="A826" t="s">
        <v>1098</v>
      </c>
      <c r="B826">
        <v>27</v>
      </c>
      <c r="C826">
        <v>135</v>
      </c>
      <c r="D826" t="s">
        <v>904</v>
      </c>
    </row>
    <row r="827" spans="1:4" x14ac:dyDescent="0.25">
      <c r="A827" t="s">
        <v>1099</v>
      </c>
      <c r="B827">
        <v>101</v>
      </c>
      <c r="C827">
        <v>141</v>
      </c>
      <c r="D827" t="s">
        <v>904</v>
      </c>
    </row>
    <row r="828" spans="1:4" x14ac:dyDescent="0.25">
      <c r="A828" t="s">
        <v>1099</v>
      </c>
      <c r="B828">
        <v>173</v>
      </c>
      <c r="C828">
        <v>151</v>
      </c>
      <c r="D828" t="s">
        <v>904</v>
      </c>
    </row>
    <row r="829" spans="1:4" x14ac:dyDescent="0.25">
      <c r="A829" t="s">
        <v>1099</v>
      </c>
      <c r="B829">
        <v>185</v>
      </c>
      <c r="C829">
        <v>126</v>
      </c>
      <c r="D829" t="s">
        <v>904</v>
      </c>
    </row>
    <row r="830" spans="1:4" x14ac:dyDescent="0.25">
      <c r="A830" t="s">
        <v>1099</v>
      </c>
      <c r="B830">
        <v>106</v>
      </c>
      <c r="C830">
        <v>159</v>
      </c>
      <c r="D830" t="s">
        <v>904</v>
      </c>
    </row>
    <row r="831" spans="1:4" x14ac:dyDescent="0.25">
      <c r="A831" t="s">
        <v>1099</v>
      </c>
      <c r="B831">
        <v>164</v>
      </c>
      <c r="C831">
        <v>159</v>
      </c>
      <c r="D831" t="s">
        <v>904</v>
      </c>
    </row>
    <row r="832" spans="1:4" x14ac:dyDescent="0.25">
      <c r="A832" t="s">
        <v>1099</v>
      </c>
      <c r="B832">
        <v>180</v>
      </c>
      <c r="C832">
        <v>140</v>
      </c>
      <c r="D832" t="s">
        <v>904</v>
      </c>
    </row>
    <row r="833" spans="1:4" x14ac:dyDescent="0.25">
      <c r="A833" t="s">
        <v>1099</v>
      </c>
      <c r="B833">
        <v>111</v>
      </c>
      <c r="C833">
        <v>153</v>
      </c>
      <c r="D833" t="s">
        <v>904</v>
      </c>
    </row>
    <row r="834" spans="1:4" x14ac:dyDescent="0.25">
      <c r="A834" t="s">
        <v>1099</v>
      </c>
      <c r="B834">
        <v>179</v>
      </c>
      <c r="C834">
        <v>133</v>
      </c>
      <c r="D834" t="s">
        <v>904</v>
      </c>
    </row>
    <row r="835" spans="1:4" x14ac:dyDescent="0.25">
      <c r="A835" t="s">
        <v>1099</v>
      </c>
      <c r="B835">
        <v>189</v>
      </c>
      <c r="C835">
        <v>126</v>
      </c>
      <c r="D835" t="s">
        <v>904</v>
      </c>
    </row>
    <row r="836" spans="1:4" x14ac:dyDescent="0.25">
      <c r="A836" t="s">
        <v>1099</v>
      </c>
      <c r="B836">
        <v>142</v>
      </c>
      <c r="C836">
        <v>173</v>
      </c>
      <c r="D836" t="s">
        <v>904</v>
      </c>
    </row>
    <row r="837" spans="1:4" x14ac:dyDescent="0.25">
      <c r="A837" t="s">
        <v>1099</v>
      </c>
      <c r="B837">
        <v>165</v>
      </c>
      <c r="C837">
        <v>164</v>
      </c>
      <c r="D837" t="s">
        <v>904</v>
      </c>
    </row>
    <row r="838" spans="1:4" x14ac:dyDescent="0.25">
      <c r="A838" t="s">
        <v>1099</v>
      </c>
      <c r="B838">
        <v>187</v>
      </c>
      <c r="C838">
        <v>137</v>
      </c>
      <c r="D838" t="s">
        <v>904</v>
      </c>
    </row>
    <row r="839" spans="1:4" x14ac:dyDescent="0.25">
      <c r="A839" t="s">
        <v>1099</v>
      </c>
      <c r="B839">
        <v>183</v>
      </c>
      <c r="C839">
        <v>162</v>
      </c>
      <c r="D839" t="s">
        <v>904</v>
      </c>
    </row>
    <row r="840" spans="1:4" x14ac:dyDescent="0.25">
      <c r="A840" t="s">
        <v>1099</v>
      </c>
      <c r="B840">
        <v>175</v>
      </c>
      <c r="C840">
        <v>149</v>
      </c>
      <c r="D840" t="s">
        <v>904</v>
      </c>
    </row>
    <row r="841" spans="1:4" x14ac:dyDescent="0.25">
      <c r="A841" t="s">
        <v>1099</v>
      </c>
      <c r="B841">
        <v>174</v>
      </c>
      <c r="C841">
        <v>155</v>
      </c>
      <c r="D841" t="s">
        <v>904</v>
      </c>
    </row>
    <row r="842" spans="1:4" x14ac:dyDescent="0.25">
      <c r="A842" t="s">
        <v>1099</v>
      </c>
      <c r="B842">
        <v>171</v>
      </c>
      <c r="C842">
        <v>150</v>
      </c>
      <c r="D842" t="s">
        <v>904</v>
      </c>
    </row>
    <row r="843" spans="1:4" x14ac:dyDescent="0.25">
      <c r="A843" t="s">
        <v>1099</v>
      </c>
      <c r="B843">
        <v>117</v>
      </c>
      <c r="C843">
        <v>145</v>
      </c>
      <c r="D843" t="s">
        <v>904</v>
      </c>
    </row>
    <row r="844" spans="1:4" x14ac:dyDescent="0.25">
      <c r="A844" t="s">
        <v>1099</v>
      </c>
      <c r="B844">
        <v>110</v>
      </c>
      <c r="C844">
        <v>149</v>
      </c>
      <c r="D844" t="s">
        <v>904</v>
      </c>
    </row>
    <row r="845" spans="1:4" x14ac:dyDescent="0.25">
      <c r="A845" t="s">
        <v>1099</v>
      </c>
      <c r="B845">
        <v>168</v>
      </c>
      <c r="C845">
        <v>137</v>
      </c>
      <c r="D845" t="s">
        <v>904</v>
      </c>
    </row>
    <row r="846" spans="1:4" x14ac:dyDescent="0.25">
      <c r="A846" t="s">
        <v>1099</v>
      </c>
      <c r="B846">
        <v>177</v>
      </c>
      <c r="C846">
        <v>148</v>
      </c>
      <c r="D846" t="s">
        <v>904</v>
      </c>
    </row>
    <row r="847" spans="1:4" x14ac:dyDescent="0.25">
      <c r="A847" t="s">
        <v>1099</v>
      </c>
      <c r="B847">
        <v>162</v>
      </c>
      <c r="C847">
        <v>159</v>
      </c>
      <c r="D847" t="s">
        <v>904</v>
      </c>
    </row>
    <row r="848" spans="1:4" x14ac:dyDescent="0.25">
      <c r="A848" t="s">
        <v>1099</v>
      </c>
      <c r="B848">
        <v>145</v>
      </c>
      <c r="C848">
        <v>142</v>
      </c>
      <c r="D848" t="s">
        <v>904</v>
      </c>
    </row>
    <row r="849" spans="1:4" x14ac:dyDescent="0.25">
      <c r="A849" t="s">
        <v>1099</v>
      </c>
      <c r="B849">
        <v>163</v>
      </c>
      <c r="C849">
        <v>212</v>
      </c>
      <c r="D849" t="s">
        <v>905</v>
      </c>
    </row>
    <row r="850" spans="1:4" x14ac:dyDescent="0.25">
      <c r="A850" t="s">
        <v>1099</v>
      </c>
      <c r="B850">
        <v>172</v>
      </c>
      <c r="C850">
        <v>157</v>
      </c>
      <c r="D850" t="s">
        <v>904</v>
      </c>
    </row>
    <row r="851" spans="1:4" x14ac:dyDescent="0.25">
      <c r="A851" t="s">
        <v>1099</v>
      </c>
      <c r="B851">
        <v>181</v>
      </c>
      <c r="C851">
        <v>146</v>
      </c>
      <c r="D851" t="s">
        <v>904</v>
      </c>
    </row>
    <row r="852" spans="1:4" x14ac:dyDescent="0.25">
      <c r="A852" t="s">
        <v>1099</v>
      </c>
      <c r="B852">
        <v>113</v>
      </c>
      <c r="C852">
        <v>130</v>
      </c>
      <c r="D852" t="s">
        <v>904</v>
      </c>
    </row>
    <row r="853" spans="1:4" x14ac:dyDescent="0.25">
      <c r="A853" t="s">
        <v>1099</v>
      </c>
      <c r="B853">
        <v>147</v>
      </c>
      <c r="C853">
        <v>157</v>
      </c>
      <c r="D853" t="s">
        <v>904</v>
      </c>
    </row>
    <row r="854" spans="1:4" x14ac:dyDescent="0.25">
      <c r="A854" t="s">
        <v>1099</v>
      </c>
      <c r="B854">
        <v>167</v>
      </c>
      <c r="C854">
        <v>124</v>
      </c>
      <c r="D854" t="s">
        <v>904</v>
      </c>
    </row>
    <row r="855" spans="1:4" x14ac:dyDescent="0.25">
      <c r="A855" t="s">
        <v>1099</v>
      </c>
      <c r="B855">
        <v>116</v>
      </c>
      <c r="C855">
        <v>116</v>
      </c>
      <c r="D855" t="s">
        <v>904</v>
      </c>
    </row>
    <row r="856" spans="1:4" x14ac:dyDescent="0.25">
      <c r="A856" t="s">
        <v>1099</v>
      </c>
      <c r="B856">
        <v>108</v>
      </c>
      <c r="C856">
        <v>157</v>
      </c>
      <c r="D856" t="s">
        <v>904</v>
      </c>
    </row>
    <row r="857" spans="1:4" x14ac:dyDescent="0.25">
      <c r="A857" t="s">
        <v>1099</v>
      </c>
      <c r="B857">
        <v>102</v>
      </c>
      <c r="C857">
        <v>363</v>
      </c>
      <c r="D857" t="s">
        <v>909</v>
      </c>
    </row>
    <row r="858" spans="1:4" x14ac:dyDescent="0.25">
      <c r="A858" t="s">
        <v>1099</v>
      </c>
      <c r="B858">
        <v>144</v>
      </c>
      <c r="C858">
        <v>198</v>
      </c>
      <c r="D858" t="s">
        <v>905</v>
      </c>
    </row>
    <row r="859" spans="1:4" x14ac:dyDescent="0.25">
      <c r="A859" t="s">
        <v>1099</v>
      </c>
      <c r="B859">
        <v>178</v>
      </c>
      <c r="C859">
        <v>252</v>
      </c>
      <c r="D859" t="s">
        <v>905</v>
      </c>
    </row>
    <row r="860" spans="1:4" x14ac:dyDescent="0.25">
      <c r="A860" t="s">
        <v>1099</v>
      </c>
      <c r="B860">
        <v>114</v>
      </c>
      <c r="C860">
        <v>135</v>
      </c>
      <c r="D860" t="s">
        <v>904</v>
      </c>
    </row>
    <row r="861" spans="1:4" x14ac:dyDescent="0.25">
      <c r="A861" t="s">
        <v>1099</v>
      </c>
      <c r="B861">
        <v>109</v>
      </c>
      <c r="C861">
        <v>218</v>
      </c>
      <c r="D861" t="s">
        <v>905</v>
      </c>
    </row>
    <row r="862" spans="1:4" x14ac:dyDescent="0.25">
      <c r="A862" t="s">
        <v>1099</v>
      </c>
      <c r="B862">
        <v>127</v>
      </c>
      <c r="C862">
        <v>146</v>
      </c>
      <c r="D862" t="s">
        <v>908</v>
      </c>
    </row>
    <row r="863" spans="1:4" x14ac:dyDescent="0.25">
      <c r="A863" t="s">
        <v>1099</v>
      </c>
      <c r="B863">
        <v>176</v>
      </c>
      <c r="C863">
        <v>135</v>
      </c>
      <c r="D863" t="s">
        <v>904</v>
      </c>
    </row>
    <row r="864" spans="1:4" x14ac:dyDescent="0.25">
      <c r="A864" t="s">
        <v>1099</v>
      </c>
      <c r="B864">
        <v>182</v>
      </c>
      <c r="C864">
        <v>162</v>
      </c>
      <c r="D864" t="s">
        <v>904</v>
      </c>
    </row>
    <row r="865" spans="1:4" x14ac:dyDescent="0.25">
      <c r="A865" t="s">
        <v>1099</v>
      </c>
      <c r="B865">
        <v>184</v>
      </c>
      <c r="C865">
        <v>167</v>
      </c>
      <c r="D865" t="s">
        <v>904</v>
      </c>
    </row>
    <row r="866" spans="1:4" x14ac:dyDescent="0.25">
      <c r="A866" t="s">
        <v>1099</v>
      </c>
      <c r="B866">
        <v>170</v>
      </c>
      <c r="C866">
        <v>132</v>
      </c>
      <c r="D866" t="s">
        <v>904</v>
      </c>
    </row>
    <row r="867" spans="1:4" x14ac:dyDescent="0.25">
      <c r="A867" t="s">
        <v>1099</v>
      </c>
      <c r="B867">
        <v>123</v>
      </c>
      <c r="C867">
        <v>120</v>
      </c>
      <c r="D867" t="s">
        <v>904</v>
      </c>
    </row>
    <row r="868" spans="1:4" x14ac:dyDescent="0.25">
      <c r="A868" t="s">
        <v>1099</v>
      </c>
      <c r="B868">
        <v>119</v>
      </c>
      <c r="C868">
        <v>167</v>
      </c>
      <c r="D868" t="s">
        <v>904</v>
      </c>
    </row>
    <row r="869" spans="1:4" x14ac:dyDescent="0.25">
      <c r="A869" t="s">
        <v>1099</v>
      </c>
      <c r="B869">
        <v>125</v>
      </c>
      <c r="C869">
        <v>120</v>
      </c>
      <c r="D869" t="s">
        <v>904</v>
      </c>
    </row>
    <row r="870" spans="1:4" x14ac:dyDescent="0.25">
      <c r="A870" t="s">
        <v>1099</v>
      </c>
      <c r="B870">
        <v>120</v>
      </c>
      <c r="C870">
        <v>102</v>
      </c>
      <c r="D870" t="s">
        <v>905</v>
      </c>
    </row>
    <row r="871" spans="1:4" x14ac:dyDescent="0.25">
      <c r="A871" t="s">
        <v>1099</v>
      </c>
      <c r="B871">
        <v>104</v>
      </c>
      <c r="C871">
        <v>125</v>
      </c>
      <c r="D871" t="s">
        <v>904</v>
      </c>
    </row>
    <row r="872" spans="1:4" x14ac:dyDescent="0.25">
      <c r="A872" t="s">
        <v>1099</v>
      </c>
      <c r="B872">
        <v>1</v>
      </c>
      <c r="C872">
        <v>301</v>
      </c>
      <c r="D872" t="s">
        <v>905</v>
      </c>
    </row>
    <row r="873" spans="1:4" x14ac:dyDescent="0.25">
      <c r="A873" t="s">
        <v>1099</v>
      </c>
      <c r="B873">
        <v>85</v>
      </c>
      <c r="C873">
        <v>176</v>
      </c>
      <c r="D873" t="s">
        <v>904</v>
      </c>
    </row>
    <row r="874" spans="1:4" x14ac:dyDescent="0.25">
      <c r="A874" t="s">
        <v>1099</v>
      </c>
      <c r="B874">
        <v>3</v>
      </c>
      <c r="C874">
        <v>159</v>
      </c>
      <c r="D874" t="s">
        <v>904</v>
      </c>
    </row>
    <row r="875" spans="1:4" x14ac:dyDescent="0.25">
      <c r="A875" t="s">
        <v>1099</v>
      </c>
      <c r="B875">
        <v>11</v>
      </c>
      <c r="C875">
        <v>139</v>
      </c>
      <c r="D875" t="s">
        <v>905</v>
      </c>
    </row>
    <row r="876" spans="1:4" x14ac:dyDescent="0.25">
      <c r="A876" t="s">
        <v>1099</v>
      </c>
      <c r="B876">
        <v>13</v>
      </c>
      <c r="C876">
        <v>133</v>
      </c>
      <c r="D876" t="s">
        <v>904</v>
      </c>
    </row>
    <row r="877" spans="1:4" x14ac:dyDescent="0.25">
      <c r="A877" t="s">
        <v>1099</v>
      </c>
      <c r="B877">
        <v>79</v>
      </c>
      <c r="C877">
        <v>153</v>
      </c>
      <c r="D877" t="s">
        <v>904</v>
      </c>
    </row>
    <row r="878" spans="1:4" x14ac:dyDescent="0.25">
      <c r="A878" t="s">
        <v>1099</v>
      </c>
      <c r="B878">
        <v>80</v>
      </c>
      <c r="C878">
        <v>129</v>
      </c>
      <c r="D878" t="s">
        <v>904</v>
      </c>
    </row>
    <row r="879" spans="1:4" x14ac:dyDescent="0.25">
      <c r="A879" t="s">
        <v>1099</v>
      </c>
      <c r="B879">
        <v>73</v>
      </c>
      <c r="C879">
        <v>147</v>
      </c>
      <c r="D879" t="s">
        <v>904</v>
      </c>
    </row>
    <row r="880" spans="1:4" x14ac:dyDescent="0.25">
      <c r="A880" t="s">
        <v>1099</v>
      </c>
      <c r="B880">
        <v>71</v>
      </c>
      <c r="C880">
        <v>147</v>
      </c>
      <c r="D880" t="s">
        <v>904</v>
      </c>
    </row>
    <row r="881" spans="1:4" x14ac:dyDescent="0.25">
      <c r="A881" t="s">
        <v>1099</v>
      </c>
      <c r="B881">
        <v>77</v>
      </c>
      <c r="C881">
        <v>147</v>
      </c>
      <c r="D881" t="s">
        <v>904</v>
      </c>
    </row>
    <row r="882" spans="1:4" x14ac:dyDescent="0.25">
      <c r="A882" t="s">
        <v>1099</v>
      </c>
      <c r="B882">
        <v>7</v>
      </c>
      <c r="C882">
        <v>111</v>
      </c>
      <c r="D882" t="s">
        <v>904</v>
      </c>
    </row>
    <row r="883" spans="1:4" x14ac:dyDescent="0.25">
      <c r="A883" t="s">
        <v>1099</v>
      </c>
      <c r="B883">
        <v>65</v>
      </c>
      <c r="C883">
        <v>158</v>
      </c>
      <c r="D883" t="s">
        <v>904</v>
      </c>
    </row>
    <row r="884" spans="1:4" x14ac:dyDescent="0.25">
      <c r="A884" t="s">
        <v>1099</v>
      </c>
      <c r="B884">
        <v>17</v>
      </c>
      <c r="C884">
        <v>156</v>
      </c>
      <c r="D884" t="s">
        <v>908</v>
      </c>
    </row>
    <row r="885" spans="1:4" x14ac:dyDescent="0.25">
      <c r="A885" t="s">
        <v>1099</v>
      </c>
      <c r="B885">
        <v>87</v>
      </c>
      <c r="C885">
        <v>253</v>
      </c>
      <c r="D885" t="s">
        <v>905</v>
      </c>
    </row>
    <row r="886" spans="1:4" x14ac:dyDescent="0.25">
      <c r="A886" t="s">
        <v>1099</v>
      </c>
      <c r="B886">
        <v>67</v>
      </c>
      <c r="C886">
        <v>114</v>
      </c>
      <c r="D886" t="s">
        <v>904</v>
      </c>
    </row>
    <row r="887" spans="1:4" x14ac:dyDescent="0.25">
      <c r="A887" t="s">
        <v>1099</v>
      </c>
      <c r="B887">
        <v>82</v>
      </c>
      <c r="C887">
        <v>151</v>
      </c>
      <c r="D887" t="s">
        <v>904</v>
      </c>
    </row>
    <row r="888" spans="1:4" x14ac:dyDescent="0.25">
      <c r="A888" t="s">
        <v>1099</v>
      </c>
      <c r="B888">
        <v>9</v>
      </c>
      <c r="C888">
        <v>280</v>
      </c>
      <c r="D888" t="s">
        <v>905</v>
      </c>
    </row>
    <row r="889" spans="1:4" x14ac:dyDescent="0.25">
      <c r="A889" t="s">
        <v>1099</v>
      </c>
      <c r="B889">
        <v>84</v>
      </c>
      <c r="C889">
        <v>123</v>
      </c>
      <c r="D889" t="s">
        <v>904</v>
      </c>
    </row>
    <row r="890" spans="1:4" x14ac:dyDescent="0.25">
      <c r="A890" t="s">
        <v>1099</v>
      </c>
      <c r="B890">
        <v>86</v>
      </c>
      <c r="C890">
        <v>153</v>
      </c>
      <c r="D890" t="s">
        <v>904</v>
      </c>
    </row>
    <row r="891" spans="1:4" x14ac:dyDescent="0.25">
      <c r="A891" t="s">
        <v>1099</v>
      </c>
      <c r="B891">
        <v>81</v>
      </c>
      <c r="C891">
        <v>269</v>
      </c>
      <c r="D891" t="s">
        <v>905</v>
      </c>
    </row>
    <row r="892" spans="1:4" x14ac:dyDescent="0.25">
      <c r="A892" t="s">
        <v>1099</v>
      </c>
      <c r="B892">
        <v>69</v>
      </c>
      <c r="C892">
        <v>126</v>
      </c>
      <c r="D892" t="s">
        <v>904</v>
      </c>
    </row>
    <row r="893" spans="1:4" x14ac:dyDescent="0.25">
      <c r="A893" t="s">
        <v>1099</v>
      </c>
      <c r="B893">
        <v>2</v>
      </c>
      <c r="C893">
        <v>175</v>
      </c>
      <c r="D893" t="s">
        <v>904</v>
      </c>
    </row>
    <row r="894" spans="1:4" x14ac:dyDescent="0.25">
      <c r="A894" t="s">
        <v>1099</v>
      </c>
      <c r="B894">
        <v>5</v>
      </c>
      <c r="C894">
        <v>125</v>
      </c>
      <c r="D894" t="s">
        <v>904</v>
      </c>
    </row>
    <row r="895" spans="1:4" x14ac:dyDescent="0.25">
      <c r="A895" t="s">
        <v>1099</v>
      </c>
      <c r="B895">
        <v>15</v>
      </c>
      <c r="C895">
        <v>116</v>
      </c>
      <c r="D895" t="s">
        <v>904</v>
      </c>
    </row>
    <row r="896" spans="1:4" x14ac:dyDescent="0.25">
      <c r="A896" t="s">
        <v>1099</v>
      </c>
      <c r="B896">
        <v>83</v>
      </c>
      <c r="C896">
        <v>188</v>
      </c>
      <c r="D896" t="s">
        <v>904</v>
      </c>
    </row>
    <row r="897" spans="1:4" x14ac:dyDescent="0.25">
      <c r="A897" t="s">
        <v>1099</v>
      </c>
      <c r="B897">
        <v>75</v>
      </c>
      <c r="C897">
        <v>147</v>
      </c>
      <c r="D897" t="s">
        <v>904</v>
      </c>
    </row>
    <row r="898" spans="1:4" x14ac:dyDescent="0.25">
      <c r="A898" t="s">
        <v>1099</v>
      </c>
      <c r="B898">
        <v>279</v>
      </c>
      <c r="C898">
        <v>154</v>
      </c>
      <c r="D898" t="s">
        <v>904</v>
      </c>
    </row>
    <row r="899" spans="1:4" x14ac:dyDescent="0.25">
      <c r="A899" t="s">
        <v>1099</v>
      </c>
      <c r="B899">
        <v>280</v>
      </c>
      <c r="C899">
        <v>128</v>
      </c>
      <c r="D899" t="s">
        <v>904</v>
      </c>
    </row>
    <row r="900" spans="1:4" x14ac:dyDescent="0.25">
      <c r="A900" t="s">
        <v>1099</v>
      </c>
      <c r="B900">
        <v>272</v>
      </c>
      <c r="C900">
        <v>156</v>
      </c>
      <c r="D900" t="s">
        <v>904</v>
      </c>
    </row>
    <row r="901" spans="1:4" x14ac:dyDescent="0.25">
      <c r="A901" t="s">
        <v>1099</v>
      </c>
      <c r="B901">
        <v>287</v>
      </c>
      <c r="C901">
        <v>118</v>
      </c>
      <c r="D901" t="s">
        <v>904</v>
      </c>
    </row>
    <row r="902" spans="1:4" x14ac:dyDescent="0.25">
      <c r="A902" t="s">
        <v>1099</v>
      </c>
      <c r="B902">
        <v>245</v>
      </c>
      <c r="C902">
        <v>142</v>
      </c>
      <c r="D902" t="s">
        <v>904</v>
      </c>
    </row>
    <row r="903" spans="1:4" x14ac:dyDescent="0.25">
      <c r="A903" t="s">
        <v>1099</v>
      </c>
      <c r="B903">
        <v>286</v>
      </c>
      <c r="C903">
        <v>125</v>
      </c>
      <c r="D903" t="s">
        <v>904</v>
      </c>
    </row>
    <row r="904" spans="1:4" x14ac:dyDescent="0.25">
      <c r="A904" t="s">
        <v>1099</v>
      </c>
      <c r="B904">
        <v>275</v>
      </c>
      <c r="C904">
        <v>199</v>
      </c>
      <c r="D904" t="s">
        <v>905</v>
      </c>
    </row>
    <row r="905" spans="1:4" x14ac:dyDescent="0.25">
      <c r="A905" t="s">
        <v>1099</v>
      </c>
      <c r="B905">
        <v>274</v>
      </c>
      <c r="C905">
        <v>156</v>
      </c>
      <c r="D905" t="s">
        <v>904</v>
      </c>
    </row>
    <row r="906" spans="1:4" x14ac:dyDescent="0.25">
      <c r="A906" t="s">
        <v>1099</v>
      </c>
      <c r="B906">
        <v>204</v>
      </c>
      <c r="C906">
        <v>154</v>
      </c>
      <c r="D906" t="s">
        <v>904</v>
      </c>
    </row>
    <row r="907" spans="1:4" x14ac:dyDescent="0.25">
      <c r="A907" t="s">
        <v>1099</v>
      </c>
      <c r="B907">
        <v>237</v>
      </c>
      <c r="C907">
        <v>150</v>
      </c>
      <c r="D907" t="s">
        <v>904</v>
      </c>
    </row>
    <row r="908" spans="1:4" x14ac:dyDescent="0.25">
      <c r="A908" t="s">
        <v>1099</v>
      </c>
      <c r="B908">
        <v>209</v>
      </c>
      <c r="C908">
        <v>255</v>
      </c>
      <c r="D908" t="s">
        <v>905</v>
      </c>
    </row>
    <row r="909" spans="1:4" x14ac:dyDescent="0.25">
      <c r="A909" t="s">
        <v>1099</v>
      </c>
      <c r="B909">
        <v>268</v>
      </c>
      <c r="C909">
        <v>133</v>
      </c>
      <c r="D909" t="s">
        <v>904</v>
      </c>
    </row>
    <row r="910" spans="1:4" x14ac:dyDescent="0.25">
      <c r="A910" t="s">
        <v>1099</v>
      </c>
      <c r="B910">
        <v>250</v>
      </c>
    </row>
    <row r="911" spans="1:4" x14ac:dyDescent="0.25">
      <c r="A911" t="s">
        <v>1099</v>
      </c>
      <c r="B911">
        <v>227</v>
      </c>
      <c r="C911">
        <v>150</v>
      </c>
      <c r="D911" t="s">
        <v>904</v>
      </c>
    </row>
    <row r="912" spans="1:4" x14ac:dyDescent="0.25">
      <c r="A912" t="s">
        <v>1099</v>
      </c>
      <c r="B912">
        <v>234</v>
      </c>
      <c r="C912">
        <v>187</v>
      </c>
      <c r="D912" t="s">
        <v>905</v>
      </c>
    </row>
    <row r="913" spans="1:4" x14ac:dyDescent="0.25">
      <c r="A913" t="s">
        <v>1099</v>
      </c>
      <c r="B913">
        <v>249</v>
      </c>
      <c r="C913">
        <v>158</v>
      </c>
      <c r="D913" t="s">
        <v>904</v>
      </c>
    </row>
    <row r="914" spans="1:4" x14ac:dyDescent="0.25">
      <c r="A914" t="s">
        <v>1099</v>
      </c>
      <c r="B914">
        <v>284</v>
      </c>
      <c r="C914">
        <v>109</v>
      </c>
      <c r="D914" t="s">
        <v>904</v>
      </c>
    </row>
    <row r="915" spans="1:4" x14ac:dyDescent="0.25">
      <c r="A915" t="s">
        <v>1099</v>
      </c>
      <c r="B915">
        <v>282</v>
      </c>
      <c r="C915">
        <v>132</v>
      </c>
      <c r="D915" t="s">
        <v>904</v>
      </c>
    </row>
    <row r="916" spans="1:4" x14ac:dyDescent="0.25">
      <c r="A916" t="s">
        <v>1099</v>
      </c>
      <c r="B916">
        <v>228</v>
      </c>
      <c r="C916">
        <v>197</v>
      </c>
      <c r="D916" t="s">
        <v>905</v>
      </c>
    </row>
    <row r="917" spans="1:4" x14ac:dyDescent="0.25">
      <c r="A917" t="s">
        <v>1099</v>
      </c>
      <c r="B917">
        <v>217</v>
      </c>
      <c r="C917">
        <v>152</v>
      </c>
      <c r="D917" t="s">
        <v>904</v>
      </c>
    </row>
    <row r="918" spans="1:4" x14ac:dyDescent="0.25">
      <c r="A918" t="s">
        <v>1099</v>
      </c>
      <c r="B918">
        <v>240</v>
      </c>
      <c r="C918">
        <v>147</v>
      </c>
      <c r="D918" t="s">
        <v>904</v>
      </c>
    </row>
    <row r="919" spans="1:4" x14ac:dyDescent="0.25">
      <c r="A919" t="s">
        <v>1099</v>
      </c>
      <c r="B919">
        <v>231</v>
      </c>
      <c r="C919">
        <v>152</v>
      </c>
      <c r="D919" t="s">
        <v>904</v>
      </c>
    </row>
    <row r="920" spans="1:4" x14ac:dyDescent="0.25">
      <c r="A920" t="s">
        <v>1099</v>
      </c>
      <c r="B920">
        <v>214</v>
      </c>
      <c r="C920">
        <v>152</v>
      </c>
      <c r="D920" t="s">
        <v>904</v>
      </c>
    </row>
    <row r="921" spans="1:4" x14ac:dyDescent="0.25">
      <c r="A921" t="s">
        <v>1099</v>
      </c>
      <c r="B921">
        <v>211</v>
      </c>
      <c r="C921">
        <v>148</v>
      </c>
      <c r="D921" t="s">
        <v>904</v>
      </c>
    </row>
    <row r="922" spans="1:4" x14ac:dyDescent="0.25">
      <c r="A922" t="s">
        <v>1099</v>
      </c>
      <c r="B922">
        <v>267</v>
      </c>
      <c r="C922">
        <v>146</v>
      </c>
      <c r="D922" t="s">
        <v>904</v>
      </c>
    </row>
    <row r="923" spans="1:4" x14ac:dyDescent="0.25">
      <c r="A923" t="s">
        <v>1099</v>
      </c>
      <c r="B923">
        <v>239</v>
      </c>
      <c r="C923">
        <v>149</v>
      </c>
      <c r="D923" t="s">
        <v>904</v>
      </c>
    </row>
    <row r="924" spans="1:4" x14ac:dyDescent="0.25">
      <c r="A924" t="s">
        <v>1099</v>
      </c>
      <c r="B924">
        <v>233</v>
      </c>
      <c r="C924">
        <v>250</v>
      </c>
      <c r="D924" t="s">
        <v>905</v>
      </c>
    </row>
    <row r="925" spans="1:4" x14ac:dyDescent="0.25">
      <c r="A925" t="s">
        <v>1099</v>
      </c>
      <c r="B925">
        <v>265</v>
      </c>
      <c r="C925">
        <v>167</v>
      </c>
      <c r="D925" t="s">
        <v>908</v>
      </c>
    </row>
    <row r="926" spans="1:4" x14ac:dyDescent="0.25">
      <c r="A926" t="s">
        <v>1099</v>
      </c>
      <c r="B926">
        <v>263</v>
      </c>
      <c r="C926">
        <v>199</v>
      </c>
      <c r="D926" t="s">
        <v>905</v>
      </c>
    </row>
    <row r="927" spans="1:4" x14ac:dyDescent="0.25">
      <c r="A927" t="s">
        <v>1099</v>
      </c>
      <c r="B927">
        <v>251</v>
      </c>
      <c r="C927">
        <v>146</v>
      </c>
      <c r="D927" t="s">
        <v>904</v>
      </c>
    </row>
    <row r="928" spans="1:4" x14ac:dyDescent="0.25">
      <c r="A928" t="s">
        <v>1099</v>
      </c>
      <c r="B928">
        <v>273</v>
      </c>
      <c r="C928">
        <v>239</v>
      </c>
      <c r="D928" t="s">
        <v>905</v>
      </c>
    </row>
    <row r="929" spans="1:4" x14ac:dyDescent="0.25">
      <c r="A929" t="s">
        <v>1099</v>
      </c>
      <c r="B929">
        <v>208</v>
      </c>
      <c r="C929">
        <v>166</v>
      </c>
      <c r="D929" t="s">
        <v>904</v>
      </c>
    </row>
    <row r="930" spans="1:4" x14ac:dyDescent="0.25">
      <c r="A930" t="s">
        <v>1099</v>
      </c>
      <c r="B930">
        <v>264</v>
      </c>
      <c r="C930">
        <v>148</v>
      </c>
      <c r="D930" t="s">
        <v>904</v>
      </c>
    </row>
    <row r="931" spans="1:4" x14ac:dyDescent="0.25">
      <c r="A931" t="s">
        <v>1099</v>
      </c>
      <c r="B931">
        <v>220</v>
      </c>
    </row>
    <row r="932" spans="1:4" x14ac:dyDescent="0.25">
      <c r="A932" t="s">
        <v>1099</v>
      </c>
      <c r="B932">
        <v>262</v>
      </c>
      <c r="C932">
        <v>165</v>
      </c>
      <c r="D932" t="s">
        <v>904</v>
      </c>
    </row>
    <row r="933" spans="1:4" x14ac:dyDescent="0.25">
      <c r="A933" t="s">
        <v>1099</v>
      </c>
      <c r="B933">
        <v>219</v>
      </c>
      <c r="C933">
        <v>164</v>
      </c>
      <c r="D933" t="s">
        <v>904</v>
      </c>
    </row>
    <row r="934" spans="1:4" x14ac:dyDescent="0.25">
      <c r="A934" t="s">
        <v>1099</v>
      </c>
      <c r="B934">
        <v>281</v>
      </c>
      <c r="C934">
        <v>156</v>
      </c>
      <c r="D934" t="s">
        <v>904</v>
      </c>
    </row>
    <row r="935" spans="1:4" x14ac:dyDescent="0.25">
      <c r="A935" t="s">
        <v>1099</v>
      </c>
      <c r="B935">
        <v>244</v>
      </c>
      <c r="C935">
        <v>145</v>
      </c>
      <c r="D935" t="s">
        <v>904</v>
      </c>
    </row>
    <row r="936" spans="1:4" x14ac:dyDescent="0.25">
      <c r="A936" t="s">
        <v>1099</v>
      </c>
      <c r="B936">
        <v>226</v>
      </c>
      <c r="C936">
        <v>171</v>
      </c>
      <c r="D936" t="s">
        <v>904</v>
      </c>
    </row>
    <row r="937" spans="1:4" x14ac:dyDescent="0.25">
      <c r="A937" t="s">
        <v>1099</v>
      </c>
      <c r="B937">
        <v>201</v>
      </c>
      <c r="C937">
        <v>156</v>
      </c>
      <c r="D937" t="s">
        <v>904</v>
      </c>
    </row>
    <row r="938" spans="1:4" x14ac:dyDescent="0.25">
      <c r="A938" t="s">
        <v>1099</v>
      </c>
      <c r="B938">
        <v>259</v>
      </c>
      <c r="C938">
        <v>116</v>
      </c>
      <c r="D938" t="s">
        <v>904</v>
      </c>
    </row>
    <row r="939" spans="1:4" x14ac:dyDescent="0.25">
      <c r="A939" t="s">
        <v>1099</v>
      </c>
      <c r="B939">
        <v>270</v>
      </c>
      <c r="C939">
        <v>141</v>
      </c>
      <c r="D939" t="s">
        <v>904</v>
      </c>
    </row>
    <row r="940" spans="1:4" x14ac:dyDescent="0.25">
      <c r="A940" t="s">
        <v>1099</v>
      </c>
      <c r="B940">
        <v>229</v>
      </c>
      <c r="C940">
        <v>138</v>
      </c>
      <c r="D940" t="s">
        <v>904</v>
      </c>
    </row>
    <row r="941" spans="1:4" x14ac:dyDescent="0.25">
      <c r="A941" t="s">
        <v>1099</v>
      </c>
      <c r="B941">
        <v>242</v>
      </c>
      <c r="C941">
        <v>150</v>
      </c>
      <c r="D941" t="s">
        <v>904</v>
      </c>
    </row>
    <row r="942" spans="1:4" x14ac:dyDescent="0.25">
      <c r="A942" t="s">
        <v>1099</v>
      </c>
      <c r="B942">
        <v>277</v>
      </c>
      <c r="C942">
        <v>132</v>
      </c>
      <c r="D942" t="s">
        <v>904</v>
      </c>
    </row>
    <row r="943" spans="1:4" x14ac:dyDescent="0.25">
      <c r="A943" t="s">
        <v>1099</v>
      </c>
      <c r="B943">
        <v>232</v>
      </c>
      <c r="C943">
        <v>155</v>
      </c>
      <c r="D943" t="s">
        <v>904</v>
      </c>
    </row>
    <row r="944" spans="1:4" x14ac:dyDescent="0.25">
      <c r="A944" t="s">
        <v>1099</v>
      </c>
      <c r="B944">
        <v>223</v>
      </c>
      <c r="C944">
        <v>120</v>
      </c>
      <c r="D944" t="s">
        <v>904</v>
      </c>
    </row>
    <row r="945" spans="1:4" x14ac:dyDescent="0.25">
      <c r="A945" t="s">
        <v>1099</v>
      </c>
      <c r="B945">
        <v>202</v>
      </c>
      <c r="C945">
        <v>191</v>
      </c>
      <c r="D945" t="s">
        <v>905</v>
      </c>
    </row>
    <row r="946" spans="1:4" x14ac:dyDescent="0.25">
      <c r="A946" t="s">
        <v>1099</v>
      </c>
      <c r="B946">
        <v>257</v>
      </c>
      <c r="C946">
        <v>102</v>
      </c>
      <c r="D946" t="s">
        <v>904</v>
      </c>
    </row>
    <row r="947" spans="1:4" x14ac:dyDescent="0.25">
      <c r="A947" t="s">
        <v>1099</v>
      </c>
      <c r="B947">
        <v>285</v>
      </c>
      <c r="C947">
        <v>143</v>
      </c>
      <c r="D947" t="s">
        <v>904</v>
      </c>
    </row>
    <row r="948" spans="1:4" x14ac:dyDescent="0.25">
      <c r="A948" t="s">
        <v>1099</v>
      </c>
      <c r="B948">
        <v>276</v>
      </c>
      <c r="C948">
        <v>115</v>
      </c>
      <c r="D948" t="s">
        <v>904</v>
      </c>
    </row>
    <row r="949" spans="1:4" x14ac:dyDescent="0.25">
      <c r="A949" t="s">
        <v>1099</v>
      </c>
      <c r="B949">
        <v>238</v>
      </c>
      <c r="C949">
        <v>156</v>
      </c>
      <c r="D949" t="s">
        <v>904</v>
      </c>
    </row>
    <row r="950" spans="1:4" x14ac:dyDescent="0.25">
      <c r="A950" t="s">
        <v>1099</v>
      </c>
      <c r="B950">
        <v>243</v>
      </c>
      <c r="C950">
        <v>129</v>
      </c>
      <c r="D950" t="s">
        <v>904</v>
      </c>
    </row>
    <row r="951" spans="1:4" x14ac:dyDescent="0.25">
      <c r="A951" t="s">
        <v>1099</v>
      </c>
      <c r="B951">
        <v>255</v>
      </c>
      <c r="C951">
        <v>101</v>
      </c>
      <c r="D951" t="s">
        <v>904</v>
      </c>
    </row>
    <row r="952" spans="1:4" x14ac:dyDescent="0.25">
      <c r="A952" t="s">
        <v>1099</v>
      </c>
      <c r="B952">
        <v>225</v>
      </c>
      <c r="C952">
        <v>123</v>
      </c>
      <c r="D952" t="s">
        <v>904</v>
      </c>
    </row>
    <row r="953" spans="1:4" x14ac:dyDescent="0.25">
      <c r="A953" t="s">
        <v>1099</v>
      </c>
      <c r="B953">
        <v>213</v>
      </c>
      <c r="C953">
        <v>132</v>
      </c>
      <c r="D953" t="s">
        <v>904</v>
      </c>
    </row>
    <row r="954" spans="1:4" x14ac:dyDescent="0.25">
      <c r="A954" t="s">
        <v>1099</v>
      </c>
      <c r="B954">
        <v>271</v>
      </c>
      <c r="C954">
        <v>157</v>
      </c>
      <c r="D954" t="s">
        <v>904</v>
      </c>
    </row>
    <row r="955" spans="1:4" x14ac:dyDescent="0.25">
      <c r="A955" t="s">
        <v>1099</v>
      </c>
      <c r="B955">
        <v>278</v>
      </c>
      <c r="C955">
        <v>249</v>
      </c>
      <c r="D955" t="s">
        <v>905</v>
      </c>
    </row>
    <row r="956" spans="1:4" x14ac:dyDescent="0.25">
      <c r="A956" t="s">
        <v>1099</v>
      </c>
      <c r="B956">
        <v>241</v>
      </c>
      <c r="C956">
        <v>138</v>
      </c>
      <c r="D956" t="s">
        <v>904</v>
      </c>
    </row>
    <row r="957" spans="1:4" x14ac:dyDescent="0.25">
      <c r="A957" t="s">
        <v>1099</v>
      </c>
      <c r="B957">
        <v>210</v>
      </c>
      <c r="C957">
        <v>144</v>
      </c>
      <c r="D957" t="s">
        <v>904</v>
      </c>
    </row>
    <row r="958" spans="1:4" x14ac:dyDescent="0.25">
      <c r="A958" t="s">
        <v>1099</v>
      </c>
      <c r="B958">
        <v>216</v>
      </c>
      <c r="C958">
        <v>132</v>
      </c>
      <c r="D958" t="s">
        <v>904</v>
      </c>
    </row>
    <row r="959" spans="1:4" x14ac:dyDescent="0.25">
      <c r="A959" t="s">
        <v>1099</v>
      </c>
      <c r="B959">
        <v>200</v>
      </c>
      <c r="C959">
        <v>127</v>
      </c>
      <c r="D959" t="s">
        <v>904</v>
      </c>
    </row>
    <row r="960" spans="1:4" x14ac:dyDescent="0.25">
      <c r="A960" t="s">
        <v>1099</v>
      </c>
      <c r="B960">
        <v>283</v>
      </c>
      <c r="C960">
        <v>138</v>
      </c>
      <c r="D960" t="s">
        <v>904</v>
      </c>
    </row>
    <row r="961" spans="1:4" x14ac:dyDescent="0.25">
      <c r="A961" t="s">
        <v>1099</v>
      </c>
      <c r="B961">
        <v>253</v>
      </c>
      <c r="C961">
        <v>107</v>
      </c>
      <c r="D961" t="s">
        <v>904</v>
      </c>
    </row>
    <row r="962" spans="1:4" x14ac:dyDescent="0.25">
      <c r="A962" t="s">
        <v>1099</v>
      </c>
      <c r="B962">
        <v>236</v>
      </c>
      <c r="C962">
        <v>168</v>
      </c>
      <c r="D962" t="s">
        <v>904</v>
      </c>
    </row>
    <row r="963" spans="1:4" x14ac:dyDescent="0.25">
      <c r="A963" t="s">
        <v>1099</v>
      </c>
      <c r="B963">
        <v>230</v>
      </c>
      <c r="C963">
        <v>156</v>
      </c>
      <c r="D963" t="s">
        <v>904</v>
      </c>
    </row>
    <row r="964" spans="1:4" x14ac:dyDescent="0.25">
      <c r="A964" t="s">
        <v>1099</v>
      </c>
      <c r="B964">
        <v>247</v>
      </c>
      <c r="C964">
        <v>157</v>
      </c>
      <c r="D964" t="s">
        <v>904</v>
      </c>
    </row>
    <row r="965" spans="1:4" x14ac:dyDescent="0.25">
      <c r="A965" t="s">
        <v>1099</v>
      </c>
      <c r="B965">
        <v>321</v>
      </c>
      <c r="C965">
        <v>114</v>
      </c>
      <c r="D965" t="s">
        <v>904</v>
      </c>
    </row>
    <row r="966" spans="1:4" x14ac:dyDescent="0.25">
      <c r="A966" t="s">
        <v>1099</v>
      </c>
      <c r="B966">
        <v>345</v>
      </c>
      <c r="C966">
        <v>112</v>
      </c>
      <c r="D966" t="s">
        <v>904</v>
      </c>
    </row>
    <row r="967" spans="1:4" x14ac:dyDescent="0.25">
      <c r="A967" t="s">
        <v>1099</v>
      </c>
      <c r="B967">
        <v>323</v>
      </c>
      <c r="C967">
        <v>131</v>
      </c>
      <c r="D967" t="s">
        <v>904</v>
      </c>
    </row>
    <row r="968" spans="1:4" x14ac:dyDescent="0.25">
      <c r="A968" t="s">
        <v>1099</v>
      </c>
      <c r="B968">
        <v>319</v>
      </c>
      <c r="C968">
        <v>188</v>
      </c>
      <c r="D968" t="s">
        <v>905</v>
      </c>
    </row>
    <row r="969" spans="1:4" x14ac:dyDescent="0.25">
      <c r="A969" t="s">
        <v>1099</v>
      </c>
      <c r="B969">
        <v>342</v>
      </c>
      <c r="C969">
        <v>150</v>
      </c>
      <c r="D969" t="s">
        <v>904</v>
      </c>
    </row>
    <row r="970" spans="1:4" x14ac:dyDescent="0.25">
      <c r="A970" t="s">
        <v>1099</v>
      </c>
      <c r="B970">
        <v>301</v>
      </c>
      <c r="C970">
        <v>210</v>
      </c>
      <c r="D970" t="s">
        <v>905</v>
      </c>
    </row>
    <row r="971" spans="1:4" x14ac:dyDescent="0.25">
      <c r="A971" t="s">
        <v>1099</v>
      </c>
      <c r="B971">
        <v>347</v>
      </c>
      <c r="C971">
        <v>189</v>
      </c>
      <c r="D971" t="s">
        <v>905</v>
      </c>
    </row>
    <row r="972" spans="1:4" x14ac:dyDescent="0.25">
      <c r="A972" t="s">
        <v>1099</v>
      </c>
      <c r="B972">
        <v>344</v>
      </c>
      <c r="C972">
        <v>142</v>
      </c>
      <c r="D972" t="s">
        <v>904</v>
      </c>
    </row>
    <row r="973" spans="1:4" x14ac:dyDescent="0.25">
      <c r="A973" t="s">
        <v>1099</v>
      </c>
      <c r="B973">
        <v>325</v>
      </c>
      <c r="C973">
        <v>123</v>
      </c>
      <c r="D973" t="s">
        <v>904</v>
      </c>
    </row>
    <row r="974" spans="1:4" x14ac:dyDescent="0.25">
      <c r="A974" t="s">
        <v>1099</v>
      </c>
      <c r="B974">
        <v>302</v>
      </c>
      <c r="C974">
        <v>230</v>
      </c>
      <c r="D974" t="s">
        <v>905</v>
      </c>
    </row>
    <row r="975" spans="1:4" x14ac:dyDescent="0.25">
      <c r="A975" t="s">
        <v>1099</v>
      </c>
      <c r="B975">
        <v>379</v>
      </c>
      <c r="C975">
        <v>254</v>
      </c>
      <c r="D975" t="s">
        <v>905</v>
      </c>
    </row>
    <row r="976" spans="1:4" x14ac:dyDescent="0.25">
      <c r="A976" t="s">
        <v>1099</v>
      </c>
      <c r="B976">
        <v>378</v>
      </c>
      <c r="C976">
        <v>178</v>
      </c>
      <c r="D976" t="s">
        <v>905</v>
      </c>
    </row>
    <row r="977" spans="1:4" x14ac:dyDescent="0.25">
      <c r="A977" t="s">
        <v>1100</v>
      </c>
      <c r="B977">
        <v>203</v>
      </c>
      <c r="C977">
        <v>121</v>
      </c>
      <c r="D977" t="s">
        <v>904</v>
      </c>
    </row>
    <row r="978" spans="1:4" x14ac:dyDescent="0.25">
      <c r="A978" t="s">
        <v>1100</v>
      </c>
      <c r="B978">
        <v>205</v>
      </c>
      <c r="C978">
        <v>133</v>
      </c>
      <c r="D978" t="s">
        <v>904</v>
      </c>
    </row>
    <row r="979" spans="1:4" x14ac:dyDescent="0.25">
      <c r="A979" t="s">
        <v>1100</v>
      </c>
      <c r="B979">
        <v>209</v>
      </c>
      <c r="C979">
        <v>124</v>
      </c>
      <c r="D979" t="s">
        <v>904</v>
      </c>
    </row>
    <row r="980" spans="1:4" x14ac:dyDescent="0.25">
      <c r="A980" t="s">
        <v>1100</v>
      </c>
      <c r="B980">
        <v>221</v>
      </c>
      <c r="C980">
        <v>115</v>
      </c>
      <c r="D980" t="s">
        <v>904</v>
      </c>
    </row>
    <row r="981" spans="1:4" x14ac:dyDescent="0.25">
      <c r="A981" t="s">
        <v>1100</v>
      </c>
      <c r="B981">
        <v>207</v>
      </c>
      <c r="C981">
        <v>119</v>
      </c>
      <c r="D981" t="s">
        <v>904</v>
      </c>
    </row>
    <row r="982" spans="1:4" x14ac:dyDescent="0.25">
      <c r="A982" t="s">
        <v>1100</v>
      </c>
      <c r="B982">
        <v>214</v>
      </c>
      <c r="C982">
        <v>127</v>
      </c>
      <c r="D982" t="s">
        <v>904</v>
      </c>
    </row>
    <row r="983" spans="1:4" x14ac:dyDescent="0.25">
      <c r="A983" t="s">
        <v>1100</v>
      </c>
      <c r="B983">
        <v>222</v>
      </c>
      <c r="C983">
        <v>228</v>
      </c>
      <c r="D983" t="s">
        <v>905</v>
      </c>
    </row>
    <row r="984" spans="1:4" x14ac:dyDescent="0.25">
      <c r="A984" t="s">
        <v>1100</v>
      </c>
      <c r="B984">
        <v>215</v>
      </c>
      <c r="C984">
        <v>127</v>
      </c>
      <c r="D984" t="s">
        <v>904</v>
      </c>
    </row>
    <row r="985" spans="1:4" x14ac:dyDescent="0.25">
      <c r="A985" t="s">
        <v>1100</v>
      </c>
      <c r="B985">
        <v>220</v>
      </c>
      <c r="C985">
        <v>119</v>
      </c>
      <c r="D985" t="s">
        <v>904</v>
      </c>
    </row>
    <row r="986" spans="1:4" x14ac:dyDescent="0.25">
      <c r="A986" t="s">
        <v>1100</v>
      </c>
      <c r="B986">
        <v>210</v>
      </c>
      <c r="C986">
        <v>128</v>
      </c>
      <c r="D986" t="s">
        <v>904</v>
      </c>
    </row>
    <row r="987" spans="1:4" x14ac:dyDescent="0.25">
      <c r="A987" t="s">
        <v>1100</v>
      </c>
      <c r="B987">
        <v>202</v>
      </c>
      <c r="C987">
        <v>138</v>
      </c>
      <c r="D987" t="s">
        <v>904</v>
      </c>
    </row>
    <row r="988" spans="1:4" x14ac:dyDescent="0.25">
      <c r="A988" t="s">
        <v>1100</v>
      </c>
      <c r="B988">
        <v>201</v>
      </c>
      <c r="C988">
        <v>118</v>
      </c>
      <c r="D988" t="s">
        <v>904</v>
      </c>
    </row>
    <row r="989" spans="1:4" x14ac:dyDescent="0.25">
      <c r="A989" t="s">
        <v>1100</v>
      </c>
      <c r="B989">
        <v>217</v>
      </c>
      <c r="C989">
        <v>130</v>
      </c>
      <c r="D989" t="s">
        <v>904</v>
      </c>
    </row>
    <row r="990" spans="1:4" x14ac:dyDescent="0.25">
      <c r="A990" t="s">
        <v>1100</v>
      </c>
      <c r="B990">
        <v>208</v>
      </c>
      <c r="C990">
        <v>129</v>
      </c>
      <c r="D990" t="s">
        <v>904</v>
      </c>
    </row>
    <row r="991" spans="1:4" x14ac:dyDescent="0.25">
      <c r="A991" t="s">
        <v>1100</v>
      </c>
      <c r="B991">
        <v>212</v>
      </c>
      <c r="C991">
        <v>126</v>
      </c>
      <c r="D991" t="s">
        <v>904</v>
      </c>
    </row>
    <row r="992" spans="1:4" x14ac:dyDescent="0.25">
      <c r="A992" t="s">
        <v>1100</v>
      </c>
      <c r="B992">
        <v>213</v>
      </c>
      <c r="C992">
        <v>133</v>
      </c>
      <c r="D992" t="s">
        <v>904</v>
      </c>
    </row>
    <row r="993" spans="1:4" x14ac:dyDescent="0.25">
      <c r="A993" t="s">
        <v>1100</v>
      </c>
      <c r="B993">
        <v>204</v>
      </c>
      <c r="C993">
        <v>148</v>
      </c>
      <c r="D993" t="s">
        <v>904</v>
      </c>
    </row>
    <row r="994" spans="1:4" x14ac:dyDescent="0.25">
      <c r="A994" t="s">
        <v>1100</v>
      </c>
      <c r="B994">
        <v>216</v>
      </c>
      <c r="C994">
        <v>130</v>
      </c>
      <c r="D994" t="s">
        <v>904</v>
      </c>
    </row>
    <row r="995" spans="1:4" x14ac:dyDescent="0.25">
      <c r="A995" t="s">
        <v>1100</v>
      </c>
      <c r="B995">
        <v>219</v>
      </c>
      <c r="C995">
        <v>130</v>
      </c>
      <c r="D995" t="s">
        <v>904</v>
      </c>
    </row>
    <row r="996" spans="1:4" x14ac:dyDescent="0.25">
      <c r="A996" t="s">
        <v>1100</v>
      </c>
      <c r="B996">
        <v>218</v>
      </c>
      <c r="C996">
        <v>129</v>
      </c>
      <c r="D996" t="s">
        <v>904</v>
      </c>
    </row>
    <row r="997" spans="1:4" x14ac:dyDescent="0.25">
      <c r="A997" t="s">
        <v>1100</v>
      </c>
      <c r="B997">
        <v>206</v>
      </c>
      <c r="C997">
        <v>124</v>
      </c>
      <c r="D997" t="s">
        <v>904</v>
      </c>
    </row>
    <row r="998" spans="1:4" x14ac:dyDescent="0.25">
      <c r="A998" t="s">
        <v>1100</v>
      </c>
      <c r="B998">
        <v>211</v>
      </c>
      <c r="C998">
        <v>122</v>
      </c>
      <c r="D998" t="s">
        <v>904</v>
      </c>
    </row>
    <row r="999" spans="1:4" x14ac:dyDescent="0.25">
      <c r="A999" t="s">
        <v>1100</v>
      </c>
      <c r="B999">
        <v>107</v>
      </c>
      <c r="C999">
        <v>119</v>
      </c>
      <c r="D999" t="s">
        <v>904</v>
      </c>
    </row>
    <row r="1000" spans="1:4" x14ac:dyDescent="0.25">
      <c r="A1000" t="s">
        <v>1100</v>
      </c>
      <c r="B1000">
        <v>106</v>
      </c>
      <c r="C1000">
        <v>136</v>
      </c>
      <c r="D1000" t="s">
        <v>904</v>
      </c>
    </row>
    <row r="1001" spans="1:4" x14ac:dyDescent="0.25">
      <c r="A1001" t="s">
        <v>1100</v>
      </c>
      <c r="B1001">
        <v>111</v>
      </c>
      <c r="C1001">
        <v>122</v>
      </c>
      <c r="D1001" t="s">
        <v>904</v>
      </c>
    </row>
    <row r="1002" spans="1:4" x14ac:dyDescent="0.25">
      <c r="A1002" t="s">
        <v>1100</v>
      </c>
      <c r="B1002">
        <v>101</v>
      </c>
      <c r="C1002">
        <v>118</v>
      </c>
      <c r="D1002" t="s">
        <v>904</v>
      </c>
    </row>
    <row r="1003" spans="1:4" x14ac:dyDescent="0.25">
      <c r="A1003" t="s">
        <v>1100</v>
      </c>
      <c r="B1003">
        <v>110</v>
      </c>
      <c r="C1003">
        <v>128</v>
      </c>
      <c r="D1003" t="s">
        <v>904</v>
      </c>
    </row>
    <row r="1004" spans="1:4" x14ac:dyDescent="0.25">
      <c r="A1004" t="s">
        <v>1100</v>
      </c>
      <c r="B1004">
        <v>102</v>
      </c>
      <c r="C1004">
        <v>138</v>
      </c>
      <c r="D1004" t="s">
        <v>904</v>
      </c>
    </row>
    <row r="1005" spans="1:4" x14ac:dyDescent="0.25">
      <c r="A1005" t="s">
        <v>1100</v>
      </c>
      <c r="B1005">
        <v>105</v>
      </c>
      <c r="C1005">
        <v>133</v>
      </c>
      <c r="D1005" t="s">
        <v>904</v>
      </c>
    </row>
    <row r="1006" spans="1:4" x14ac:dyDescent="0.25">
      <c r="A1006" t="s">
        <v>1100</v>
      </c>
      <c r="B1006">
        <v>114</v>
      </c>
      <c r="C1006">
        <v>127</v>
      </c>
      <c r="D1006" t="s">
        <v>904</v>
      </c>
    </row>
    <row r="1007" spans="1:4" x14ac:dyDescent="0.25">
      <c r="A1007" t="s">
        <v>1100</v>
      </c>
      <c r="B1007">
        <v>112</v>
      </c>
      <c r="C1007">
        <v>126</v>
      </c>
      <c r="D1007" t="s">
        <v>904</v>
      </c>
    </row>
    <row r="1008" spans="1:4" x14ac:dyDescent="0.25">
      <c r="A1008" t="s">
        <v>1100</v>
      </c>
      <c r="B1008">
        <v>113</v>
      </c>
      <c r="C1008">
        <v>132</v>
      </c>
      <c r="D1008" t="s">
        <v>904</v>
      </c>
    </row>
    <row r="1009" spans="1:4" x14ac:dyDescent="0.25">
      <c r="A1009" t="s">
        <v>1100</v>
      </c>
      <c r="B1009">
        <v>115</v>
      </c>
      <c r="C1009">
        <v>127</v>
      </c>
      <c r="D1009" t="s">
        <v>904</v>
      </c>
    </row>
    <row r="1010" spans="1:4" x14ac:dyDescent="0.25">
      <c r="A1010" t="s">
        <v>1100</v>
      </c>
      <c r="B1010">
        <v>103</v>
      </c>
      <c r="C1010">
        <v>121</v>
      </c>
      <c r="D1010" t="s">
        <v>904</v>
      </c>
    </row>
    <row r="1011" spans="1:4" x14ac:dyDescent="0.25">
      <c r="A1011" t="s">
        <v>1100</v>
      </c>
      <c r="B1011">
        <v>104</v>
      </c>
      <c r="C1011">
        <v>147</v>
      </c>
      <c r="D1011" t="s">
        <v>904</v>
      </c>
    </row>
    <row r="1012" spans="1:4" x14ac:dyDescent="0.25">
      <c r="A1012" t="s">
        <v>1100</v>
      </c>
      <c r="B1012">
        <v>109</v>
      </c>
      <c r="C1012">
        <v>136</v>
      </c>
      <c r="D1012" t="s">
        <v>904</v>
      </c>
    </row>
    <row r="1013" spans="1:4" x14ac:dyDescent="0.25">
      <c r="A1013" t="s">
        <v>1100</v>
      </c>
      <c r="B1013">
        <v>108</v>
      </c>
      <c r="C1013">
        <v>129</v>
      </c>
      <c r="D1013" t="s">
        <v>904</v>
      </c>
    </row>
    <row r="1014" spans="1:4" x14ac:dyDescent="0.25">
      <c r="A1014" t="s">
        <v>1100</v>
      </c>
      <c r="B1014" t="s">
        <v>1101</v>
      </c>
      <c r="C1014">
        <v>261</v>
      </c>
      <c r="D1014" t="s">
        <v>905</v>
      </c>
    </row>
    <row r="1015" spans="1:4" x14ac:dyDescent="0.25">
      <c r="A1015" t="s">
        <v>1100</v>
      </c>
      <c r="B1015">
        <v>303</v>
      </c>
      <c r="C1015">
        <v>121</v>
      </c>
      <c r="D1015" t="s">
        <v>904</v>
      </c>
    </row>
    <row r="1016" spans="1:4" x14ac:dyDescent="0.25">
      <c r="A1016" t="s">
        <v>1100</v>
      </c>
      <c r="B1016">
        <v>320</v>
      </c>
      <c r="C1016">
        <v>125</v>
      </c>
      <c r="D1016" t="s">
        <v>904</v>
      </c>
    </row>
    <row r="1017" spans="1:4" x14ac:dyDescent="0.25">
      <c r="A1017" t="s">
        <v>1100</v>
      </c>
      <c r="B1017">
        <v>311</v>
      </c>
      <c r="C1017">
        <v>122</v>
      </c>
      <c r="D1017" t="s">
        <v>904</v>
      </c>
    </row>
    <row r="1018" spans="1:4" x14ac:dyDescent="0.25">
      <c r="A1018" t="s">
        <v>1100</v>
      </c>
      <c r="B1018">
        <v>312</v>
      </c>
      <c r="C1018">
        <v>132</v>
      </c>
      <c r="D1018" t="s">
        <v>904</v>
      </c>
    </row>
    <row r="1019" spans="1:4" x14ac:dyDescent="0.25">
      <c r="A1019" t="s">
        <v>1100</v>
      </c>
      <c r="B1019">
        <v>313</v>
      </c>
      <c r="C1019">
        <v>133</v>
      </c>
      <c r="D1019" t="s">
        <v>904</v>
      </c>
    </row>
    <row r="1020" spans="1:4" x14ac:dyDescent="0.25">
      <c r="A1020" t="s">
        <v>1100</v>
      </c>
      <c r="B1020">
        <v>319</v>
      </c>
      <c r="C1020">
        <v>132</v>
      </c>
      <c r="D1020" t="s">
        <v>904</v>
      </c>
    </row>
    <row r="1021" spans="1:4" x14ac:dyDescent="0.25">
      <c r="A1021" t="s">
        <v>1100</v>
      </c>
      <c r="B1021">
        <v>323</v>
      </c>
      <c r="C1021">
        <v>115</v>
      </c>
      <c r="D1021" t="s">
        <v>904</v>
      </c>
    </row>
    <row r="1022" spans="1:4" x14ac:dyDescent="0.25">
      <c r="A1022" t="s">
        <v>1100</v>
      </c>
      <c r="B1022">
        <v>314</v>
      </c>
      <c r="C1022">
        <v>127</v>
      </c>
      <c r="D1022" t="s">
        <v>904</v>
      </c>
    </row>
    <row r="1023" spans="1:4" x14ac:dyDescent="0.25">
      <c r="A1023" t="s">
        <v>1100</v>
      </c>
      <c r="B1023">
        <v>307</v>
      </c>
      <c r="C1023">
        <v>132</v>
      </c>
      <c r="D1023" t="s">
        <v>904</v>
      </c>
    </row>
    <row r="1024" spans="1:4" x14ac:dyDescent="0.25">
      <c r="A1024" t="s">
        <v>1100</v>
      </c>
      <c r="B1024">
        <v>322</v>
      </c>
      <c r="C1024">
        <v>123</v>
      </c>
      <c r="D1024" t="s">
        <v>904</v>
      </c>
    </row>
    <row r="1025" spans="1:4" x14ac:dyDescent="0.25">
      <c r="A1025" t="s">
        <v>1100</v>
      </c>
      <c r="B1025">
        <v>309</v>
      </c>
      <c r="C1025">
        <v>136</v>
      </c>
      <c r="D1025" t="s">
        <v>904</v>
      </c>
    </row>
    <row r="1026" spans="1:4" x14ac:dyDescent="0.25">
      <c r="A1026" t="s">
        <v>1100</v>
      </c>
      <c r="B1026">
        <v>304</v>
      </c>
      <c r="C1026">
        <v>156</v>
      </c>
      <c r="D1026" t="s">
        <v>904</v>
      </c>
    </row>
    <row r="1027" spans="1:4" x14ac:dyDescent="0.25">
      <c r="A1027" t="s">
        <v>1100</v>
      </c>
      <c r="B1027">
        <v>302</v>
      </c>
      <c r="C1027">
        <v>148</v>
      </c>
      <c r="D1027" t="s">
        <v>904</v>
      </c>
    </row>
    <row r="1028" spans="1:4" x14ac:dyDescent="0.25">
      <c r="A1028" t="s">
        <v>1100</v>
      </c>
      <c r="B1028">
        <v>310</v>
      </c>
      <c r="C1028">
        <v>134</v>
      </c>
      <c r="D1028" t="s">
        <v>904</v>
      </c>
    </row>
    <row r="1029" spans="1:4" x14ac:dyDescent="0.25">
      <c r="A1029" t="s">
        <v>1100</v>
      </c>
      <c r="B1029">
        <v>305</v>
      </c>
      <c r="C1029">
        <v>126</v>
      </c>
      <c r="D1029" t="s">
        <v>904</v>
      </c>
    </row>
    <row r="1030" spans="1:4" x14ac:dyDescent="0.25">
      <c r="A1030" t="s">
        <v>1100</v>
      </c>
      <c r="B1030">
        <v>308</v>
      </c>
      <c r="C1030">
        <v>129</v>
      </c>
      <c r="D1030" t="s">
        <v>904</v>
      </c>
    </row>
    <row r="1031" spans="1:4" x14ac:dyDescent="0.25">
      <c r="A1031" t="s">
        <v>1100</v>
      </c>
      <c r="B1031">
        <v>316</v>
      </c>
      <c r="C1031">
        <v>130</v>
      </c>
      <c r="D1031" t="s">
        <v>904</v>
      </c>
    </row>
    <row r="1032" spans="1:4" x14ac:dyDescent="0.25">
      <c r="A1032" t="s">
        <v>1100</v>
      </c>
      <c r="B1032">
        <v>301</v>
      </c>
      <c r="C1032">
        <v>118</v>
      </c>
      <c r="D1032" t="s">
        <v>904</v>
      </c>
    </row>
    <row r="1033" spans="1:4" x14ac:dyDescent="0.25">
      <c r="A1033" t="s">
        <v>1100</v>
      </c>
      <c r="B1033">
        <v>321</v>
      </c>
      <c r="C1033">
        <v>123</v>
      </c>
      <c r="D1033" t="s">
        <v>904</v>
      </c>
    </row>
    <row r="1034" spans="1:4" x14ac:dyDescent="0.25">
      <c r="A1034" t="s">
        <v>1100</v>
      </c>
      <c r="B1034">
        <v>317</v>
      </c>
      <c r="C1034">
        <v>130</v>
      </c>
      <c r="D1034" t="s">
        <v>904</v>
      </c>
    </row>
    <row r="1035" spans="1:4" x14ac:dyDescent="0.25">
      <c r="A1035" t="s">
        <v>1100</v>
      </c>
      <c r="B1035">
        <v>318</v>
      </c>
      <c r="C1035">
        <v>116</v>
      </c>
      <c r="D1035" t="s">
        <v>904</v>
      </c>
    </row>
    <row r="1036" spans="1:4" x14ac:dyDescent="0.25">
      <c r="A1036" t="s">
        <v>1100</v>
      </c>
      <c r="B1036">
        <v>315</v>
      </c>
      <c r="C1036">
        <v>127</v>
      </c>
      <c r="D1036" t="s">
        <v>904</v>
      </c>
    </row>
    <row r="1037" spans="1:4" x14ac:dyDescent="0.25">
      <c r="A1037" t="s">
        <v>1100</v>
      </c>
      <c r="B1037">
        <v>306</v>
      </c>
      <c r="C1037">
        <v>136</v>
      </c>
      <c r="D1037" t="s">
        <v>904</v>
      </c>
    </row>
    <row r="1038" spans="1:4" x14ac:dyDescent="0.25">
      <c r="A1038" t="s">
        <v>1102</v>
      </c>
      <c r="B1038">
        <v>402</v>
      </c>
      <c r="C1038">
        <v>212</v>
      </c>
      <c r="D1038" t="s">
        <v>905</v>
      </c>
    </row>
    <row r="1039" spans="1:4" x14ac:dyDescent="0.25">
      <c r="A1039" t="s">
        <v>1102</v>
      </c>
      <c r="B1039">
        <v>406</v>
      </c>
      <c r="C1039">
        <v>214</v>
      </c>
      <c r="D1039" t="s">
        <v>905</v>
      </c>
    </row>
    <row r="1040" spans="1:4" x14ac:dyDescent="0.25">
      <c r="A1040" t="s">
        <v>1102</v>
      </c>
      <c r="B1040">
        <v>404</v>
      </c>
      <c r="C1040">
        <v>198</v>
      </c>
      <c r="D1040" t="s">
        <v>905</v>
      </c>
    </row>
    <row r="1041" spans="1:4" x14ac:dyDescent="0.25">
      <c r="A1041" t="s">
        <v>1102</v>
      </c>
      <c r="B1041">
        <v>408</v>
      </c>
      <c r="C1041">
        <v>196</v>
      </c>
      <c r="D1041" t="s">
        <v>905</v>
      </c>
    </row>
    <row r="1042" spans="1:4" x14ac:dyDescent="0.25">
      <c r="A1042" t="s">
        <v>1102</v>
      </c>
      <c r="B1042">
        <v>413</v>
      </c>
      <c r="C1042">
        <v>195</v>
      </c>
      <c r="D1042" t="s">
        <v>905</v>
      </c>
    </row>
    <row r="1043" spans="1:4" x14ac:dyDescent="0.25">
      <c r="A1043" t="s">
        <v>1102</v>
      </c>
      <c r="B1043">
        <v>414</v>
      </c>
      <c r="C1043">
        <v>195</v>
      </c>
      <c r="D1043" t="s">
        <v>905</v>
      </c>
    </row>
    <row r="1044" spans="1:4" x14ac:dyDescent="0.25">
      <c r="A1044" t="s">
        <v>1102</v>
      </c>
      <c r="B1044">
        <v>421</v>
      </c>
      <c r="C1044">
        <v>204</v>
      </c>
      <c r="D1044" t="s">
        <v>905</v>
      </c>
    </row>
    <row r="1045" spans="1:4" x14ac:dyDescent="0.25">
      <c r="A1045" t="s">
        <v>1102</v>
      </c>
      <c r="B1045">
        <v>416</v>
      </c>
      <c r="C1045">
        <v>225</v>
      </c>
      <c r="D1045" t="s">
        <v>905</v>
      </c>
    </row>
    <row r="1046" spans="1:4" x14ac:dyDescent="0.25">
      <c r="A1046" t="s">
        <v>1102</v>
      </c>
      <c r="B1046">
        <v>410</v>
      </c>
      <c r="C1046">
        <v>222</v>
      </c>
      <c r="D1046" t="s">
        <v>905</v>
      </c>
    </row>
    <row r="1047" spans="1:4" x14ac:dyDescent="0.25">
      <c r="A1047" t="s">
        <v>1102</v>
      </c>
      <c r="B1047">
        <v>405</v>
      </c>
      <c r="C1047">
        <v>121</v>
      </c>
      <c r="D1047" t="s">
        <v>904</v>
      </c>
    </row>
    <row r="1048" spans="1:4" x14ac:dyDescent="0.25">
      <c r="A1048" t="s">
        <v>1102</v>
      </c>
      <c r="B1048">
        <v>409</v>
      </c>
      <c r="C1048">
        <v>210</v>
      </c>
      <c r="D1048" t="s">
        <v>905</v>
      </c>
    </row>
    <row r="1049" spans="1:4" x14ac:dyDescent="0.25">
      <c r="A1049" t="s">
        <v>1102</v>
      </c>
      <c r="B1049">
        <v>417</v>
      </c>
      <c r="C1049">
        <v>129</v>
      </c>
      <c r="D1049" t="s">
        <v>904</v>
      </c>
    </row>
    <row r="1050" spans="1:4" x14ac:dyDescent="0.25">
      <c r="A1050" t="s">
        <v>1102</v>
      </c>
      <c r="B1050">
        <v>418</v>
      </c>
      <c r="C1050">
        <v>205</v>
      </c>
      <c r="D1050" t="s">
        <v>905</v>
      </c>
    </row>
    <row r="1051" spans="1:4" x14ac:dyDescent="0.25">
      <c r="A1051" t="s">
        <v>1102</v>
      </c>
      <c r="B1051">
        <v>412</v>
      </c>
      <c r="C1051">
        <v>141</v>
      </c>
      <c r="D1051" t="s">
        <v>904</v>
      </c>
    </row>
    <row r="1052" spans="1:4" x14ac:dyDescent="0.25">
      <c r="A1052" t="s">
        <v>1102</v>
      </c>
      <c r="B1052">
        <v>411</v>
      </c>
      <c r="C1052">
        <v>114</v>
      </c>
      <c r="D1052" t="s">
        <v>904</v>
      </c>
    </row>
    <row r="1053" spans="1:4" x14ac:dyDescent="0.25">
      <c r="A1053" t="s">
        <v>1102</v>
      </c>
      <c r="B1053">
        <v>420</v>
      </c>
      <c r="C1053">
        <v>210</v>
      </c>
      <c r="D1053" t="s">
        <v>905</v>
      </c>
    </row>
    <row r="1054" spans="1:4" x14ac:dyDescent="0.25">
      <c r="A1054" t="s">
        <v>1102</v>
      </c>
      <c r="B1054">
        <v>419</v>
      </c>
      <c r="C1054">
        <v>210</v>
      </c>
      <c r="D1054" t="s">
        <v>905</v>
      </c>
    </row>
    <row r="1055" spans="1:4" x14ac:dyDescent="0.25">
      <c r="A1055" t="s">
        <v>1102</v>
      </c>
      <c r="B1055">
        <v>403</v>
      </c>
      <c r="C1055">
        <v>222</v>
      </c>
      <c r="D1055" t="s">
        <v>905</v>
      </c>
    </row>
    <row r="1056" spans="1:4" x14ac:dyDescent="0.25">
      <c r="A1056" t="s">
        <v>1102</v>
      </c>
      <c r="B1056">
        <v>415</v>
      </c>
      <c r="C1056">
        <v>129</v>
      </c>
      <c r="D1056" t="s">
        <v>904</v>
      </c>
    </row>
    <row r="1057" spans="1:4" x14ac:dyDescent="0.25">
      <c r="A1057" t="s">
        <v>1102</v>
      </c>
      <c r="B1057">
        <v>407</v>
      </c>
      <c r="C1057">
        <v>119</v>
      </c>
      <c r="D1057" t="s">
        <v>904</v>
      </c>
    </row>
    <row r="1058" spans="1:4" x14ac:dyDescent="0.25">
      <c r="A1058" t="s">
        <v>1102</v>
      </c>
      <c r="B1058">
        <v>401</v>
      </c>
      <c r="C1058">
        <v>210</v>
      </c>
      <c r="D1058" t="s">
        <v>905</v>
      </c>
    </row>
    <row r="1059" spans="1:4" x14ac:dyDescent="0.25">
      <c r="A1059" t="s">
        <v>1103</v>
      </c>
      <c r="B1059">
        <v>300</v>
      </c>
      <c r="C1059">
        <v>177</v>
      </c>
      <c r="D1059" t="s">
        <v>904</v>
      </c>
    </row>
    <row r="1060" spans="1:4" x14ac:dyDescent="0.25">
      <c r="A1060" t="s">
        <v>1103</v>
      </c>
      <c r="B1060">
        <v>312</v>
      </c>
      <c r="C1060">
        <v>172</v>
      </c>
      <c r="D1060" t="s">
        <v>904</v>
      </c>
    </row>
    <row r="1061" spans="1:4" x14ac:dyDescent="0.25">
      <c r="A1061" t="s">
        <v>1103</v>
      </c>
      <c r="B1061">
        <v>311</v>
      </c>
      <c r="C1061">
        <v>149</v>
      </c>
      <c r="D1061" t="s">
        <v>904</v>
      </c>
    </row>
    <row r="1062" spans="1:4" x14ac:dyDescent="0.25">
      <c r="A1062" t="s">
        <v>1103</v>
      </c>
      <c r="B1062">
        <v>302</v>
      </c>
      <c r="C1062">
        <v>173</v>
      </c>
      <c r="D1062" t="s">
        <v>904</v>
      </c>
    </row>
    <row r="1063" spans="1:4" x14ac:dyDescent="0.25">
      <c r="A1063" t="s">
        <v>1103</v>
      </c>
      <c r="B1063">
        <v>316</v>
      </c>
      <c r="C1063">
        <v>172</v>
      </c>
      <c r="D1063" t="s">
        <v>904</v>
      </c>
    </row>
    <row r="1064" spans="1:4" x14ac:dyDescent="0.25">
      <c r="A1064" t="s">
        <v>1103</v>
      </c>
      <c r="B1064">
        <v>301</v>
      </c>
      <c r="C1064">
        <v>172</v>
      </c>
      <c r="D1064" t="s">
        <v>904</v>
      </c>
    </row>
    <row r="1065" spans="1:4" x14ac:dyDescent="0.25">
      <c r="A1065" t="s">
        <v>1103</v>
      </c>
      <c r="B1065">
        <v>318</v>
      </c>
      <c r="C1065">
        <v>170</v>
      </c>
      <c r="D1065" t="s">
        <v>904</v>
      </c>
    </row>
    <row r="1066" spans="1:4" x14ac:dyDescent="0.25">
      <c r="A1066" t="s">
        <v>1103</v>
      </c>
      <c r="B1066">
        <v>315</v>
      </c>
      <c r="C1066">
        <v>219</v>
      </c>
      <c r="D1066" t="s">
        <v>905</v>
      </c>
    </row>
    <row r="1067" spans="1:4" x14ac:dyDescent="0.25">
      <c r="A1067" t="s">
        <v>1103</v>
      </c>
      <c r="B1067">
        <v>309</v>
      </c>
      <c r="C1067">
        <v>140</v>
      </c>
      <c r="D1067" t="s">
        <v>904</v>
      </c>
    </row>
    <row r="1068" spans="1:4" x14ac:dyDescent="0.25">
      <c r="A1068" t="s">
        <v>1103</v>
      </c>
      <c r="B1068">
        <v>313</v>
      </c>
      <c r="C1068">
        <v>148</v>
      </c>
      <c r="D1068" t="s">
        <v>904</v>
      </c>
    </row>
    <row r="1069" spans="1:4" x14ac:dyDescent="0.25">
      <c r="A1069" t="s">
        <v>1103</v>
      </c>
      <c r="B1069">
        <v>308</v>
      </c>
      <c r="C1069">
        <v>179</v>
      </c>
      <c r="D1069" t="s">
        <v>904</v>
      </c>
    </row>
    <row r="1070" spans="1:4" x14ac:dyDescent="0.25">
      <c r="A1070" t="s">
        <v>1103</v>
      </c>
      <c r="B1070">
        <v>325</v>
      </c>
      <c r="C1070">
        <v>178</v>
      </c>
      <c r="D1070" t="s">
        <v>904</v>
      </c>
    </row>
    <row r="1071" spans="1:4" x14ac:dyDescent="0.25">
      <c r="A1071" t="s">
        <v>1103</v>
      </c>
      <c r="B1071">
        <v>303</v>
      </c>
      <c r="C1071">
        <v>174</v>
      </c>
      <c r="D1071" t="s">
        <v>904</v>
      </c>
    </row>
    <row r="1072" spans="1:4" x14ac:dyDescent="0.25">
      <c r="A1072" t="s">
        <v>1103</v>
      </c>
      <c r="B1072">
        <v>305</v>
      </c>
      <c r="C1072">
        <v>174</v>
      </c>
      <c r="D1072" t="s">
        <v>904</v>
      </c>
    </row>
    <row r="1073" spans="1:4" x14ac:dyDescent="0.25">
      <c r="A1073" t="s">
        <v>1103</v>
      </c>
      <c r="B1073">
        <v>306</v>
      </c>
      <c r="C1073">
        <v>172</v>
      </c>
      <c r="D1073" t="s">
        <v>904</v>
      </c>
    </row>
    <row r="1074" spans="1:4" x14ac:dyDescent="0.25">
      <c r="A1074" t="s">
        <v>1103</v>
      </c>
      <c r="B1074">
        <v>307</v>
      </c>
      <c r="C1074">
        <v>175</v>
      </c>
      <c r="D1074" t="s">
        <v>904</v>
      </c>
    </row>
    <row r="1075" spans="1:4" x14ac:dyDescent="0.25">
      <c r="A1075" t="s">
        <v>1103</v>
      </c>
      <c r="B1075">
        <v>310</v>
      </c>
      <c r="C1075">
        <v>172</v>
      </c>
      <c r="D1075" t="s">
        <v>904</v>
      </c>
    </row>
    <row r="1076" spans="1:4" x14ac:dyDescent="0.25">
      <c r="A1076" t="s">
        <v>1103</v>
      </c>
      <c r="B1076">
        <v>314</v>
      </c>
      <c r="C1076">
        <v>172</v>
      </c>
      <c r="D1076" t="s">
        <v>904</v>
      </c>
    </row>
    <row r="1077" spans="1:4" x14ac:dyDescent="0.25">
      <c r="A1077" t="s">
        <v>1103</v>
      </c>
      <c r="B1077">
        <v>321</v>
      </c>
      <c r="C1077">
        <v>172</v>
      </c>
      <c r="D1077" t="s">
        <v>904</v>
      </c>
    </row>
    <row r="1078" spans="1:4" x14ac:dyDescent="0.25">
      <c r="A1078" t="s">
        <v>1103</v>
      </c>
      <c r="B1078">
        <v>323</v>
      </c>
      <c r="C1078">
        <v>172</v>
      </c>
      <c r="D1078" t="s">
        <v>904</v>
      </c>
    </row>
    <row r="1079" spans="1:4" x14ac:dyDescent="0.25">
      <c r="A1079" t="s">
        <v>1103</v>
      </c>
      <c r="B1079">
        <v>320</v>
      </c>
      <c r="C1079">
        <v>172</v>
      </c>
      <c r="D1079" t="s">
        <v>904</v>
      </c>
    </row>
    <row r="1080" spans="1:4" x14ac:dyDescent="0.25">
      <c r="A1080" t="s">
        <v>1103</v>
      </c>
      <c r="B1080">
        <v>319</v>
      </c>
      <c r="C1080">
        <v>166</v>
      </c>
      <c r="D1080" t="s">
        <v>904</v>
      </c>
    </row>
    <row r="1081" spans="1:4" x14ac:dyDescent="0.25">
      <c r="A1081" t="s">
        <v>1103</v>
      </c>
      <c r="B1081">
        <v>322</v>
      </c>
      <c r="C1081">
        <v>172</v>
      </c>
      <c r="D1081" t="s">
        <v>904</v>
      </c>
    </row>
    <row r="1082" spans="1:4" x14ac:dyDescent="0.25">
      <c r="A1082" t="s">
        <v>1103</v>
      </c>
      <c r="B1082">
        <v>317</v>
      </c>
      <c r="C1082">
        <v>170</v>
      </c>
      <c r="D1082" t="s">
        <v>904</v>
      </c>
    </row>
    <row r="1083" spans="1:4" x14ac:dyDescent="0.25">
      <c r="A1083" t="s">
        <v>1103</v>
      </c>
      <c r="B1083">
        <v>324</v>
      </c>
      <c r="C1083">
        <v>172</v>
      </c>
      <c r="D1083" t="s">
        <v>904</v>
      </c>
    </row>
    <row r="1084" spans="1:4" x14ac:dyDescent="0.25">
      <c r="A1084" t="s">
        <v>1103</v>
      </c>
      <c r="B1084">
        <v>304</v>
      </c>
      <c r="C1084">
        <v>172</v>
      </c>
      <c r="D1084" t="s">
        <v>904</v>
      </c>
    </row>
    <row r="1085" spans="1:4" x14ac:dyDescent="0.25">
      <c r="A1085" t="s">
        <v>1103</v>
      </c>
      <c r="B1085">
        <v>205</v>
      </c>
      <c r="C1085">
        <v>121</v>
      </c>
      <c r="D1085" t="s">
        <v>904</v>
      </c>
    </row>
    <row r="1086" spans="1:4" x14ac:dyDescent="0.25">
      <c r="A1086" t="s">
        <v>1103</v>
      </c>
      <c r="B1086">
        <v>207</v>
      </c>
      <c r="C1086">
        <v>151</v>
      </c>
      <c r="D1086" t="s">
        <v>904</v>
      </c>
    </row>
    <row r="1087" spans="1:4" x14ac:dyDescent="0.25">
      <c r="A1087" t="s">
        <v>1103</v>
      </c>
      <c r="B1087">
        <v>218</v>
      </c>
      <c r="C1087">
        <v>161</v>
      </c>
      <c r="D1087" t="s">
        <v>904</v>
      </c>
    </row>
    <row r="1088" spans="1:4" x14ac:dyDescent="0.25">
      <c r="A1088" t="s">
        <v>1103</v>
      </c>
      <c r="B1088">
        <v>212</v>
      </c>
      <c r="C1088">
        <v>175</v>
      </c>
      <c r="D1088" t="s">
        <v>904</v>
      </c>
    </row>
    <row r="1089" spans="1:4" x14ac:dyDescent="0.25">
      <c r="A1089" t="s">
        <v>1103</v>
      </c>
      <c r="B1089">
        <v>227</v>
      </c>
      <c r="C1089">
        <v>173</v>
      </c>
      <c r="D1089" t="s">
        <v>904</v>
      </c>
    </row>
    <row r="1090" spans="1:4" x14ac:dyDescent="0.25">
      <c r="A1090" t="s">
        <v>1103</v>
      </c>
      <c r="B1090">
        <v>202</v>
      </c>
      <c r="C1090">
        <v>162</v>
      </c>
      <c r="D1090" t="s">
        <v>904</v>
      </c>
    </row>
    <row r="1091" spans="1:4" x14ac:dyDescent="0.25">
      <c r="A1091" t="s">
        <v>1103</v>
      </c>
      <c r="B1091">
        <v>223</v>
      </c>
      <c r="C1091">
        <v>146</v>
      </c>
      <c r="D1091" t="s">
        <v>904</v>
      </c>
    </row>
    <row r="1092" spans="1:4" x14ac:dyDescent="0.25">
      <c r="A1092" t="s">
        <v>1103</v>
      </c>
      <c r="B1092">
        <v>213</v>
      </c>
      <c r="C1092">
        <v>227</v>
      </c>
      <c r="D1092" t="s">
        <v>904</v>
      </c>
    </row>
    <row r="1093" spans="1:4" x14ac:dyDescent="0.25">
      <c r="A1093" t="s">
        <v>1103</v>
      </c>
      <c r="B1093">
        <v>201</v>
      </c>
      <c r="C1093">
        <v>161</v>
      </c>
      <c r="D1093" t="s">
        <v>904</v>
      </c>
    </row>
    <row r="1094" spans="1:4" x14ac:dyDescent="0.25">
      <c r="A1094" t="s">
        <v>1103</v>
      </c>
      <c r="B1094">
        <v>206</v>
      </c>
      <c r="C1094">
        <v>121</v>
      </c>
      <c r="D1094" t="s">
        <v>904</v>
      </c>
    </row>
    <row r="1095" spans="1:4" x14ac:dyDescent="0.25">
      <c r="A1095" t="s">
        <v>1103</v>
      </c>
      <c r="B1095">
        <v>216</v>
      </c>
      <c r="C1095">
        <v>201</v>
      </c>
      <c r="D1095" t="s">
        <v>905</v>
      </c>
    </row>
    <row r="1096" spans="1:4" x14ac:dyDescent="0.25">
      <c r="A1096" t="s">
        <v>1103</v>
      </c>
      <c r="B1096">
        <v>225</v>
      </c>
      <c r="C1096">
        <v>158</v>
      </c>
      <c r="D1096" t="s">
        <v>904</v>
      </c>
    </row>
    <row r="1097" spans="1:4" x14ac:dyDescent="0.25">
      <c r="A1097" t="s">
        <v>1103</v>
      </c>
      <c r="B1097">
        <v>214</v>
      </c>
      <c r="C1097">
        <v>165</v>
      </c>
      <c r="D1097" t="s">
        <v>904</v>
      </c>
    </row>
    <row r="1098" spans="1:4" x14ac:dyDescent="0.25">
      <c r="A1098" t="s">
        <v>1103</v>
      </c>
      <c r="B1098">
        <v>204</v>
      </c>
      <c r="C1098">
        <v>124</v>
      </c>
      <c r="D1098" t="s">
        <v>904</v>
      </c>
    </row>
    <row r="1099" spans="1:4" x14ac:dyDescent="0.25">
      <c r="A1099" t="s">
        <v>1103</v>
      </c>
      <c r="B1099">
        <v>224</v>
      </c>
      <c r="C1099">
        <v>209</v>
      </c>
      <c r="D1099" t="s">
        <v>905</v>
      </c>
    </row>
    <row r="1100" spans="1:4" x14ac:dyDescent="0.25">
      <c r="A1100" t="s">
        <v>1103</v>
      </c>
      <c r="B1100">
        <v>226</v>
      </c>
      <c r="C1100">
        <v>173</v>
      </c>
      <c r="D1100" t="s">
        <v>904</v>
      </c>
    </row>
    <row r="1101" spans="1:4" x14ac:dyDescent="0.25">
      <c r="A1101" t="s">
        <v>1103</v>
      </c>
      <c r="B1101">
        <v>220</v>
      </c>
      <c r="C1101">
        <v>247</v>
      </c>
      <c r="D1101" t="s">
        <v>905</v>
      </c>
    </row>
    <row r="1102" spans="1:4" x14ac:dyDescent="0.25">
      <c r="A1102" t="s">
        <v>1103</v>
      </c>
      <c r="B1102">
        <v>210</v>
      </c>
      <c r="C1102">
        <v>161</v>
      </c>
      <c r="D1102" t="s">
        <v>904</v>
      </c>
    </row>
    <row r="1103" spans="1:4" x14ac:dyDescent="0.25">
      <c r="A1103" t="s">
        <v>1103</v>
      </c>
      <c r="B1103">
        <v>200</v>
      </c>
      <c r="C1103">
        <v>184</v>
      </c>
      <c r="D1103" t="s">
        <v>904</v>
      </c>
    </row>
    <row r="1104" spans="1:4" x14ac:dyDescent="0.25">
      <c r="A1104" t="s">
        <v>1103</v>
      </c>
      <c r="B1104">
        <v>209</v>
      </c>
      <c r="C1104">
        <v>143</v>
      </c>
      <c r="D1104" t="s">
        <v>904</v>
      </c>
    </row>
    <row r="1105" spans="1:4" x14ac:dyDescent="0.25">
      <c r="A1105" t="s">
        <v>1103</v>
      </c>
      <c r="B1105">
        <v>208</v>
      </c>
      <c r="C1105">
        <v>212</v>
      </c>
      <c r="D1105" t="s">
        <v>904</v>
      </c>
    </row>
    <row r="1106" spans="1:4" x14ac:dyDescent="0.25">
      <c r="A1106" t="s">
        <v>1103</v>
      </c>
      <c r="B1106">
        <v>217</v>
      </c>
      <c r="C1106">
        <v>161</v>
      </c>
      <c r="D1106" t="s">
        <v>904</v>
      </c>
    </row>
    <row r="1107" spans="1:4" x14ac:dyDescent="0.25">
      <c r="A1107" t="s">
        <v>1103</v>
      </c>
      <c r="B1107">
        <v>203</v>
      </c>
      <c r="C1107">
        <v>130</v>
      </c>
      <c r="D1107" t="s">
        <v>904</v>
      </c>
    </row>
    <row r="1108" spans="1:4" x14ac:dyDescent="0.25">
      <c r="A1108" t="s">
        <v>1103</v>
      </c>
      <c r="B1108">
        <v>219</v>
      </c>
      <c r="C1108">
        <v>161</v>
      </c>
      <c r="D1108" t="s">
        <v>904</v>
      </c>
    </row>
    <row r="1109" spans="1:4" x14ac:dyDescent="0.25">
      <c r="A1109" t="s">
        <v>1103</v>
      </c>
      <c r="B1109">
        <v>221</v>
      </c>
      <c r="C1109">
        <v>141</v>
      </c>
      <c r="D1109" t="s">
        <v>904</v>
      </c>
    </row>
    <row r="1110" spans="1:4" x14ac:dyDescent="0.25">
      <c r="A1110" t="s">
        <v>1103</v>
      </c>
      <c r="B1110">
        <v>211</v>
      </c>
      <c r="C1110">
        <v>166</v>
      </c>
      <c r="D1110" t="s">
        <v>904</v>
      </c>
    </row>
    <row r="1111" spans="1:4" x14ac:dyDescent="0.25">
      <c r="A1111" t="s">
        <v>1103</v>
      </c>
      <c r="B1111">
        <v>215</v>
      </c>
      <c r="C1111">
        <v>165</v>
      </c>
      <c r="D1111" t="s">
        <v>904</v>
      </c>
    </row>
    <row r="1112" spans="1:4" x14ac:dyDescent="0.25">
      <c r="A1112" t="s">
        <v>1103</v>
      </c>
      <c r="B1112">
        <v>222</v>
      </c>
      <c r="C1112">
        <v>147</v>
      </c>
      <c r="D1112" t="s">
        <v>904</v>
      </c>
    </row>
    <row r="1113" spans="1:4" x14ac:dyDescent="0.25">
      <c r="A1113" t="s">
        <v>1103</v>
      </c>
      <c r="B1113">
        <v>104</v>
      </c>
      <c r="C1113">
        <v>146</v>
      </c>
      <c r="D1113" t="s">
        <v>904</v>
      </c>
    </row>
    <row r="1114" spans="1:4" x14ac:dyDescent="0.25">
      <c r="A1114" t="s">
        <v>1103</v>
      </c>
      <c r="B1114">
        <v>102</v>
      </c>
      <c r="C1114">
        <v>102</v>
      </c>
      <c r="D1114" t="s">
        <v>904</v>
      </c>
    </row>
    <row r="1115" spans="1:4" x14ac:dyDescent="0.25">
      <c r="A1115" t="s">
        <v>1103</v>
      </c>
      <c r="B1115">
        <v>115</v>
      </c>
      <c r="C1115">
        <v>161</v>
      </c>
      <c r="D1115" t="s">
        <v>904</v>
      </c>
    </row>
    <row r="1116" spans="1:4" x14ac:dyDescent="0.25">
      <c r="A1116" t="s">
        <v>1103</v>
      </c>
      <c r="B1116">
        <v>101</v>
      </c>
      <c r="C1116">
        <v>322</v>
      </c>
      <c r="D1116" t="s">
        <v>905</v>
      </c>
    </row>
    <row r="1117" spans="1:4" x14ac:dyDescent="0.25">
      <c r="A1117" t="s">
        <v>1103</v>
      </c>
      <c r="B1117">
        <v>112</v>
      </c>
      <c r="C1117">
        <v>288</v>
      </c>
      <c r="D1117" t="s">
        <v>905</v>
      </c>
    </row>
    <row r="1118" spans="1:4" x14ac:dyDescent="0.25">
      <c r="A1118" t="s">
        <v>1103</v>
      </c>
      <c r="B1118">
        <v>122</v>
      </c>
      <c r="C1118">
        <v>172</v>
      </c>
      <c r="D1118" t="s">
        <v>904</v>
      </c>
    </row>
    <row r="1119" spans="1:4" x14ac:dyDescent="0.25">
      <c r="A1119" t="s">
        <v>1103</v>
      </c>
      <c r="B1119">
        <v>123</v>
      </c>
      <c r="C1119">
        <v>262</v>
      </c>
      <c r="D1119" t="s">
        <v>905</v>
      </c>
    </row>
    <row r="1120" spans="1:4" x14ac:dyDescent="0.25">
      <c r="A1120" t="s">
        <v>1103</v>
      </c>
      <c r="B1120">
        <v>120</v>
      </c>
      <c r="C1120">
        <v>211</v>
      </c>
      <c r="D1120" t="s">
        <v>905</v>
      </c>
    </row>
    <row r="1121" spans="1:4" x14ac:dyDescent="0.25">
      <c r="A1121" t="s">
        <v>1103</v>
      </c>
      <c r="B1121">
        <v>110</v>
      </c>
      <c r="C1121">
        <v>161</v>
      </c>
      <c r="D1121" t="s">
        <v>904</v>
      </c>
    </row>
    <row r="1122" spans="1:4" x14ac:dyDescent="0.25">
      <c r="A1122" t="s">
        <v>1103</v>
      </c>
      <c r="B1122">
        <v>114</v>
      </c>
      <c r="C1122">
        <v>161</v>
      </c>
      <c r="D1122" t="s">
        <v>904</v>
      </c>
    </row>
    <row r="1123" spans="1:4" x14ac:dyDescent="0.25">
      <c r="A1123" t="s">
        <v>1103</v>
      </c>
      <c r="B1123">
        <v>100</v>
      </c>
      <c r="C1123">
        <v>181</v>
      </c>
      <c r="D1123" t="s">
        <v>904</v>
      </c>
    </row>
    <row r="1124" spans="1:4" x14ac:dyDescent="0.25">
      <c r="A1124" t="s">
        <v>1103</v>
      </c>
      <c r="B1124">
        <v>121</v>
      </c>
      <c r="C1124">
        <v>164</v>
      </c>
      <c r="D1124" t="s">
        <v>904</v>
      </c>
    </row>
    <row r="1125" spans="1:4" x14ac:dyDescent="0.25">
      <c r="A1125" t="s">
        <v>1103</v>
      </c>
      <c r="B1125">
        <v>117</v>
      </c>
      <c r="C1125">
        <v>225</v>
      </c>
      <c r="D1125" t="s">
        <v>905</v>
      </c>
    </row>
    <row r="1126" spans="1:4" x14ac:dyDescent="0.25">
      <c r="A1126" t="s">
        <v>1103</v>
      </c>
      <c r="B1126">
        <v>119</v>
      </c>
      <c r="C1126">
        <v>147</v>
      </c>
      <c r="D1126" t="s">
        <v>904</v>
      </c>
    </row>
    <row r="1127" spans="1:4" x14ac:dyDescent="0.25">
      <c r="A1127" t="s">
        <v>1103</v>
      </c>
      <c r="B1127">
        <v>103</v>
      </c>
      <c r="C1127">
        <v>332</v>
      </c>
      <c r="D1127" t="s">
        <v>905</v>
      </c>
    </row>
    <row r="1128" spans="1:4" x14ac:dyDescent="0.25">
      <c r="A1128" t="s">
        <v>1103</v>
      </c>
      <c r="B1128">
        <v>111</v>
      </c>
      <c r="C1128">
        <v>111</v>
      </c>
      <c r="D1128" t="s">
        <v>904</v>
      </c>
    </row>
    <row r="1129" spans="1:4" x14ac:dyDescent="0.25">
      <c r="A1129" t="s">
        <v>1103</v>
      </c>
      <c r="B1129">
        <v>116</v>
      </c>
      <c r="C1129">
        <v>246</v>
      </c>
      <c r="D1129" t="s">
        <v>905</v>
      </c>
    </row>
    <row r="1130" spans="1:4" x14ac:dyDescent="0.25">
      <c r="A1130" t="s">
        <v>1103</v>
      </c>
      <c r="B1130">
        <v>105</v>
      </c>
      <c r="C1130">
        <v>136</v>
      </c>
      <c r="D1130" t="s">
        <v>904</v>
      </c>
    </row>
    <row r="1131" spans="1:4" x14ac:dyDescent="0.25">
      <c r="A1131" t="s">
        <v>1103</v>
      </c>
      <c r="B1131">
        <v>118</v>
      </c>
      <c r="C1131">
        <v>148</v>
      </c>
      <c r="D1131" t="s">
        <v>904</v>
      </c>
    </row>
    <row r="1132" spans="1:4" x14ac:dyDescent="0.25">
      <c r="A1132" t="s">
        <v>1103</v>
      </c>
      <c r="B1132">
        <v>113</v>
      </c>
      <c r="C1132">
        <v>161</v>
      </c>
      <c r="D1132" t="s">
        <v>904</v>
      </c>
    </row>
    <row r="1133" spans="1:4" x14ac:dyDescent="0.25">
      <c r="A1133" t="s">
        <v>1103</v>
      </c>
      <c r="B1133">
        <v>107</v>
      </c>
      <c r="C1133">
        <v>143</v>
      </c>
      <c r="D1133" t="s">
        <v>904</v>
      </c>
    </row>
    <row r="1134" spans="1:4" x14ac:dyDescent="0.25">
      <c r="A1134" t="s">
        <v>1103</v>
      </c>
      <c r="B1134">
        <v>106</v>
      </c>
      <c r="C1134">
        <v>136</v>
      </c>
      <c r="D1134" t="s">
        <v>904</v>
      </c>
    </row>
    <row r="1135" spans="1:4" x14ac:dyDescent="0.25">
      <c r="A1135" t="s">
        <v>1104</v>
      </c>
      <c r="B1135">
        <v>751</v>
      </c>
      <c r="C1135">
        <v>146</v>
      </c>
      <c r="D1135" t="s">
        <v>876</v>
      </c>
    </row>
    <row r="1136" spans="1:4" x14ac:dyDescent="0.25">
      <c r="A1136" t="s">
        <v>1104</v>
      </c>
      <c r="B1136">
        <v>720</v>
      </c>
      <c r="C1136">
        <v>142</v>
      </c>
      <c r="D1136" t="s">
        <v>904</v>
      </c>
    </row>
    <row r="1137" spans="1:4" x14ac:dyDescent="0.25">
      <c r="A1137" t="s">
        <v>1104</v>
      </c>
      <c r="B1137">
        <v>712</v>
      </c>
      <c r="C1137">
        <v>143</v>
      </c>
      <c r="D1137" t="s">
        <v>904</v>
      </c>
    </row>
    <row r="1138" spans="1:4" x14ac:dyDescent="0.25">
      <c r="A1138" t="s">
        <v>1104</v>
      </c>
      <c r="B1138">
        <v>747</v>
      </c>
      <c r="C1138">
        <v>146</v>
      </c>
      <c r="D1138" t="s">
        <v>876</v>
      </c>
    </row>
    <row r="1139" spans="1:4" x14ac:dyDescent="0.25">
      <c r="A1139" t="s">
        <v>1104</v>
      </c>
      <c r="B1139">
        <v>713</v>
      </c>
      <c r="C1139">
        <v>143</v>
      </c>
      <c r="D1139" t="s">
        <v>904</v>
      </c>
    </row>
    <row r="1140" spans="1:4" x14ac:dyDescent="0.25">
      <c r="A1140" t="s">
        <v>1104</v>
      </c>
      <c r="B1140">
        <v>736</v>
      </c>
      <c r="C1140">
        <v>138</v>
      </c>
      <c r="D1140" t="s">
        <v>876</v>
      </c>
    </row>
    <row r="1141" spans="1:4" x14ac:dyDescent="0.25">
      <c r="A1141" t="s">
        <v>1104</v>
      </c>
      <c r="B1141">
        <v>724</v>
      </c>
      <c r="C1141">
        <v>143</v>
      </c>
      <c r="D1141" t="s">
        <v>904</v>
      </c>
    </row>
    <row r="1142" spans="1:4" x14ac:dyDescent="0.25">
      <c r="A1142" t="s">
        <v>1104</v>
      </c>
      <c r="B1142">
        <v>714</v>
      </c>
      <c r="C1142">
        <v>143</v>
      </c>
      <c r="D1142" t="s">
        <v>904</v>
      </c>
    </row>
    <row r="1143" spans="1:4" x14ac:dyDescent="0.25">
      <c r="A1143" t="s">
        <v>1104</v>
      </c>
      <c r="B1143">
        <v>707</v>
      </c>
      <c r="C1143">
        <v>143</v>
      </c>
      <c r="D1143" t="s">
        <v>904</v>
      </c>
    </row>
    <row r="1144" spans="1:4" x14ac:dyDescent="0.25">
      <c r="A1144" t="s">
        <v>1104</v>
      </c>
      <c r="B1144">
        <v>715</v>
      </c>
      <c r="C1144">
        <v>142</v>
      </c>
      <c r="D1144" t="s">
        <v>904</v>
      </c>
    </row>
    <row r="1145" spans="1:4" x14ac:dyDescent="0.25">
      <c r="A1145" t="s">
        <v>1104</v>
      </c>
      <c r="B1145">
        <v>741</v>
      </c>
      <c r="C1145">
        <v>146</v>
      </c>
      <c r="D1145" t="s">
        <v>876</v>
      </c>
    </row>
    <row r="1146" spans="1:4" x14ac:dyDescent="0.25">
      <c r="A1146" t="s">
        <v>1104</v>
      </c>
      <c r="B1146">
        <v>727</v>
      </c>
      <c r="C1146">
        <v>143</v>
      </c>
      <c r="D1146" t="s">
        <v>904</v>
      </c>
    </row>
    <row r="1147" spans="1:4" x14ac:dyDescent="0.25">
      <c r="A1147" t="s">
        <v>1104</v>
      </c>
      <c r="B1147">
        <v>708</v>
      </c>
      <c r="C1147">
        <v>143</v>
      </c>
      <c r="D1147" t="s">
        <v>904</v>
      </c>
    </row>
    <row r="1148" spans="1:4" x14ac:dyDescent="0.25">
      <c r="A1148" t="s">
        <v>1104</v>
      </c>
      <c r="B1148">
        <v>749</v>
      </c>
      <c r="C1148">
        <v>146</v>
      </c>
      <c r="D1148" t="s">
        <v>876</v>
      </c>
    </row>
    <row r="1149" spans="1:4" x14ac:dyDescent="0.25">
      <c r="A1149" t="s">
        <v>1104</v>
      </c>
      <c r="B1149">
        <v>702</v>
      </c>
      <c r="C1149">
        <v>143</v>
      </c>
      <c r="D1149" t="s">
        <v>904</v>
      </c>
    </row>
    <row r="1150" spans="1:4" x14ac:dyDescent="0.25">
      <c r="A1150" t="s">
        <v>1104</v>
      </c>
      <c r="B1150">
        <v>723</v>
      </c>
      <c r="C1150">
        <v>143</v>
      </c>
      <c r="D1150" t="s">
        <v>904</v>
      </c>
    </row>
    <row r="1151" spans="1:4" x14ac:dyDescent="0.25">
      <c r="A1151" t="s">
        <v>1104</v>
      </c>
      <c r="B1151">
        <v>710</v>
      </c>
      <c r="C1151">
        <v>141</v>
      </c>
      <c r="D1151" t="s">
        <v>904</v>
      </c>
    </row>
    <row r="1152" spans="1:4" x14ac:dyDescent="0.25">
      <c r="A1152" t="s">
        <v>1104</v>
      </c>
      <c r="B1152">
        <v>734</v>
      </c>
      <c r="C1152">
        <v>154</v>
      </c>
      <c r="D1152" t="s">
        <v>876</v>
      </c>
    </row>
    <row r="1153" spans="1:4" x14ac:dyDescent="0.25">
      <c r="A1153" t="s">
        <v>1104</v>
      </c>
      <c r="B1153">
        <v>705</v>
      </c>
      <c r="C1153">
        <v>143</v>
      </c>
      <c r="D1153" t="s">
        <v>904</v>
      </c>
    </row>
    <row r="1154" spans="1:4" x14ac:dyDescent="0.25">
      <c r="A1154" t="s">
        <v>1104</v>
      </c>
      <c r="B1154">
        <v>704</v>
      </c>
      <c r="C1154">
        <v>144</v>
      </c>
      <c r="D1154" t="s">
        <v>904</v>
      </c>
    </row>
    <row r="1155" spans="1:4" x14ac:dyDescent="0.25">
      <c r="A1155" t="s">
        <v>1104</v>
      </c>
      <c r="B1155">
        <v>744</v>
      </c>
      <c r="C1155">
        <v>146</v>
      </c>
      <c r="D1155" t="s">
        <v>876</v>
      </c>
    </row>
    <row r="1156" spans="1:4" x14ac:dyDescent="0.25">
      <c r="A1156" t="s">
        <v>1104</v>
      </c>
      <c r="B1156">
        <v>735</v>
      </c>
      <c r="C1156">
        <v>154</v>
      </c>
      <c r="D1156" t="s">
        <v>876</v>
      </c>
    </row>
    <row r="1157" spans="1:4" x14ac:dyDescent="0.25">
      <c r="A1157" t="s">
        <v>1104</v>
      </c>
      <c r="B1157">
        <v>703</v>
      </c>
      <c r="C1157">
        <v>143</v>
      </c>
      <c r="D1157" t="s">
        <v>904</v>
      </c>
    </row>
    <row r="1158" spans="1:4" x14ac:dyDescent="0.25">
      <c r="A1158" t="s">
        <v>1104</v>
      </c>
      <c r="B1158">
        <v>729</v>
      </c>
      <c r="C1158">
        <v>143</v>
      </c>
      <c r="D1158" t="s">
        <v>904</v>
      </c>
    </row>
    <row r="1159" spans="1:4" x14ac:dyDescent="0.25">
      <c r="A1159" t="s">
        <v>1104</v>
      </c>
      <c r="B1159">
        <v>717</v>
      </c>
      <c r="C1159">
        <v>144</v>
      </c>
      <c r="D1159" t="s">
        <v>904</v>
      </c>
    </row>
    <row r="1160" spans="1:4" x14ac:dyDescent="0.25">
      <c r="A1160" t="s">
        <v>1104</v>
      </c>
      <c r="B1160">
        <v>709</v>
      </c>
      <c r="C1160">
        <v>141</v>
      </c>
      <c r="D1160" t="s">
        <v>904</v>
      </c>
    </row>
    <row r="1161" spans="1:4" x14ac:dyDescent="0.25">
      <c r="A1161" t="s">
        <v>1104</v>
      </c>
      <c r="B1161">
        <v>721</v>
      </c>
      <c r="C1161">
        <v>142</v>
      </c>
      <c r="D1161" t="s">
        <v>904</v>
      </c>
    </row>
    <row r="1162" spans="1:4" x14ac:dyDescent="0.25">
      <c r="A1162" t="s">
        <v>1104</v>
      </c>
      <c r="B1162">
        <v>752</v>
      </c>
      <c r="C1162">
        <v>146</v>
      </c>
      <c r="D1162" t="s">
        <v>876</v>
      </c>
    </row>
    <row r="1163" spans="1:4" x14ac:dyDescent="0.25">
      <c r="A1163" t="s">
        <v>1104</v>
      </c>
      <c r="B1163">
        <v>740</v>
      </c>
      <c r="C1163">
        <v>146</v>
      </c>
      <c r="D1163" t="s">
        <v>876</v>
      </c>
    </row>
    <row r="1164" spans="1:4" x14ac:dyDescent="0.25">
      <c r="A1164" t="s">
        <v>1104</v>
      </c>
      <c r="B1164">
        <v>701</v>
      </c>
      <c r="C1164">
        <v>145</v>
      </c>
      <c r="D1164" t="s">
        <v>904</v>
      </c>
    </row>
    <row r="1165" spans="1:4" x14ac:dyDescent="0.25">
      <c r="A1165" t="s">
        <v>1104</v>
      </c>
      <c r="B1165">
        <v>732</v>
      </c>
      <c r="C1165">
        <v>142</v>
      </c>
      <c r="D1165" t="s">
        <v>904</v>
      </c>
    </row>
    <row r="1166" spans="1:4" x14ac:dyDescent="0.25">
      <c r="A1166" t="s">
        <v>1104</v>
      </c>
      <c r="B1166">
        <v>730</v>
      </c>
      <c r="C1166">
        <v>141</v>
      </c>
      <c r="D1166" t="s">
        <v>904</v>
      </c>
    </row>
    <row r="1167" spans="1:4" x14ac:dyDescent="0.25">
      <c r="A1167" t="s">
        <v>1104</v>
      </c>
      <c r="B1167">
        <v>716</v>
      </c>
      <c r="C1167">
        <v>143</v>
      </c>
      <c r="D1167" t="s">
        <v>904</v>
      </c>
    </row>
    <row r="1168" spans="1:4" x14ac:dyDescent="0.25">
      <c r="A1168" t="s">
        <v>1104</v>
      </c>
      <c r="B1168">
        <v>739</v>
      </c>
      <c r="C1168">
        <v>146</v>
      </c>
      <c r="D1168" t="s">
        <v>876</v>
      </c>
    </row>
    <row r="1169" spans="1:4" x14ac:dyDescent="0.25">
      <c r="A1169" t="s">
        <v>1104</v>
      </c>
      <c r="B1169">
        <v>719</v>
      </c>
      <c r="C1169">
        <v>143</v>
      </c>
      <c r="D1169" t="s">
        <v>904</v>
      </c>
    </row>
    <row r="1170" spans="1:4" x14ac:dyDescent="0.25">
      <c r="A1170" t="s">
        <v>1104</v>
      </c>
      <c r="B1170">
        <v>731</v>
      </c>
      <c r="C1170">
        <v>142</v>
      </c>
      <c r="D1170" t="s">
        <v>904</v>
      </c>
    </row>
    <row r="1171" spans="1:4" x14ac:dyDescent="0.25">
      <c r="A1171" t="s">
        <v>1104</v>
      </c>
      <c r="B1171">
        <v>726</v>
      </c>
      <c r="C1171">
        <v>143</v>
      </c>
      <c r="D1171" t="s">
        <v>904</v>
      </c>
    </row>
    <row r="1172" spans="1:4" x14ac:dyDescent="0.25">
      <c r="A1172" t="s">
        <v>1104</v>
      </c>
      <c r="B1172">
        <v>743</v>
      </c>
      <c r="C1172">
        <v>146</v>
      </c>
      <c r="D1172" t="s">
        <v>876</v>
      </c>
    </row>
    <row r="1173" spans="1:4" x14ac:dyDescent="0.25">
      <c r="A1173" t="s">
        <v>1104</v>
      </c>
      <c r="B1173">
        <v>706</v>
      </c>
      <c r="C1173">
        <v>143</v>
      </c>
      <c r="D1173" t="s">
        <v>904</v>
      </c>
    </row>
    <row r="1174" spans="1:4" x14ac:dyDescent="0.25">
      <c r="A1174" t="s">
        <v>1104</v>
      </c>
      <c r="B1174">
        <v>753</v>
      </c>
      <c r="C1174">
        <v>146</v>
      </c>
      <c r="D1174" t="s">
        <v>876</v>
      </c>
    </row>
    <row r="1175" spans="1:4" x14ac:dyDescent="0.25">
      <c r="A1175" t="s">
        <v>1104</v>
      </c>
      <c r="B1175">
        <v>711</v>
      </c>
      <c r="C1175">
        <v>142</v>
      </c>
      <c r="D1175" t="s">
        <v>904</v>
      </c>
    </row>
    <row r="1176" spans="1:4" x14ac:dyDescent="0.25">
      <c r="A1176" t="s">
        <v>1104</v>
      </c>
      <c r="B1176">
        <v>733</v>
      </c>
      <c r="C1176">
        <v>153</v>
      </c>
      <c r="D1176" t="s">
        <v>904</v>
      </c>
    </row>
    <row r="1177" spans="1:4" x14ac:dyDescent="0.25">
      <c r="A1177" t="s">
        <v>1104</v>
      </c>
      <c r="B1177">
        <v>748</v>
      </c>
      <c r="C1177">
        <v>146</v>
      </c>
      <c r="D1177" t="s">
        <v>876</v>
      </c>
    </row>
    <row r="1178" spans="1:4" x14ac:dyDescent="0.25">
      <c r="A1178" t="s">
        <v>1104</v>
      </c>
      <c r="B1178">
        <v>725</v>
      </c>
      <c r="C1178">
        <v>143</v>
      </c>
      <c r="D1178" t="s">
        <v>904</v>
      </c>
    </row>
    <row r="1179" spans="1:4" x14ac:dyDescent="0.25">
      <c r="A1179" t="s">
        <v>1104</v>
      </c>
      <c r="B1179">
        <v>738</v>
      </c>
      <c r="C1179">
        <v>145</v>
      </c>
      <c r="D1179" t="s">
        <v>876</v>
      </c>
    </row>
    <row r="1180" spans="1:4" x14ac:dyDescent="0.25">
      <c r="A1180" t="s">
        <v>1104</v>
      </c>
      <c r="B1180">
        <v>737</v>
      </c>
      <c r="C1180">
        <v>138</v>
      </c>
      <c r="D1180" t="s">
        <v>876</v>
      </c>
    </row>
    <row r="1181" spans="1:4" x14ac:dyDescent="0.25">
      <c r="A1181" t="s">
        <v>1104</v>
      </c>
      <c r="B1181">
        <v>718</v>
      </c>
      <c r="C1181">
        <v>143</v>
      </c>
      <c r="D1181" t="s">
        <v>904</v>
      </c>
    </row>
    <row r="1182" spans="1:4" x14ac:dyDescent="0.25">
      <c r="A1182" t="s">
        <v>1104</v>
      </c>
      <c r="B1182">
        <v>750</v>
      </c>
      <c r="C1182">
        <v>145</v>
      </c>
      <c r="D1182" t="s">
        <v>876</v>
      </c>
    </row>
    <row r="1183" spans="1:4" x14ac:dyDescent="0.25">
      <c r="A1183" t="s">
        <v>1104</v>
      </c>
      <c r="B1183">
        <v>745</v>
      </c>
      <c r="C1183">
        <v>146</v>
      </c>
      <c r="D1183" t="s">
        <v>876</v>
      </c>
    </row>
    <row r="1184" spans="1:4" x14ac:dyDescent="0.25">
      <c r="A1184" t="s">
        <v>1104</v>
      </c>
      <c r="B1184">
        <v>722</v>
      </c>
      <c r="C1184">
        <v>140</v>
      </c>
      <c r="D1184" t="s">
        <v>904</v>
      </c>
    </row>
    <row r="1185" spans="1:4" x14ac:dyDescent="0.25">
      <c r="A1185" t="s">
        <v>1104</v>
      </c>
      <c r="B1185">
        <v>746</v>
      </c>
      <c r="C1185">
        <v>145</v>
      </c>
      <c r="D1185" t="s">
        <v>876</v>
      </c>
    </row>
    <row r="1186" spans="1:4" x14ac:dyDescent="0.25">
      <c r="A1186" t="s">
        <v>1104</v>
      </c>
      <c r="B1186">
        <v>728</v>
      </c>
      <c r="C1186">
        <v>144</v>
      </c>
      <c r="D1186" t="s">
        <v>904</v>
      </c>
    </row>
    <row r="1187" spans="1:4" x14ac:dyDescent="0.25">
      <c r="A1187" t="s">
        <v>1104</v>
      </c>
      <c r="B1187">
        <v>742</v>
      </c>
      <c r="C1187">
        <v>145</v>
      </c>
      <c r="D1187" t="s">
        <v>876</v>
      </c>
    </row>
    <row r="1188" spans="1:4" x14ac:dyDescent="0.25">
      <c r="A1188" t="s">
        <v>1104</v>
      </c>
      <c r="B1188">
        <v>641</v>
      </c>
      <c r="C1188">
        <v>146</v>
      </c>
      <c r="D1188" t="s">
        <v>876</v>
      </c>
    </row>
    <row r="1189" spans="1:4" x14ac:dyDescent="0.25">
      <c r="A1189" t="s">
        <v>1104</v>
      </c>
      <c r="B1189">
        <v>627</v>
      </c>
      <c r="C1189">
        <v>154</v>
      </c>
      <c r="D1189" t="s">
        <v>876</v>
      </c>
    </row>
    <row r="1190" spans="1:4" x14ac:dyDescent="0.25">
      <c r="A1190" t="s">
        <v>1104</v>
      </c>
      <c r="B1190">
        <v>605</v>
      </c>
      <c r="C1190">
        <v>137</v>
      </c>
      <c r="D1190" t="s">
        <v>904</v>
      </c>
    </row>
    <row r="1191" spans="1:4" x14ac:dyDescent="0.25">
      <c r="A1191" t="s">
        <v>1104</v>
      </c>
      <c r="B1191">
        <v>650</v>
      </c>
      <c r="C1191">
        <v>148</v>
      </c>
      <c r="D1191" t="s">
        <v>876</v>
      </c>
    </row>
    <row r="1192" spans="1:4" x14ac:dyDescent="0.25">
      <c r="A1192" t="s">
        <v>1104</v>
      </c>
      <c r="B1192">
        <v>647</v>
      </c>
      <c r="C1192">
        <v>146</v>
      </c>
      <c r="D1192" t="s">
        <v>876</v>
      </c>
    </row>
    <row r="1193" spans="1:4" x14ac:dyDescent="0.25">
      <c r="A1193" t="s">
        <v>1104</v>
      </c>
      <c r="B1193">
        <v>640</v>
      </c>
      <c r="C1193">
        <v>146</v>
      </c>
      <c r="D1193" t="s">
        <v>876</v>
      </c>
    </row>
    <row r="1194" spans="1:4" x14ac:dyDescent="0.25">
      <c r="A1194" t="s">
        <v>1104</v>
      </c>
      <c r="B1194">
        <v>610</v>
      </c>
      <c r="C1194">
        <v>143</v>
      </c>
      <c r="D1194" t="s">
        <v>904</v>
      </c>
    </row>
    <row r="1195" spans="1:4" x14ac:dyDescent="0.25">
      <c r="A1195" t="s">
        <v>1104</v>
      </c>
      <c r="B1195">
        <v>630</v>
      </c>
      <c r="C1195">
        <v>146</v>
      </c>
      <c r="D1195" t="s">
        <v>876</v>
      </c>
    </row>
    <row r="1196" spans="1:4" x14ac:dyDescent="0.25">
      <c r="A1196" t="s">
        <v>1104</v>
      </c>
      <c r="B1196">
        <v>614</v>
      </c>
      <c r="C1196">
        <v>136</v>
      </c>
      <c r="D1196" t="s">
        <v>904</v>
      </c>
    </row>
    <row r="1197" spans="1:4" x14ac:dyDescent="0.25">
      <c r="A1197" t="s">
        <v>1104</v>
      </c>
      <c r="B1197">
        <v>619</v>
      </c>
      <c r="C1197">
        <v>137</v>
      </c>
      <c r="D1197" t="s">
        <v>904</v>
      </c>
    </row>
    <row r="1198" spans="1:4" x14ac:dyDescent="0.25">
      <c r="A1198" t="s">
        <v>1104</v>
      </c>
      <c r="B1198">
        <v>626</v>
      </c>
      <c r="C1198">
        <v>154</v>
      </c>
      <c r="D1198" t="s">
        <v>876</v>
      </c>
    </row>
    <row r="1199" spans="1:4" x14ac:dyDescent="0.25">
      <c r="A1199" t="s">
        <v>1104</v>
      </c>
      <c r="B1199">
        <v>648</v>
      </c>
      <c r="C1199">
        <v>145</v>
      </c>
      <c r="D1199" t="s">
        <v>876</v>
      </c>
    </row>
    <row r="1200" spans="1:4" x14ac:dyDescent="0.25">
      <c r="A1200" t="s">
        <v>1104</v>
      </c>
      <c r="B1200">
        <v>621</v>
      </c>
      <c r="C1200">
        <v>142</v>
      </c>
      <c r="D1200" t="s">
        <v>904</v>
      </c>
    </row>
    <row r="1201" spans="1:4" x14ac:dyDescent="0.25">
      <c r="A1201" t="s">
        <v>1104</v>
      </c>
      <c r="B1201">
        <v>652</v>
      </c>
      <c r="C1201">
        <v>146</v>
      </c>
      <c r="D1201" t="s">
        <v>876</v>
      </c>
    </row>
    <row r="1202" spans="1:4" x14ac:dyDescent="0.25">
      <c r="A1202" t="s">
        <v>1104</v>
      </c>
      <c r="B1202">
        <v>646</v>
      </c>
      <c r="C1202">
        <v>148</v>
      </c>
      <c r="D1202" t="s">
        <v>876</v>
      </c>
    </row>
    <row r="1203" spans="1:4" x14ac:dyDescent="0.25">
      <c r="A1203" t="s">
        <v>1104</v>
      </c>
      <c r="B1203">
        <v>639</v>
      </c>
      <c r="D1203" t="s">
        <v>876</v>
      </c>
    </row>
    <row r="1204" spans="1:4" x14ac:dyDescent="0.25">
      <c r="A1204" t="s">
        <v>1104</v>
      </c>
      <c r="B1204">
        <v>618</v>
      </c>
      <c r="C1204">
        <v>140</v>
      </c>
      <c r="D1204" t="s">
        <v>904</v>
      </c>
    </row>
    <row r="1205" spans="1:4" x14ac:dyDescent="0.25">
      <c r="A1205" t="s">
        <v>1104</v>
      </c>
      <c r="B1205">
        <v>635</v>
      </c>
      <c r="C1205">
        <v>146</v>
      </c>
      <c r="D1205" t="s">
        <v>876</v>
      </c>
    </row>
    <row r="1206" spans="1:4" x14ac:dyDescent="0.25">
      <c r="A1206" t="s">
        <v>1104</v>
      </c>
      <c r="B1206">
        <v>651</v>
      </c>
      <c r="C1206">
        <v>146</v>
      </c>
      <c r="D1206" t="s">
        <v>876</v>
      </c>
    </row>
    <row r="1207" spans="1:4" x14ac:dyDescent="0.25">
      <c r="A1207" t="s">
        <v>1104</v>
      </c>
      <c r="B1207">
        <v>603</v>
      </c>
      <c r="C1207">
        <v>145</v>
      </c>
      <c r="D1207" t="s">
        <v>904</v>
      </c>
    </row>
    <row r="1208" spans="1:4" x14ac:dyDescent="0.25">
      <c r="A1208" t="s">
        <v>1104</v>
      </c>
      <c r="B1208">
        <v>655</v>
      </c>
      <c r="C1208">
        <v>146</v>
      </c>
      <c r="D1208" t="s">
        <v>876</v>
      </c>
    </row>
    <row r="1209" spans="1:4" x14ac:dyDescent="0.25">
      <c r="A1209" t="s">
        <v>1104</v>
      </c>
      <c r="B1209">
        <v>643</v>
      </c>
      <c r="C1209">
        <v>146</v>
      </c>
      <c r="D1209" t="s">
        <v>876</v>
      </c>
    </row>
    <row r="1210" spans="1:4" x14ac:dyDescent="0.25">
      <c r="A1210" t="s">
        <v>1104</v>
      </c>
      <c r="B1210">
        <v>638</v>
      </c>
      <c r="C1210">
        <v>146</v>
      </c>
      <c r="D1210" t="s">
        <v>876</v>
      </c>
    </row>
    <row r="1211" spans="1:4" x14ac:dyDescent="0.25">
      <c r="A1211" t="s">
        <v>1104</v>
      </c>
      <c r="B1211">
        <v>623</v>
      </c>
      <c r="C1211">
        <v>153</v>
      </c>
      <c r="D1211" t="s">
        <v>904</v>
      </c>
    </row>
    <row r="1212" spans="1:4" x14ac:dyDescent="0.25">
      <c r="A1212" t="s">
        <v>1104</v>
      </c>
      <c r="B1212">
        <v>625</v>
      </c>
      <c r="C1212">
        <v>154</v>
      </c>
      <c r="D1212" t="s">
        <v>876</v>
      </c>
    </row>
    <row r="1213" spans="1:4" x14ac:dyDescent="0.25">
      <c r="A1213" t="s">
        <v>1104</v>
      </c>
      <c r="B1213">
        <v>617</v>
      </c>
      <c r="C1213">
        <v>143</v>
      </c>
      <c r="D1213" t="s">
        <v>904</v>
      </c>
    </row>
    <row r="1214" spans="1:4" x14ac:dyDescent="0.25">
      <c r="A1214" t="s">
        <v>1104</v>
      </c>
      <c r="B1214">
        <v>606</v>
      </c>
      <c r="C1214">
        <v>132</v>
      </c>
      <c r="D1214" t="s">
        <v>904</v>
      </c>
    </row>
    <row r="1215" spans="1:4" x14ac:dyDescent="0.25">
      <c r="A1215" t="s">
        <v>1104</v>
      </c>
      <c r="B1215">
        <v>622</v>
      </c>
      <c r="C1215">
        <v>142</v>
      </c>
      <c r="D1215" t="s">
        <v>904</v>
      </c>
    </row>
    <row r="1216" spans="1:4" x14ac:dyDescent="0.25">
      <c r="A1216" t="s">
        <v>1104</v>
      </c>
      <c r="B1216">
        <v>636</v>
      </c>
      <c r="C1216">
        <v>145</v>
      </c>
      <c r="D1216" t="s">
        <v>876</v>
      </c>
    </row>
    <row r="1217" spans="1:4" x14ac:dyDescent="0.25">
      <c r="A1217" t="s">
        <v>1104</v>
      </c>
      <c r="B1217">
        <v>631</v>
      </c>
      <c r="C1217">
        <v>146</v>
      </c>
      <c r="D1217" t="s">
        <v>876</v>
      </c>
    </row>
    <row r="1218" spans="1:4" x14ac:dyDescent="0.25">
      <c r="A1218" t="s">
        <v>1104</v>
      </c>
      <c r="B1218">
        <v>601</v>
      </c>
      <c r="C1218">
        <v>211</v>
      </c>
      <c r="D1218" t="s">
        <v>905</v>
      </c>
    </row>
    <row r="1219" spans="1:4" x14ac:dyDescent="0.25">
      <c r="A1219" t="s">
        <v>1104</v>
      </c>
      <c r="B1219">
        <v>654</v>
      </c>
      <c r="C1219">
        <v>146</v>
      </c>
      <c r="D1219" t="s">
        <v>876</v>
      </c>
    </row>
    <row r="1220" spans="1:4" x14ac:dyDescent="0.25">
      <c r="A1220" t="s">
        <v>1104</v>
      </c>
      <c r="B1220">
        <v>612</v>
      </c>
      <c r="C1220">
        <v>132</v>
      </c>
      <c r="D1220" t="s">
        <v>904</v>
      </c>
    </row>
    <row r="1221" spans="1:4" x14ac:dyDescent="0.25">
      <c r="A1221" t="s">
        <v>1104</v>
      </c>
      <c r="B1221">
        <v>629</v>
      </c>
      <c r="C1221">
        <v>146</v>
      </c>
      <c r="D1221" t="s">
        <v>876</v>
      </c>
    </row>
    <row r="1222" spans="1:4" x14ac:dyDescent="0.25">
      <c r="A1222" t="s">
        <v>1104</v>
      </c>
      <c r="B1222">
        <v>633</v>
      </c>
      <c r="C1222">
        <v>146</v>
      </c>
      <c r="D1222" t="s">
        <v>876</v>
      </c>
    </row>
    <row r="1223" spans="1:4" x14ac:dyDescent="0.25">
      <c r="A1223" t="s">
        <v>1104</v>
      </c>
      <c r="B1223">
        <v>604</v>
      </c>
      <c r="C1223">
        <v>140</v>
      </c>
      <c r="D1223" t="s">
        <v>904</v>
      </c>
    </row>
    <row r="1224" spans="1:4" x14ac:dyDescent="0.25">
      <c r="A1224" t="s">
        <v>1104</v>
      </c>
      <c r="B1224">
        <v>637</v>
      </c>
      <c r="C1224">
        <v>146</v>
      </c>
      <c r="D1224" t="s">
        <v>876</v>
      </c>
    </row>
    <row r="1225" spans="1:4" x14ac:dyDescent="0.25">
      <c r="A1225" t="s">
        <v>1104</v>
      </c>
      <c r="B1225">
        <v>609</v>
      </c>
      <c r="C1225">
        <v>142</v>
      </c>
      <c r="D1225" t="s">
        <v>904</v>
      </c>
    </row>
    <row r="1226" spans="1:4" x14ac:dyDescent="0.25">
      <c r="A1226" t="s">
        <v>1104</v>
      </c>
      <c r="B1226">
        <v>613</v>
      </c>
      <c r="C1226">
        <v>137</v>
      </c>
      <c r="D1226" t="s">
        <v>904</v>
      </c>
    </row>
    <row r="1227" spans="1:4" x14ac:dyDescent="0.25">
      <c r="A1227" t="s">
        <v>1104</v>
      </c>
      <c r="B1227">
        <v>628</v>
      </c>
      <c r="C1227">
        <v>145</v>
      </c>
      <c r="D1227" t="s">
        <v>876</v>
      </c>
    </row>
    <row r="1228" spans="1:4" x14ac:dyDescent="0.25">
      <c r="A1228" t="s">
        <v>1104</v>
      </c>
      <c r="B1228">
        <v>644</v>
      </c>
      <c r="C1228">
        <v>145</v>
      </c>
      <c r="D1228" t="s">
        <v>876</v>
      </c>
    </row>
    <row r="1229" spans="1:4" x14ac:dyDescent="0.25">
      <c r="A1229" t="s">
        <v>1104</v>
      </c>
      <c r="B1229">
        <v>653</v>
      </c>
      <c r="C1229">
        <v>146</v>
      </c>
      <c r="D1229" t="s">
        <v>876</v>
      </c>
    </row>
    <row r="1230" spans="1:4" x14ac:dyDescent="0.25">
      <c r="A1230" t="s">
        <v>1104</v>
      </c>
      <c r="B1230">
        <v>608</v>
      </c>
      <c r="C1230">
        <v>136</v>
      </c>
      <c r="D1230" t="s">
        <v>904</v>
      </c>
    </row>
    <row r="1231" spans="1:4" x14ac:dyDescent="0.25">
      <c r="A1231" t="s">
        <v>1104</v>
      </c>
      <c r="B1231">
        <v>645</v>
      </c>
      <c r="C1231">
        <v>148</v>
      </c>
      <c r="D1231" t="s">
        <v>876</v>
      </c>
    </row>
    <row r="1232" spans="1:4" x14ac:dyDescent="0.25">
      <c r="A1232" t="s">
        <v>1104</v>
      </c>
      <c r="B1232">
        <v>634</v>
      </c>
      <c r="C1232">
        <v>146</v>
      </c>
      <c r="D1232" t="s">
        <v>876</v>
      </c>
    </row>
    <row r="1233" spans="1:4" x14ac:dyDescent="0.25">
      <c r="A1233" t="s">
        <v>1104</v>
      </c>
      <c r="B1233">
        <v>607</v>
      </c>
      <c r="C1233">
        <v>142</v>
      </c>
      <c r="D1233" t="s">
        <v>904</v>
      </c>
    </row>
    <row r="1234" spans="1:4" x14ac:dyDescent="0.25">
      <c r="A1234" t="s">
        <v>1104</v>
      </c>
      <c r="B1234">
        <v>611</v>
      </c>
      <c r="C1234">
        <v>140</v>
      </c>
      <c r="D1234" t="s">
        <v>904</v>
      </c>
    </row>
    <row r="1235" spans="1:4" x14ac:dyDescent="0.25">
      <c r="A1235" t="s">
        <v>1104</v>
      </c>
      <c r="B1235">
        <v>632</v>
      </c>
      <c r="C1235">
        <v>145</v>
      </c>
      <c r="D1235" t="s">
        <v>876</v>
      </c>
    </row>
    <row r="1236" spans="1:4" x14ac:dyDescent="0.25">
      <c r="A1236" t="s">
        <v>1104</v>
      </c>
      <c r="B1236">
        <v>620</v>
      </c>
      <c r="C1236">
        <v>137</v>
      </c>
      <c r="D1236" t="s">
        <v>904</v>
      </c>
    </row>
    <row r="1237" spans="1:4" x14ac:dyDescent="0.25">
      <c r="A1237" t="s">
        <v>1104</v>
      </c>
      <c r="B1237">
        <v>615</v>
      </c>
      <c r="C1237">
        <v>142</v>
      </c>
      <c r="D1237" t="s">
        <v>904</v>
      </c>
    </row>
    <row r="1238" spans="1:4" x14ac:dyDescent="0.25">
      <c r="A1238" t="s">
        <v>1104</v>
      </c>
      <c r="B1238">
        <v>602</v>
      </c>
      <c r="C1238">
        <v>211</v>
      </c>
      <c r="D1238" t="s">
        <v>905</v>
      </c>
    </row>
    <row r="1239" spans="1:4" x14ac:dyDescent="0.25">
      <c r="A1239" t="s">
        <v>1104</v>
      </c>
      <c r="B1239">
        <v>642</v>
      </c>
      <c r="C1239">
        <v>146</v>
      </c>
      <c r="D1239" t="s">
        <v>876</v>
      </c>
    </row>
    <row r="1240" spans="1:4" x14ac:dyDescent="0.25">
      <c r="A1240" t="s">
        <v>1104</v>
      </c>
      <c r="B1240">
        <v>649</v>
      </c>
      <c r="C1240">
        <v>148</v>
      </c>
      <c r="D1240" t="s">
        <v>876</v>
      </c>
    </row>
    <row r="1241" spans="1:4" x14ac:dyDescent="0.25">
      <c r="A1241" t="s">
        <v>1104</v>
      </c>
      <c r="B1241">
        <v>624</v>
      </c>
      <c r="C1241">
        <v>154</v>
      </c>
      <c r="D1241" t="s">
        <v>876</v>
      </c>
    </row>
    <row r="1242" spans="1:4" x14ac:dyDescent="0.25">
      <c r="A1242" t="s">
        <v>1104</v>
      </c>
      <c r="B1242">
        <v>656</v>
      </c>
      <c r="C1242">
        <v>146</v>
      </c>
      <c r="D1242" t="s">
        <v>876</v>
      </c>
    </row>
    <row r="1243" spans="1:4" x14ac:dyDescent="0.25">
      <c r="A1243" t="s">
        <v>1104</v>
      </c>
      <c r="B1243">
        <v>657</v>
      </c>
      <c r="C1243">
        <v>146</v>
      </c>
      <c r="D1243" t="s">
        <v>876</v>
      </c>
    </row>
    <row r="1244" spans="1:4" x14ac:dyDescent="0.25">
      <c r="A1244" t="s">
        <v>1104</v>
      </c>
      <c r="B1244">
        <v>616</v>
      </c>
      <c r="C1244">
        <v>140</v>
      </c>
      <c r="D1244" t="s">
        <v>904</v>
      </c>
    </row>
    <row r="1245" spans="1:4" x14ac:dyDescent="0.25">
      <c r="A1245" t="s">
        <v>1105</v>
      </c>
      <c r="B1245">
        <v>302</v>
      </c>
      <c r="C1245">
        <v>135</v>
      </c>
      <c r="D1245" t="s">
        <v>876</v>
      </c>
    </row>
    <row r="1246" spans="1:4" x14ac:dyDescent="0.25">
      <c r="A1246" t="s">
        <v>1105</v>
      </c>
      <c r="B1246">
        <v>343</v>
      </c>
      <c r="C1246">
        <v>132</v>
      </c>
      <c r="D1246" t="s">
        <v>876</v>
      </c>
    </row>
    <row r="1247" spans="1:4" x14ac:dyDescent="0.25">
      <c r="A1247" t="s">
        <v>1105</v>
      </c>
      <c r="B1247">
        <v>333</v>
      </c>
      <c r="C1247">
        <v>131</v>
      </c>
      <c r="D1247" t="s">
        <v>876</v>
      </c>
    </row>
    <row r="1248" spans="1:4" x14ac:dyDescent="0.25">
      <c r="A1248" t="s">
        <v>1105</v>
      </c>
      <c r="B1248">
        <v>332</v>
      </c>
      <c r="C1248">
        <v>152</v>
      </c>
      <c r="D1248" t="s">
        <v>876</v>
      </c>
    </row>
    <row r="1249" spans="1:4" x14ac:dyDescent="0.25">
      <c r="A1249" t="s">
        <v>1105</v>
      </c>
      <c r="B1249">
        <v>312</v>
      </c>
      <c r="C1249">
        <v>151</v>
      </c>
      <c r="D1249" t="s">
        <v>876</v>
      </c>
    </row>
    <row r="1250" spans="1:4" x14ac:dyDescent="0.25">
      <c r="A1250" t="s">
        <v>1105</v>
      </c>
      <c r="B1250">
        <v>334</v>
      </c>
      <c r="C1250">
        <v>146</v>
      </c>
      <c r="D1250" t="s">
        <v>876</v>
      </c>
    </row>
    <row r="1251" spans="1:4" x14ac:dyDescent="0.25">
      <c r="A1251" t="s">
        <v>1105</v>
      </c>
      <c r="B1251">
        <v>331</v>
      </c>
      <c r="C1251">
        <v>134</v>
      </c>
      <c r="D1251" t="s">
        <v>876</v>
      </c>
    </row>
    <row r="1252" spans="1:4" x14ac:dyDescent="0.25">
      <c r="A1252" t="s">
        <v>1105</v>
      </c>
      <c r="B1252">
        <v>303</v>
      </c>
      <c r="C1252">
        <v>141</v>
      </c>
      <c r="D1252" t="s">
        <v>876</v>
      </c>
    </row>
    <row r="1253" spans="1:4" x14ac:dyDescent="0.25">
      <c r="A1253" t="s">
        <v>1105</v>
      </c>
      <c r="B1253">
        <v>354</v>
      </c>
      <c r="C1253">
        <v>141</v>
      </c>
      <c r="D1253" t="s">
        <v>876</v>
      </c>
    </row>
    <row r="1254" spans="1:4" x14ac:dyDescent="0.25">
      <c r="A1254" t="s">
        <v>1105</v>
      </c>
      <c r="B1254">
        <v>351</v>
      </c>
      <c r="C1254">
        <v>137</v>
      </c>
      <c r="D1254" t="s">
        <v>876</v>
      </c>
    </row>
    <row r="1255" spans="1:4" x14ac:dyDescent="0.25">
      <c r="A1255" t="s">
        <v>1105</v>
      </c>
      <c r="B1255">
        <v>341</v>
      </c>
      <c r="C1255">
        <v>136</v>
      </c>
      <c r="D1255" t="s">
        <v>876</v>
      </c>
    </row>
    <row r="1256" spans="1:4" x14ac:dyDescent="0.25">
      <c r="A1256" t="s">
        <v>1105</v>
      </c>
      <c r="B1256">
        <v>313</v>
      </c>
      <c r="C1256">
        <v>131</v>
      </c>
      <c r="D1256" t="s">
        <v>876</v>
      </c>
    </row>
    <row r="1257" spans="1:4" x14ac:dyDescent="0.25">
      <c r="A1257" t="s">
        <v>1105</v>
      </c>
      <c r="B1257">
        <v>353</v>
      </c>
      <c r="C1257">
        <v>136</v>
      </c>
      <c r="D1257" t="s">
        <v>876</v>
      </c>
    </row>
    <row r="1258" spans="1:4" x14ac:dyDescent="0.25">
      <c r="A1258" t="s">
        <v>1105</v>
      </c>
      <c r="B1258">
        <v>355</v>
      </c>
      <c r="C1258">
        <v>139</v>
      </c>
      <c r="D1258" t="s">
        <v>876</v>
      </c>
    </row>
    <row r="1259" spans="1:4" x14ac:dyDescent="0.25">
      <c r="A1259" t="s">
        <v>1105</v>
      </c>
      <c r="B1259">
        <v>323</v>
      </c>
      <c r="C1259">
        <v>151</v>
      </c>
      <c r="D1259" t="s">
        <v>876</v>
      </c>
    </row>
    <row r="1260" spans="1:4" x14ac:dyDescent="0.25">
      <c r="A1260" t="s">
        <v>1105</v>
      </c>
      <c r="B1260">
        <v>301</v>
      </c>
      <c r="C1260">
        <v>150</v>
      </c>
      <c r="D1260" t="s">
        <v>876</v>
      </c>
    </row>
    <row r="1261" spans="1:4" x14ac:dyDescent="0.25">
      <c r="A1261" t="s">
        <v>1105</v>
      </c>
      <c r="B1261">
        <v>344</v>
      </c>
      <c r="C1261">
        <v>151</v>
      </c>
      <c r="D1261" t="s">
        <v>876</v>
      </c>
    </row>
    <row r="1262" spans="1:4" x14ac:dyDescent="0.25">
      <c r="A1262" t="s">
        <v>1105</v>
      </c>
      <c r="B1262">
        <v>321</v>
      </c>
      <c r="C1262">
        <v>131</v>
      </c>
      <c r="D1262" t="s">
        <v>876</v>
      </c>
    </row>
    <row r="1263" spans="1:4" x14ac:dyDescent="0.25">
      <c r="A1263" t="s">
        <v>1105</v>
      </c>
      <c r="B1263">
        <v>311</v>
      </c>
      <c r="C1263">
        <v>130</v>
      </c>
      <c r="D1263" t="s">
        <v>876</v>
      </c>
    </row>
    <row r="1264" spans="1:4" x14ac:dyDescent="0.25">
      <c r="A1264" t="s">
        <v>1105</v>
      </c>
      <c r="B1264">
        <v>342</v>
      </c>
      <c r="C1264">
        <v>151</v>
      </c>
      <c r="D1264" t="s">
        <v>876</v>
      </c>
    </row>
    <row r="1265" spans="1:4" x14ac:dyDescent="0.25">
      <c r="A1265" t="s">
        <v>1105</v>
      </c>
      <c r="B1265">
        <v>356</v>
      </c>
      <c r="C1265">
        <v>150</v>
      </c>
      <c r="D1265" t="s">
        <v>876</v>
      </c>
    </row>
    <row r="1266" spans="1:4" x14ac:dyDescent="0.25">
      <c r="A1266" t="s">
        <v>1105</v>
      </c>
      <c r="B1266">
        <v>324</v>
      </c>
      <c r="C1266">
        <v>151</v>
      </c>
      <c r="D1266" t="s">
        <v>876</v>
      </c>
    </row>
    <row r="1267" spans="1:4" x14ac:dyDescent="0.25">
      <c r="A1267" t="s">
        <v>1105</v>
      </c>
      <c r="B1267">
        <v>352</v>
      </c>
      <c r="C1267">
        <v>141</v>
      </c>
      <c r="D1267" t="s">
        <v>876</v>
      </c>
    </row>
    <row r="1268" spans="1:4" x14ac:dyDescent="0.25">
      <c r="A1268" t="s">
        <v>1105</v>
      </c>
      <c r="B1268">
        <v>314</v>
      </c>
      <c r="C1268">
        <v>147</v>
      </c>
      <c r="D1268" t="s">
        <v>876</v>
      </c>
    </row>
    <row r="1269" spans="1:4" x14ac:dyDescent="0.25">
      <c r="A1269" t="s">
        <v>1105</v>
      </c>
      <c r="B1269">
        <v>322</v>
      </c>
      <c r="C1269">
        <v>132</v>
      </c>
      <c r="D1269" t="s">
        <v>876</v>
      </c>
    </row>
    <row r="1270" spans="1:4" x14ac:dyDescent="0.25">
      <c r="A1270" t="s">
        <v>1105</v>
      </c>
      <c r="B1270">
        <v>103</v>
      </c>
      <c r="C1270">
        <v>134</v>
      </c>
      <c r="D1270" t="s">
        <v>876</v>
      </c>
    </row>
    <row r="1271" spans="1:4" x14ac:dyDescent="0.25">
      <c r="A1271" t="s">
        <v>1105</v>
      </c>
      <c r="B1271">
        <v>116</v>
      </c>
      <c r="C1271">
        <v>147</v>
      </c>
      <c r="D1271" t="s">
        <v>876</v>
      </c>
    </row>
    <row r="1272" spans="1:4" x14ac:dyDescent="0.25">
      <c r="A1272" t="s">
        <v>1105</v>
      </c>
      <c r="B1272">
        <v>121</v>
      </c>
      <c r="C1272">
        <v>151</v>
      </c>
      <c r="D1272" t="s">
        <v>876</v>
      </c>
    </row>
    <row r="1273" spans="1:4" x14ac:dyDescent="0.25">
      <c r="A1273" t="s">
        <v>1105</v>
      </c>
      <c r="B1273">
        <v>113</v>
      </c>
      <c r="C1273">
        <v>152</v>
      </c>
      <c r="D1273" t="s">
        <v>876</v>
      </c>
    </row>
    <row r="1274" spans="1:4" x14ac:dyDescent="0.25">
      <c r="A1274" t="s">
        <v>1105</v>
      </c>
      <c r="B1274">
        <v>112</v>
      </c>
      <c r="C1274">
        <v>134</v>
      </c>
      <c r="D1274" t="s">
        <v>876</v>
      </c>
    </row>
    <row r="1275" spans="1:4" x14ac:dyDescent="0.25">
      <c r="A1275" t="s">
        <v>1105</v>
      </c>
      <c r="B1275">
        <v>104</v>
      </c>
      <c r="C1275">
        <v>151</v>
      </c>
      <c r="D1275" t="s">
        <v>876</v>
      </c>
    </row>
    <row r="1276" spans="1:4" x14ac:dyDescent="0.25">
      <c r="A1276" t="s">
        <v>1105</v>
      </c>
      <c r="B1276">
        <v>134</v>
      </c>
      <c r="C1276">
        <v>155</v>
      </c>
      <c r="D1276" t="s">
        <v>876</v>
      </c>
    </row>
    <row r="1277" spans="1:4" x14ac:dyDescent="0.25">
      <c r="A1277" t="s">
        <v>1105</v>
      </c>
      <c r="B1277">
        <v>123</v>
      </c>
      <c r="C1277">
        <v>135</v>
      </c>
      <c r="D1277" t="s">
        <v>876</v>
      </c>
    </row>
    <row r="1278" spans="1:4" x14ac:dyDescent="0.25">
      <c r="A1278" t="s">
        <v>1105</v>
      </c>
      <c r="B1278">
        <v>132</v>
      </c>
      <c r="C1278">
        <v>151</v>
      </c>
      <c r="D1278" t="s">
        <v>876</v>
      </c>
    </row>
    <row r="1279" spans="1:4" x14ac:dyDescent="0.25">
      <c r="A1279" t="s">
        <v>1105</v>
      </c>
      <c r="B1279">
        <v>101</v>
      </c>
      <c r="C1279">
        <v>137</v>
      </c>
      <c r="D1279" t="s">
        <v>876</v>
      </c>
    </row>
    <row r="1280" spans="1:4" x14ac:dyDescent="0.25">
      <c r="A1280" t="s">
        <v>1105</v>
      </c>
      <c r="B1280">
        <v>102</v>
      </c>
      <c r="C1280">
        <v>152</v>
      </c>
      <c r="D1280" t="s">
        <v>876</v>
      </c>
    </row>
    <row r="1281" spans="1:4" x14ac:dyDescent="0.25">
      <c r="A1281" t="s">
        <v>1105</v>
      </c>
      <c r="B1281">
        <v>122</v>
      </c>
      <c r="C1281">
        <v>134</v>
      </c>
      <c r="D1281" t="s">
        <v>876</v>
      </c>
    </row>
    <row r="1282" spans="1:4" x14ac:dyDescent="0.25">
      <c r="A1282" t="s">
        <v>1105</v>
      </c>
      <c r="B1282">
        <v>133</v>
      </c>
      <c r="C1282">
        <v>135</v>
      </c>
      <c r="D1282" t="s">
        <v>876</v>
      </c>
    </row>
    <row r="1283" spans="1:4" x14ac:dyDescent="0.25">
      <c r="A1283" t="s">
        <v>1105</v>
      </c>
      <c r="B1283">
        <v>131</v>
      </c>
      <c r="C1283">
        <v>138</v>
      </c>
      <c r="D1283" t="s">
        <v>876</v>
      </c>
    </row>
    <row r="1284" spans="1:4" x14ac:dyDescent="0.25">
      <c r="A1284" t="s">
        <v>1105</v>
      </c>
      <c r="B1284">
        <v>111</v>
      </c>
      <c r="C1284">
        <v>134</v>
      </c>
      <c r="D1284" t="s">
        <v>876</v>
      </c>
    </row>
    <row r="1285" spans="1:4" x14ac:dyDescent="0.25">
      <c r="A1285" t="s">
        <v>1105</v>
      </c>
      <c r="B1285">
        <v>124</v>
      </c>
      <c r="C1285">
        <v>151</v>
      </c>
      <c r="D1285" t="s">
        <v>876</v>
      </c>
    </row>
    <row r="1286" spans="1:4" x14ac:dyDescent="0.25">
      <c r="A1286" t="s">
        <v>1105</v>
      </c>
      <c r="B1286">
        <v>242</v>
      </c>
      <c r="C1286">
        <v>150</v>
      </c>
      <c r="D1286" t="s">
        <v>876</v>
      </c>
    </row>
    <row r="1287" spans="1:4" x14ac:dyDescent="0.25">
      <c r="A1287" t="s">
        <v>1105</v>
      </c>
      <c r="B1287">
        <v>254</v>
      </c>
      <c r="C1287">
        <v>143</v>
      </c>
      <c r="D1287" t="s">
        <v>876</v>
      </c>
    </row>
    <row r="1288" spans="1:4" x14ac:dyDescent="0.25">
      <c r="A1288" t="s">
        <v>1105</v>
      </c>
      <c r="B1288">
        <v>285</v>
      </c>
      <c r="C1288">
        <v>140</v>
      </c>
      <c r="D1288" t="s">
        <v>876</v>
      </c>
    </row>
    <row r="1289" spans="1:4" x14ac:dyDescent="0.25">
      <c r="A1289" t="s">
        <v>1105</v>
      </c>
      <c r="B1289">
        <v>224</v>
      </c>
      <c r="C1289">
        <v>151</v>
      </c>
      <c r="D1289" t="s">
        <v>876</v>
      </c>
    </row>
    <row r="1290" spans="1:4" x14ac:dyDescent="0.25">
      <c r="A1290" t="s">
        <v>1105</v>
      </c>
      <c r="B1290">
        <v>262</v>
      </c>
      <c r="C1290">
        <v>143</v>
      </c>
      <c r="D1290" t="s">
        <v>876</v>
      </c>
    </row>
    <row r="1291" spans="1:4" x14ac:dyDescent="0.25">
      <c r="A1291" t="s">
        <v>1105</v>
      </c>
      <c r="B1291">
        <v>274</v>
      </c>
      <c r="C1291">
        <v>157</v>
      </c>
      <c r="D1291" t="s">
        <v>876</v>
      </c>
    </row>
    <row r="1292" spans="1:4" x14ac:dyDescent="0.25">
      <c r="A1292" t="s">
        <v>1105</v>
      </c>
      <c r="B1292">
        <v>244</v>
      </c>
      <c r="C1292">
        <v>156</v>
      </c>
      <c r="D1292" t="s">
        <v>876</v>
      </c>
    </row>
    <row r="1293" spans="1:4" x14ac:dyDescent="0.25">
      <c r="A1293" t="s">
        <v>1105</v>
      </c>
      <c r="B1293">
        <v>222</v>
      </c>
      <c r="C1293">
        <v>133</v>
      </c>
      <c r="D1293" t="s">
        <v>876</v>
      </c>
    </row>
    <row r="1294" spans="1:4" x14ac:dyDescent="0.25">
      <c r="A1294" t="s">
        <v>1105</v>
      </c>
      <c r="B1294">
        <v>263</v>
      </c>
      <c r="C1294">
        <v>140</v>
      </c>
      <c r="D1294" t="s">
        <v>876</v>
      </c>
    </row>
    <row r="1295" spans="1:4" x14ac:dyDescent="0.25">
      <c r="A1295" t="s">
        <v>1105</v>
      </c>
      <c r="B1295">
        <v>203</v>
      </c>
      <c r="C1295">
        <v>134</v>
      </c>
      <c r="D1295" t="s">
        <v>876</v>
      </c>
    </row>
    <row r="1296" spans="1:4" x14ac:dyDescent="0.25">
      <c r="A1296" t="s">
        <v>1105</v>
      </c>
      <c r="B1296">
        <v>252</v>
      </c>
      <c r="C1296">
        <v>143</v>
      </c>
      <c r="D1296" t="s">
        <v>876</v>
      </c>
    </row>
    <row r="1297" spans="1:4" x14ac:dyDescent="0.25">
      <c r="A1297" t="s">
        <v>1105</v>
      </c>
      <c r="B1297">
        <v>281</v>
      </c>
      <c r="C1297">
        <v>141</v>
      </c>
      <c r="D1297" t="s">
        <v>876</v>
      </c>
    </row>
    <row r="1298" spans="1:4" x14ac:dyDescent="0.25">
      <c r="A1298" t="s">
        <v>1105</v>
      </c>
      <c r="B1298">
        <v>282</v>
      </c>
      <c r="C1298">
        <v>142</v>
      </c>
      <c r="D1298" t="s">
        <v>876</v>
      </c>
    </row>
    <row r="1299" spans="1:4" x14ac:dyDescent="0.25">
      <c r="A1299" t="s">
        <v>1105</v>
      </c>
      <c r="B1299">
        <v>272</v>
      </c>
      <c r="C1299">
        <v>138</v>
      </c>
      <c r="D1299" t="s">
        <v>876</v>
      </c>
    </row>
    <row r="1300" spans="1:4" x14ac:dyDescent="0.25">
      <c r="A1300" t="s">
        <v>1105</v>
      </c>
      <c r="B1300">
        <v>232</v>
      </c>
      <c r="C1300">
        <v>136</v>
      </c>
      <c r="D1300" t="s">
        <v>876</v>
      </c>
    </row>
    <row r="1301" spans="1:4" x14ac:dyDescent="0.25">
      <c r="A1301" t="s">
        <v>1105</v>
      </c>
      <c r="B1301">
        <v>283</v>
      </c>
      <c r="C1301">
        <v>137</v>
      </c>
      <c r="D1301" t="s">
        <v>876</v>
      </c>
    </row>
    <row r="1302" spans="1:4" x14ac:dyDescent="0.25">
      <c r="A1302" t="s">
        <v>1105</v>
      </c>
      <c r="B1302">
        <v>223</v>
      </c>
      <c r="C1302">
        <v>135</v>
      </c>
      <c r="D1302" t="s">
        <v>876</v>
      </c>
    </row>
    <row r="1303" spans="1:4" x14ac:dyDescent="0.25">
      <c r="A1303" t="s">
        <v>1105</v>
      </c>
      <c r="B1303">
        <v>286</v>
      </c>
      <c r="C1303">
        <v>151</v>
      </c>
      <c r="D1303" t="s">
        <v>876</v>
      </c>
    </row>
    <row r="1304" spans="1:4" x14ac:dyDescent="0.25">
      <c r="A1304" t="s">
        <v>1105</v>
      </c>
      <c r="B1304">
        <v>233</v>
      </c>
      <c r="C1304">
        <v>151</v>
      </c>
      <c r="D1304" t="s">
        <v>876</v>
      </c>
    </row>
    <row r="1305" spans="1:4" x14ac:dyDescent="0.25">
      <c r="A1305" t="s">
        <v>1105</v>
      </c>
      <c r="B1305">
        <v>231</v>
      </c>
      <c r="C1305">
        <v>134</v>
      </c>
      <c r="D1305" t="s">
        <v>876</v>
      </c>
    </row>
    <row r="1306" spans="1:4" x14ac:dyDescent="0.25">
      <c r="A1306" t="s">
        <v>1105</v>
      </c>
      <c r="B1306">
        <v>241</v>
      </c>
      <c r="C1306">
        <v>137</v>
      </c>
      <c r="D1306" t="s">
        <v>876</v>
      </c>
    </row>
    <row r="1307" spans="1:4" x14ac:dyDescent="0.25">
      <c r="A1307" t="s">
        <v>1105</v>
      </c>
      <c r="B1307">
        <v>202</v>
      </c>
      <c r="C1307">
        <v>152</v>
      </c>
      <c r="D1307" t="s">
        <v>876</v>
      </c>
    </row>
    <row r="1308" spans="1:4" x14ac:dyDescent="0.25">
      <c r="A1308" t="s">
        <v>1105</v>
      </c>
      <c r="B1308">
        <v>284</v>
      </c>
      <c r="C1308">
        <v>142</v>
      </c>
      <c r="D1308" t="s">
        <v>876</v>
      </c>
    </row>
    <row r="1309" spans="1:4" x14ac:dyDescent="0.25">
      <c r="A1309" t="s">
        <v>1105</v>
      </c>
      <c r="B1309">
        <v>256</v>
      </c>
      <c r="C1309">
        <v>157</v>
      </c>
      <c r="D1309" t="s">
        <v>876</v>
      </c>
    </row>
    <row r="1310" spans="1:4" x14ac:dyDescent="0.25">
      <c r="A1310" t="s">
        <v>1105</v>
      </c>
      <c r="B1310">
        <v>271</v>
      </c>
      <c r="C1310">
        <v>147</v>
      </c>
      <c r="D1310" t="s">
        <v>876</v>
      </c>
    </row>
    <row r="1311" spans="1:4" x14ac:dyDescent="0.25">
      <c r="A1311" t="s">
        <v>1105</v>
      </c>
      <c r="B1311">
        <v>243</v>
      </c>
      <c r="C1311">
        <v>135</v>
      </c>
      <c r="D1311" t="s">
        <v>876</v>
      </c>
    </row>
    <row r="1312" spans="1:4" x14ac:dyDescent="0.25">
      <c r="A1312" t="s">
        <v>1105</v>
      </c>
      <c r="B1312">
        <v>234</v>
      </c>
      <c r="C1312">
        <v>151</v>
      </c>
      <c r="D1312" t="s">
        <v>876</v>
      </c>
    </row>
    <row r="1313" spans="1:4" x14ac:dyDescent="0.25">
      <c r="A1313" t="s">
        <v>1105</v>
      </c>
      <c r="B1313">
        <v>264</v>
      </c>
      <c r="C1313">
        <v>146</v>
      </c>
      <c r="D1313" t="s">
        <v>876</v>
      </c>
    </row>
    <row r="1314" spans="1:4" x14ac:dyDescent="0.25">
      <c r="A1314" t="s">
        <v>1105</v>
      </c>
      <c r="B1314">
        <v>251</v>
      </c>
      <c r="C1314">
        <v>141</v>
      </c>
      <c r="D1314" t="s">
        <v>876</v>
      </c>
    </row>
    <row r="1315" spans="1:4" x14ac:dyDescent="0.25">
      <c r="A1315" t="s">
        <v>1105</v>
      </c>
      <c r="B1315">
        <v>253</v>
      </c>
      <c r="C1315">
        <v>138</v>
      </c>
      <c r="D1315" t="s">
        <v>876</v>
      </c>
    </row>
    <row r="1316" spans="1:4" x14ac:dyDescent="0.25">
      <c r="A1316" t="s">
        <v>1105</v>
      </c>
      <c r="B1316">
        <v>261</v>
      </c>
      <c r="C1316">
        <v>142</v>
      </c>
      <c r="D1316" t="s">
        <v>876</v>
      </c>
    </row>
    <row r="1317" spans="1:4" x14ac:dyDescent="0.25">
      <c r="A1317" t="s">
        <v>1105</v>
      </c>
      <c r="B1317">
        <v>201</v>
      </c>
      <c r="C1317">
        <v>133</v>
      </c>
      <c r="D1317" t="s">
        <v>876</v>
      </c>
    </row>
    <row r="1318" spans="1:4" x14ac:dyDescent="0.25">
      <c r="A1318" t="s">
        <v>1105</v>
      </c>
      <c r="B1318">
        <v>221</v>
      </c>
      <c r="C1318">
        <v>151</v>
      </c>
      <c r="D1318" t="s">
        <v>876</v>
      </c>
    </row>
    <row r="1319" spans="1:4" x14ac:dyDescent="0.25">
      <c r="A1319" t="s">
        <v>1105</v>
      </c>
      <c r="B1319">
        <v>273</v>
      </c>
      <c r="C1319">
        <v>141</v>
      </c>
      <c r="D1319" t="s">
        <v>876</v>
      </c>
    </row>
    <row r="1320" spans="1:4" x14ac:dyDescent="0.25">
      <c r="A1320" t="s">
        <v>1105</v>
      </c>
      <c r="B1320">
        <v>204</v>
      </c>
      <c r="C1320">
        <v>147</v>
      </c>
      <c r="D1320" t="s">
        <v>876</v>
      </c>
    </row>
    <row r="1321" spans="1:4" x14ac:dyDescent="0.25">
      <c r="A1321" t="s">
        <v>1105</v>
      </c>
      <c r="B1321">
        <v>255</v>
      </c>
      <c r="C1321">
        <v>140</v>
      </c>
      <c r="D1321" t="s">
        <v>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86B2-FC45-4F0B-B4CA-80DA1316F216}">
  <dimension ref="A1:E1315"/>
  <sheetViews>
    <sheetView topLeftCell="A88" workbookViewId="0">
      <selection activeCell="D106" sqref="D106"/>
    </sheetView>
  </sheetViews>
  <sheetFormatPr defaultRowHeight="15" x14ac:dyDescent="0.25"/>
  <cols>
    <col min="1" max="1" width="17.85546875" customWidth="1"/>
    <col min="2" max="2" width="19.28515625" customWidth="1"/>
    <col min="3" max="3" width="18.5703125" customWidth="1"/>
    <col min="4" max="4" width="21" customWidth="1"/>
    <col min="5" max="5" width="29.5703125" customWidth="1"/>
  </cols>
  <sheetData>
    <row r="1" spans="1:5" x14ac:dyDescent="0.25">
      <c r="A1" t="s">
        <v>1106</v>
      </c>
      <c r="B1" t="s">
        <v>1110</v>
      </c>
      <c r="C1" t="s">
        <v>1111</v>
      </c>
      <c r="D1" t="s">
        <v>1107</v>
      </c>
      <c r="E1" t="s">
        <v>1112</v>
      </c>
    </row>
    <row r="2" spans="1:5" x14ac:dyDescent="0.25">
      <c r="A2" t="s">
        <v>1093</v>
      </c>
      <c r="B2">
        <v>1</v>
      </c>
      <c r="D2">
        <v>110</v>
      </c>
      <c r="E2" t="s">
        <v>1113</v>
      </c>
    </row>
    <row r="3" spans="1:5" x14ac:dyDescent="0.25">
      <c r="A3" t="s">
        <v>1093</v>
      </c>
      <c r="B3">
        <v>1</v>
      </c>
      <c r="D3">
        <v>111</v>
      </c>
      <c r="E3" t="s">
        <v>1114</v>
      </c>
    </row>
    <row r="4" spans="1:5" x14ac:dyDescent="0.25">
      <c r="A4" t="s">
        <v>1093</v>
      </c>
      <c r="B4">
        <v>1</v>
      </c>
      <c r="D4">
        <v>112</v>
      </c>
      <c r="E4" t="s">
        <v>1115</v>
      </c>
    </row>
    <row r="5" spans="1:5" x14ac:dyDescent="0.25">
      <c r="A5" t="s">
        <v>1093</v>
      </c>
      <c r="B5">
        <v>1</v>
      </c>
      <c r="D5">
        <v>113</v>
      </c>
      <c r="E5" t="s">
        <v>1114</v>
      </c>
    </row>
    <row r="6" spans="1:5" x14ac:dyDescent="0.25">
      <c r="A6" t="s">
        <v>1093</v>
      </c>
      <c r="B6">
        <v>1</v>
      </c>
      <c r="D6">
        <v>115</v>
      </c>
      <c r="E6" t="s">
        <v>1114</v>
      </c>
    </row>
    <row r="7" spans="1:5" x14ac:dyDescent="0.25">
      <c r="A7" t="s">
        <v>1093</v>
      </c>
      <c r="B7">
        <v>1</v>
      </c>
      <c r="C7" t="s">
        <v>1116</v>
      </c>
      <c r="D7" t="s">
        <v>995</v>
      </c>
      <c r="E7" t="s">
        <v>1113</v>
      </c>
    </row>
    <row r="8" spans="1:5" x14ac:dyDescent="0.25">
      <c r="A8" t="s">
        <v>1093</v>
      </c>
      <c r="B8">
        <v>1</v>
      </c>
      <c r="C8" t="s">
        <v>1116</v>
      </c>
      <c r="D8" t="s">
        <v>998</v>
      </c>
      <c r="E8" t="s">
        <v>1113</v>
      </c>
    </row>
    <row r="9" spans="1:5" x14ac:dyDescent="0.25">
      <c r="A9" t="s">
        <v>1093</v>
      </c>
      <c r="B9">
        <v>1</v>
      </c>
      <c r="D9">
        <v>117</v>
      </c>
      <c r="E9" t="s">
        <v>1115</v>
      </c>
    </row>
    <row r="10" spans="1:5" x14ac:dyDescent="0.25">
      <c r="A10" t="s">
        <v>1093</v>
      </c>
      <c r="B10">
        <v>1</v>
      </c>
      <c r="D10">
        <v>118</v>
      </c>
      <c r="E10" t="s">
        <v>1114</v>
      </c>
    </row>
    <row r="11" spans="1:5" x14ac:dyDescent="0.25">
      <c r="A11" t="s">
        <v>1093</v>
      </c>
      <c r="B11">
        <v>1</v>
      </c>
      <c r="D11" t="s">
        <v>986</v>
      </c>
      <c r="E11" t="s">
        <v>1113</v>
      </c>
    </row>
    <row r="12" spans="1:5" x14ac:dyDescent="0.25">
      <c r="A12" t="s">
        <v>1093</v>
      </c>
      <c r="B12">
        <v>1</v>
      </c>
      <c r="D12">
        <v>119</v>
      </c>
      <c r="E12" t="s">
        <v>1113</v>
      </c>
    </row>
    <row r="13" spans="1:5" x14ac:dyDescent="0.25">
      <c r="A13" t="s">
        <v>1093</v>
      </c>
      <c r="B13">
        <v>1</v>
      </c>
      <c r="D13">
        <v>120</v>
      </c>
      <c r="E13" t="s">
        <v>1114</v>
      </c>
    </row>
    <row r="14" spans="1:5" x14ac:dyDescent="0.25">
      <c r="A14" t="s">
        <v>1093</v>
      </c>
      <c r="B14">
        <v>1</v>
      </c>
      <c r="D14">
        <v>121</v>
      </c>
      <c r="E14" t="s">
        <v>1114</v>
      </c>
    </row>
    <row r="15" spans="1:5" x14ac:dyDescent="0.25">
      <c r="A15" t="s">
        <v>1093</v>
      </c>
      <c r="B15">
        <v>1</v>
      </c>
      <c r="D15">
        <v>122</v>
      </c>
      <c r="E15" t="s">
        <v>1113</v>
      </c>
    </row>
    <row r="16" spans="1:5" x14ac:dyDescent="0.25">
      <c r="A16" t="s">
        <v>1093</v>
      </c>
      <c r="B16">
        <v>1</v>
      </c>
      <c r="D16">
        <v>123</v>
      </c>
      <c r="E16" t="s">
        <v>1114</v>
      </c>
    </row>
    <row r="17" spans="1:5" x14ac:dyDescent="0.25">
      <c r="A17" t="s">
        <v>1093</v>
      </c>
      <c r="B17">
        <v>1</v>
      </c>
      <c r="D17">
        <v>124</v>
      </c>
      <c r="E17" t="s">
        <v>1114</v>
      </c>
    </row>
    <row r="18" spans="1:5" x14ac:dyDescent="0.25">
      <c r="A18" t="s">
        <v>1093</v>
      </c>
      <c r="B18">
        <v>1</v>
      </c>
      <c r="D18">
        <v>125</v>
      </c>
      <c r="E18" t="s">
        <v>1114</v>
      </c>
    </row>
    <row r="19" spans="1:5" x14ac:dyDescent="0.25">
      <c r="A19" t="s">
        <v>1093</v>
      </c>
      <c r="B19">
        <v>1</v>
      </c>
      <c r="D19">
        <v>126</v>
      </c>
      <c r="E19" t="s">
        <v>1114</v>
      </c>
    </row>
    <row r="20" spans="1:5" x14ac:dyDescent="0.25">
      <c r="A20" t="s">
        <v>1093</v>
      </c>
      <c r="B20">
        <v>1</v>
      </c>
      <c r="D20">
        <v>127</v>
      </c>
      <c r="E20" t="s">
        <v>1113</v>
      </c>
    </row>
    <row r="21" spans="1:5" x14ac:dyDescent="0.25">
      <c r="A21" t="s">
        <v>1093</v>
      </c>
      <c r="B21">
        <v>1</v>
      </c>
      <c r="D21">
        <v>128</v>
      </c>
      <c r="E21" t="s">
        <v>1114</v>
      </c>
    </row>
    <row r="22" spans="1:5" x14ac:dyDescent="0.25">
      <c r="A22" t="s">
        <v>1093</v>
      </c>
      <c r="B22">
        <v>1</v>
      </c>
      <c r="D22">
        <v>129</v>
      </c>
      <c r="E22" t="s">
        <v>1114</v>
      </c>
    </row>
    <row r="23" spans="1:5" x14ac:dyDescent="0.25">
      <c r="A23" t="s">
        <v>1093</v>
      </c>
      <c r="B23">
        <v>1</v>
      </c>
      <c r="C23" t="s">
        <v>1117</v>
      </c>
      <c r="D23">
        <v>130</v>
      </c>
      <c r="E23" t="s">
        <v>1113</v>
      </c>
    </row>
    <row r="24" spans="1:5" x14ac:dyDescent="0.25">
      <c r="A24" t="s">
        <v>1093</v>
      </c>
      <c r="B24">
        <v>1</v>
      </c>
      <c r="C24" t="s">
        <v>1117</v>
      </c>
      <c r="D24">
        <v>131</v>
      </c>
      <c r="E24" t="s">
        <v>1113</v>
      </c>
    </row>
    <row r="25" spans="1:5" x14ac:dyDescent="0.25">
      <c r="A25" t="s">
        <v>1093</v>
      </c>
      <c r="B25">
        <v>1</v>
      </c>
      <c r="D25">
        <v>132</v>
      </c>
      <c r="E25" t="s">
        <v>1114</v>
      </c>
    </row>
    <row r="26" spans="1:5" x14ac:dyDescent="0.25">
      <c r="A26" t="s">
        <v>1093</v>
      </c>
      <c r="B26">
        <v>1</v>
      </c>
      <c r="D26">
        <v>133</v>
      </c>
      <c r="E26" t="s">
        <v>1114</v>
      </c>
    </row>
    <row r="27" spans="1:5" x14ac:dyDescent="0.25">
      <c r="A27" t="s">
        <v>1093</v>
      </c>
      <c r="B27">
        <v>1</v>
      </c>
      <c r="D27">
        <v>134</v>
      </c>
      <c r="E27" t="s">
        <v>1114</v>
      </c>
    </row>
    <row r="28" spans="1:5" x14ac:dyDescent="0.25">
      <c r="A28" t="s">
        <v>1093</v>
      </c>
      <c r="B28">
        <v>1</v>
      </c>
      <c r="D28">
        <v>135</v>
      </c>
      <c r="E28" t="s">
        <v>1113</v>
      </c>
    </row>
    <row r="29" spans="1:5" x14ac:dyDescent="0.25">
      <c r="A29" t="s">
        <v>1093</v>
      </c>
      <c r="B29">
        <v>1</v>
      </c>
      <c r="D29">
        <v>136</v>
      </c>
      <c r="E29" t="s">
        <v>1114</v>
      </c>
    </row>
    <row r="30" spans="1:5" x14ac:dyDescent="0.25">
      <c r="A30" t="s">
        <v>1093</v>
      </c>
      <c r="B30">
        <v>1</v>
      </c>
      <c r="D30">
        <v>137</v>
      </c>
      <c r="E30" t="s">
        <v>1114</v>
      </c>
    </row>
    <row r="31" spans="1:5" x14ac:dyDescent="0.25">
      <c r="A31" t="s">
        <v>1093</v>
      </c>
      <c r="B31">
        <v>1</v>
      </c>
      <c r="D31">
        <v>138</v>
      </c>
      <c r="E31" t="s">
        <v>1114</v>
      </c>
    </row>
    <row r="32" spans="1:5" x14ac:dyDescent="0.25">
      <c r="A32" t="s">
        <v>1093</v>
      </c>
      <c r="B32">
        <v>1</v>
      </c>
      <c r="D32">
        <v>139</v>
      </c>
      <c r="E32" t="s">
        <v>1114</v>
      </c>
    </row>
    <row r="33" spans="1:5" x14ac:dyDescent="0.25">
      <c r="A33" t="s">
        <v>1093</v>
      </c>
      <c r="B33">
        <v>1</v>
      </c>
      <c r="D33">
        <v>140</v>
      </c>
      <c r="E33" t="s">
        <v>1114</v>
      </c>
    </row>
    <row r="34" spans="1:5" x14ac:dyDescent="0.25">
      <c r="A34" t="s">
        <v>1093</v>
      </c>
      <c r="B34">
        <v>1</v>
      </c>
      <c r="D34">
        <v>141</v>
      </c>
      <c r="E34" t="s">
        <v>1114</v>
      </c>
    </row>
    <row r="35" spans="1:5" x14ac:dyDescent="0.25">
      <c r="A35" t="s">
        <v>1093</v>
      </c>
      <c r="B35">
        <v>1</v>
      </c>
      <c r="D35">
        <v>142</v>
      </c>
      <c r="E35" t="s">
        <v>1114</v>
      </c>
    </row>
    <row r="36" spans="1:5" x14ac:dyDescent="0.25">
      <c r="A36" t="s">
        <v>1093</v>
      </c>
      <c r="B36">
        <v>1</v>
      </c>
      <c r="D36">
        <v>143</v>
      </c>
      <c r="E36" t="s">
        <v>1114</v>
      </c>
    </row>
    <row r="37" spans="1:5" x14ac:dyDescent="0.25">
      <c r="A37" t="s">
        <v>1093</v>
      </c>
      <c r="B37">
        <v>1</v>
      </c>
      <c r="D37" t="s">
        <v>1094</v>
      </c>
      <c r="E37" t="s">
        <v>1115</v>
      </c>
    </row>
    <row r="38" spans="1:5" x14ac:dyDescent="0.25">
      <c r="A38" t="s">
        <v>1093</v>
      </c>
      <c r="B38">
        <v>2</v>
      </c>
      <c r="D38">
        <v>201</v>
      </c>
      <c r="E38" t="s">
        <v>1115</v>
      </c>
    </row>
    <row r="39" spans="1:5" x14ac:dyDescent="0.25">
      <c r="A39" t="s">
        <v>1093</v>
      </c>
      <c r="B39">
        <v>2</v>
      </c>
      <c r="D39">
        <v>202</v>
      </c>
      <c r="E39" t="s">
        <v>1114</v>
      </c>
    </row>
    <row r="40" spans="1:5" x14ac:dyDescent="0.25">
      <c r="A40" t="s">
        <v>1093</v>
      </c>
      <c r="B40">
        <v>2</v>
      </c>
      <c r="D40">
        <v>203</v>
      </c>
      <c r="E40" t="s">
        <v>1113</v>
      </c>
    </row>
    <row r="41" spans="1:5" x14ac:dyDescent="0.25">
      <c r="A41" t="s">
        <v>1093</v>
      </c>
      <c r="B41">
        <v>2</v>
      </c>
      <c r="D41">
        <v>204</v>
      </c>
      <c r="E41" t="s">
        <v>1114</v>
      </c>
    </row>
    <row r="42" spans="1:5" x14ac:dyDescent="0.25">
      <c r="A42" t="s">
        <v>1093</v>
      </c>
      <c r="B42">
        <v>2</v>
      </c>
      <c r="D42">
        <v>205</v>
      </c>
      <c r="E42" t="s">
        <v>1114</v>
      </c>
    </row>
    <row r="43" spans="1:5" x14ac:dyDescent="0.25">
      <c r="A43" t="s">
        <v>1093</v>
      </c>
      <c r="B43">
        <v>2</v>
      </c>
      <c r="D43">
        <v>206</v>
      </c>
      <c r="E43" t="s">
        <v>1115</v>
      </c>
    </row>
    <row r="44" spans="1:5" x14ac:dyDescent="0.25">
      <c r="A44" t="s">
        <v>1093</v>
      </c>
      <c r="B44">
        <v>2</v>
      </c>
      <c r="D44">
        <v>207</v>
      </c>
      <c r="E44" t="s">
        <v>1114</v>
      </c>
    </row>
    <row r="45" spans="1:5" x14ac:dyDescent="0.25">
      <c r="A45" t="s">
        <v>1093</v>
      </c>
      <c r="B45">
        <v>2</v>
      </c>
      <c r="D45">
        <v>208</v>
      </c>
      <c r="E45" t="s">
        <v>1113</v>
      </c>
    </row>
    <row r="46" spans="1:5" x14ac:dyDescent="0.25">
      <c r="A46" t="s">
        <v>1093</v>
      </c>
      <c r="B46">
        <v>2</v>
      </c>
      <c r="D46">
        <v>209</v>
      </c>
      <c r="E46" t="s">
        <v>1114</v>
      </c>
    </row>
    <row r="47" spans="1:5" x14ac:dyDescent="0.25">
      <c r="A47" t="s">
        <v>1093</v>
      </c>
      <c r="B47">
        <v>2</v>
      </c>
      <c r="D47">
        <v>210</v>
      </c>
      <c r="E47" t="s">
        <v>1114</v>
      </c>
    </row>
    <row r="48" spans="1:5" x14ac:dyDescent="0.25">
      <c r="A48" t="s">
        <v>1093</v>
      </c>
      <c r="B48">
        <v>2</v>
      </c>
      <c r="D48">
        <v>211</v>
      </c>
      <c r="E48" t="s">
        <v>1114</v>
      </c>
    </row>
    <row r="49" spans="1:5" x14ac:dyDescent="0.25">
      <c r="A49" t="s">
        <v>1093</v>
      </c>
      <c r="B49">
        <v>2</v>
      </c>
      <c r="D49">
        <v>212</v>
      </c>
      <c r="E49" t="s">
        <v>1114</v>
      </c>
    </row>
    <row r="50" spans="1:5" x14ac:dyDescent="0.25">
      <c r="A50" t="s">
        <v>1093</v>
      </c>
      <c r="B50">
        <v>2</v>
      </c>
      <c r="D50">
        <v>213</v>
      </c>
      <c r="E50" t="s">
        <v>1114</v>
      </c>
    </row>
    <row r="51" spans="1:5" x14ac:dyDescent="0.25">
      <c r="A51" t="s">
        <v>1093</v>
      </c>
      <c r="B51">
        <v>2</v>
      </c>
      <c r="D51">
        <v>214</v>
      </c>
      <c r="E51" t="s">
        <v>1114</v>
      </c>
    </row>
    <row r="52" spans="1:5" x14ac:dyDescent="0.25">
      <c r="A52" t="s">
        <v>1093</v>
      </c>
      <c r="B52">
        <v>2</v>
      </c>
      <c r="D52">
        <v>215</v>
      </c>
      <c r="E52" t="s">
        <v>1114</v>
      </c>
    </row>
    <row r="53" spans="1:5" x14ac:dyDescent="0.25">
      <c r="A53" t="s">
        <v>1093</v>
      </c>
      <c r="B53">
        <v>2</v>
      </c>
      <c r="D53">
        <v>216</v>
      </c>
      <c r="E53" t="s">
        <v>1114</v>
      </c>
    </row>
    <row r="54" spans="1:5" x14ac:dyDescent="0.25">
      <c r="A54" t="s">
        <v>1093</v>
      </c>
      <c r="B54">
        <v>2</v>
      </c>
      <c r="D54">
        <v>217</v>
      </c>
      <c r="E54" t="s">
        <v>1114</v>
      </c>
    </row>
    <row r="55" spans="1:5" x14ac:dyDescent="0.25">
      <c r="A55" t="s">
        <v>1093</v>
      </c>
      <c r="B55">
        <v>2</v>
      </c>
      <c r="D55">
        <v>218</v>
      </c>
      <c r="E55" t="s">
        <v>1114</v>
      </c>
    </row>
    <row r="56" spans="1:5" x14ac:dyDescent="0.25">
      <c r="A56" t="s">
        <v>1093</v>
      </c>
      <c r="B56">
        <v>2</v>
      </c>
      <c r="D56" t="s">
        <v>1066</v>
      </c>
      <c r="E56" t="s">
        <v>1113</v>
      </c>
    </row>
    <row r="57" spans="1:5" x14ac:dyDescent="0.25">
      <c r="A57" t="s">
        <v>1093</v>
      </c>
      <c r="B57">
        <v>2</v>
      </c>
      <c r="D57">
        <v>219</v>
      </c>
      <c r="E57" t="s">
        <v>1114</v>
      </c>
    </row>
    <row r="58" spans="1:5" x14ac:dyDescent="0.25">
      <c r="A58" t="s">
        <v>1093</v>
      </c>
      <c r="B58">
        <v>2</v>
      </c>
      <c r="D58">
        <v>220</v>
      </c>
      <c r="E58" t="s">
        <v>1114</v>
      </c>
    </row>
    <row r="59" spans="1:5" x14ac:dyDescent="0.25">
      <c r="A59" t="s">
        <v>1093</v>
      </c>
      <c r="B59">
        <v>2</v>
      </c>
      <c r="D59">
        <v>221</v>
      </c>
      <c r="E59" t="s">
        <v>1114</v>
      </c>
    </row>
    <row r="60" spans="1:5" x14ac:dyDescent="0.25">
      <c r="A60" t="s">
        <v>1093</v>
      </c>
      <c r="B60">
        <v>2</v>
      </c>
      <c r="D60">
        <v>222</v>
      </c>
      <c r="E60" t="s">
        <v>1114</v>
      </c>
    </row>
    <row r="61" spans="1:5" x14ac:dyDescent="0.25">
      <c r="A61" t="s">
        <v>1093</v>
      </c>
      <c r="B61">
        <v>2</v>
      </c>
      <c r="D61">
        <v>223</v>
      </c>
      <c r="E61" t="s">
        <v>1114</v>
      </c>
    </row>
    <row r="62" spans="1:5" x14ac:dyDescent="0.25">
      <c r="A62" t="s">
        <v>1093</v>
      </c>
      <c r="B62">
        <v>2</v>
      </c>
      <c r="D62">
        <v>224</v>
      </c>
      <c r="E62" t="s">
        <v>1114</v>
      </c>
    </row>
    <row r="63" spans="1:5" x14ac:dyDescent="0.25">
      <c r="A63" t="s">
        <v>1093</v>
      </c>
      <c r="B63">
        <v>2</v>
      </c>
      <c r="D63">
        <v>225</v>
      </c>
      <c r="E63" t="s">
        <v>1114</v>
      </c>
    </row>
    <row r="64" spans="1:5" x14ac:dyDescent="0.25">
      <c r="A64" t="s">
        <v>1093</v>
      </c>
      <c r="B64">
        <v>2</v>
      </c>
      <c r="D64">
        <v>226</v>
      </c>
      <c r="E64" t="s">
        <v>1114</v>
      </c>
    </row>
    <row r="65" spans="1:5" x14ac:dyDescent="0.25">
      <c r="A65" t="s">
        <v>1093</v>
      </c>
      <c r="B65">
        <v>2</v>
      </c>
      <c r="D65">
        <v>227</v>
      </c>
      <c r="E65" t="s">
        <v>1114</v>
      </c>
    </row>
    <row r="66" spans="1:5" x14ac:dyDescent="0.25">
      <c r="A66" t="s">
        <v>1093</v>
      </c>
      <c r="B66">
        <v>2</v>
      </c>
      <c r="D66">
        <v>228</v>
      </c>
      <c r="E66" t="s">
        <v>1114</v>
      </c>
    </row>
    <row r="67" spans="1:5" x14ac:dyDescent="0.25">
      <c r="A67" t="s">
        <v>1093</v>
      </c>
      <c r="B67">
        <v>2</v>
      </c>
      <c r="D67">
        <v>229</v>
      </c>
      <c r="E67" t="s">
        <v>1114</v>
      </c>
    </row>
    <row r="68" spans="1:5" x14ac:dyDescent="0.25">
      <c r="A68" t="s">
        <v>1093</v>
      </c>
      <c r="B68">
        <v>2</v>
      </c>
      <c r="C68" t="s">
        <v>1118</v>
      </c>
      <c r="D68">
        <v>230</v>
      </c>
      <c r="E68" t="s">
        <v>1113</v>
      </c>
    </row>
    <row r="69" spans="1:5" x14ac:dyDescent="0.25">
      <c r="A69" t="s">
        <v>1093</v>
      </c>
      <c r="B69">
        <v>2</v>
      </c>
      <c r="C69" t="s">
        <v>1118</v>
      </c>
      <c r="D69">
        <v>231</v>
      </c>
      <c r="E69" t="s">
        <v>1113</v>
      </c>
    </row>
    <row r="70" spans="1:5" x14ac:dyDescent="0.25">
      <c r="A70" t="s">
        <v>1093</v>
      </c>
      <c r="B70">
        <v>2</v>
      </c>
      <c r="D70">
        <v>232</v>
      </c>
      <c r="E70" t="s">
        <v>1114</v>
      </c>
    </row>
    <row r="71" spans="1:5" x14ac:dyDescent="0.25">
      <c r="A71" t="s">
        <v>1093</v>
      </c>
      <c r="B71">
        <v>2</v>
      </c>
      <c r="D71">
        <v>233</v>
      </c>
      <c r="E71" t="s">
        <v>1114</v>
      </c>
    </row>
    <row r="72" spans="1:5" x14ac:dyDescent="0.25">
      <c r="A72" t="s">
        <v>1093</v>
      </c>
      <c r="B72">
        <v>2</v>
      </c>
      <c r="D72">
        <v>234</v>
      </c>
      <c r="E72" t="s">
        <v>1114</v>
      </c>
    </row>
    <row r="73" spans="1:5" x14ac:dyDescent="0.25">
      <c r="A73" t="s">
        <v>1093</v>
      </c>
      <c r="B73">
        <v>2</v>
      </c>
      <c r="D73">
        <v>235</v>
      </c>
      <c r="E73" t="s">
        <v>1114</v>
      </c>
    </row>
    <row r="74" spans="1:5" x14ac:dyDescent="0.25">
      <c r="A74" t="s">
        <v>1093</v>
      </c>
      <c r="B74">
        <v>2</v>
      </c>
      <c r="D74">
        <v>236</v>
      </c>
      <c r="E74" t="s">
        <v>1114</v>
      </c>
    </row>
    <row r="75" spans="1:5" x14ac:dyDescent="0.25">
      <c r="A75" t="s">
        <v>1093</v>
      </c>
      <c r="B75">
        <v>2</v>
      </c>
      <c r="D75">
        <v>237</v>
      </c>
      <c r="E75" t="s">
        <v>1114</v>
      </c>
    </row>
    <row r="76" spans="1:5" x14ac:dyDescent="0.25">
      <c r="A76" t="s">
        <v>1093</v>
      </c>
      <c r="B76">
        <v>2</v>
      </c>
      <c r="D76">
        <v>238</v>
      </c>
      <c r="E76" t="s">
        <v>1114</v>
      </c>
    </row>
    <row r="77" spans="1:5" x14ac:dyDescent="0.25">
      <c r="A77" t="s">
        <v>1093</v>
      </c>
      <c r="B77">
        <v>2</v>
      </c>
      <c r="D77">
        <v>239</v>
      </c>
      <c r="E77" t="s">
        <v>1114</v>
      </c>
    </row>
    <row r="78" spans="1:5" x14ac:dyDescent="0.25">
      <c r="A78" t="s">
        <v>1093</v>
      </c>
      <c r="B78">
        <v>2</v>
      </c>
      <c r="D78">
        <v>241</v>
      </c>
      <c r="E78" t="s">
        <v>1113</v>
      </c>
    </row>
    <row r="79" spans="1:5" x14ac:dyDescent="0.25">
      <c r="A79" t="s">
        <v>1093</v>
      </c>
      <c r="B79">
        <v>2</v>
      </c>
      <c r="D79">
        <v>242</v>
      </c>
      <c r="E79" t="s">
        <v>1114</v>
      </c>
    </row>
    <row r="80" spans="1:5" x14ac:dyDescent="0.25">
      <c r="A80" t="s">
        <v>1093</v>
      </c>
      <c r="B80">
        <v>2</v>
      </c>
      <c r="D80">
        <v>243</v>
      </c>
      <c r="E80" t="s">
        <v>1114</v>
      </c>
    </row>
    <row r="81" spans="1:5" x14ac:dyDescent="0.25">
      <c r="A81" t="s">
        <v>1093</v>
      </c>
      <c r="B81">
        <v>2</v>
      </c>
      <c r="D81" t="s">
        <v>1095</v>
      </c>
      <c r="E81" t="s">
        <v>1115</v>
      </c>
    </row>
    <row r="82" spans="1:5" x14ac:dyDescent="0.25">
      <c r="A82" t="s">
        <v>1093</v>
      </c>
      <c r="B82">
        <v>3</v>
      </c>
      <c r="C82" t="s">
        <v>1119</v>
      </c>
      <c r="D82">
        <v>341</v>
      </c>
      <c r="E82" t="s">
        <v>1113</v>
      </c>
    </row>
    <row r="83" spans="1:5" x14ac:dyDescent="0.25">
      <c r="A83" t="s">
        <v>1093</v>
      </c>
      <c r="B83">
        <v>3</v>
      </c>
      <c r="C83" t="s">
        <v>1119</v>
      </c>
      <c r="D83">
        <v>342</v>
      </c>
      <c r="E83" t="s">
        <v>1113</v>
      </c>
    </row>
    <row r="84" spans="1:5" x14ac:dyDescent="0.25">
      <c r="A84" t="s">
        <v>1093</v>
      </c>
      <c r="B84">
        <v>3</v>
      </c>
      <c r="C84" t="s">
        <v>1119</v>
      </c>
      <c r="D84">
        <v>343</v>
      </c>
      <c r="E84" t="s">
        <v>1114</v>
      </c>
    </row>
    <row r="85" spans="1:5" x14ac:dyDescent="0.25">
      <c r="A85" t="s">
        <v>1093</v>
      </c>
      <c r="B85" t="s">
        <v>1120</v>
      </c>
      <c r="D85">
        <v>1</v>
      </c>
      <c r="E85" t="s">
        <v>1115</v>
      </c>
    </row>
    <row r="86" spans="1:5" x14ac:dyDescent="0.25">
      <c r="A86" t="s">
        <v>1093</v>
      </c>
      <c r="B86" t="s">
        <v>1120</v>
      </c>
      <c r="D86">
        <v>10</v>
      </c>
      <c r="E86" t="s">
        <v>1115</v>
      </c>
    </row>
    <row r="87" spans="1:5" x14ac:dyDescent="0.25">
      <c r="A87" t="s">
        <v>1093</v>
      </c>
      <c r="B87" t="s">
        <v>1120</v>
      </c>
      <c r="D87">
        <v>11</v>
      </c>
      <c r="E87" t="s">
        <v>1113</v>
      </c>
    </row>
    <row r="88" spans="1:5" x14ac:dyDescent="0.25">
      <c r="A88" t="s">
        <v>1093</v>
      </c>
      <c r="B88" t="s">
        <v>1120</v>
      </c>
      <c r="D88">
        <v>12</v>
      </c>
      <c r="E88" t="s">
        <v>1114</v>
      </c>
    </row>
    <row r="89" spans="1:5" x14ac:dyDescent="0.25">
      <c r="A89" t="s">
        <v>1093</v>
      </c>
      <c r="B89" t="s">
        <v>1120</v>
      </c>
      <c r="D89">
        <v>14</v>
      </c>
      <c r="E89" t="s">
        <v>1114</v>
      </c>
    </row>
    <row r="90" spans="1:5" x14ac:dyDescent="0.25">
      <c r="A90" t="s">
        <v>1093</v>
      </c>
      <c r="B90" t="s">
        <v>1120</v>
      </c>
      <c r="D90">
        <v>15</v>
      </c>
      <c r="E90" t="s">
        <v>1113</v>
      </c>
    </row>
    <row r="91" spans="1:5" x14ac:dyDescent="0.25">
      <c r="A91" t="s">
        <v>1093</v>
      </c>
      <c r="B91" t="s">
        <v>1120</v>
      </c>
      <c r="D91">
        <v>16</v>
      </c>
      <c r="E91" t="s">
        <v>1114</v>
      </c>
    </row>
    <row r="92" spans="1:5" x14ac:dyDescent="0.25">
      <c r="A92" t="s">
        <v>1093</v>
      </c>
      <c r="B92" t="s">
        <v>1120</v>
      </c>
      <c r="D92">
        <v>17</v>
      </c>
      <c r="E92" t="s">
        <v>1114</v>
      </c>
    </row>
    <row r="93" spans="1:5" x14ac:dyDescent="0.25">
      <c r="A93" t="s">
        <v>1093</v>
      </c>
      <c r="B93" t="s">
        <v>1120</v>
      </c>
      <c r="D93">
        <v>19</v>
      </c>
      <c r="E93" t="s">
        <v>1113</v>
      </c>
    </row>
    <row r="94" spans="1:5" x14ac:dyDescent="0.25">
      <c r="A94" t="s">
        <v>1093</v>
      </c>
      <c r="B94" t="s">
        <v>1120</v>
      </c>
      <c r="D94">
        <v>2</v>
      </c>
      <c r="E94" t="s">
        <v>1114</v>
      </c>
    </row>
    <row r="95" spans="1:5" x14ac:dyDescent="0.25">
      <c r="A95" t="s">
        <v>1093</v>
      </c>
      <c r="B95" t="s">
        <v>1120</v>
      </c>
      <c r="D95">
        <v>21</v>
      </c>
      <c r="E95" t="s">
        <v>1113</v>
      </c>
    </row>
    <row r="96" spans="1:5" x14ac:dyDescent="0.25">
      <c r="A96" t="s">
        <v>1093</v>
      </c>
      <c r="B96" t="s">
        <v>1120</v>
      </c>
      <c r="D96">
        <v>23</v>
      </c>
      <c r="E96" t="s">
        <v>1113</v>
      </c>
    </row>
    <row r="97" spans="1:5" x14ac:dyDescent="0.25">
      <c r="A97" t="s">
        <v>1093</v>
      </c>
      <c r="B97" t="s">
        <v>1120</v>
      </c>
      <c r="D97">
        <v>24</v>
      </c>
      <c r="E97" t="s">
        <v>1114</v>
      </c>
    </row>
    <row r="98" spans="1:5" x14ac:dyDescent="0.25">
      <c r="A98" t="s">
        <v>1093</v>
      </c>
      <c r="B98" t="s">
        <v>1120</v>
      </c>
      <c r="D98">
        <v>25</v>
      </c>
      <c r="E98" t="s">
        <v>1114</v>
      </c>
    </row>
    <row r="99" spans="1:5" x14ac:dyDescent="0.25">
      <c r="A99" t="s">
        <v>1093</v>
      </c>
      <c r="B99" t="s">
        <v>1120</v>
      </c>
      <c r="D99">
        <v>26</v>
      </c>
      <c r="E99" t="s">
        <v>1115</v>
      </c>
    </row>
    <row r="100" spans="1:5" x14ac:dyDescent="0.25">
      <c r="A100" t="s">
        <v>1093</v>
      </c>
      <c r="B100" t="s">
        <v>1120</v>
      </c>
      <c r="D100">
        <v>3</v>
      </c>
      <c r="E100" t="s">
        <v>1113</v>
      </c>
    </row>
    <row r="101" spans="1:5" x14ac:dyDescent="0.25">
      <c r="A101" t="s">
        <v>1093</v>
      </c>
      <c r="B101" t="s">
        <v>1120</v>
      </c>
      <c r="D101">
        <v>4</v>
      </c>
      <c r="E101" t="s">
        <v>1114</v>
      </c>
    </row>
    <row r="102" spans="1:5" x14ac:dyDescent="0.25">
      <c r="A102" t="s">
        <v>1093</v>
      </c>
      <c r="B102" t="s">
        <v>1120</v>
      </c>
      <c r="D102">
        <v>5</v>
      </c>
      <c r="E102" t="s">
        <v>1113</v>
      </c>
    </row>
    <row r="103" spans="1:5" x14ac:dyDescent="0.25">
      <c r="A103" t="s">
        <v>1093</v>
      </c>
      <c r="B103" t="s">
        <v>1120</v>
      </c>
      <c r="D103">
        <v>6</v>
      </c>
      <c r="E103" t="s">
        <v>1114</v>
      </c>
    </row>
    <row r="104" spans="1:5" x14ac:dyDescent="0.25">
      <c r="A104" t="s">
        <v>1093</v>
      </c>
      <c r="B104" t="s">
        <v>1120</v>
      </c>
      <c r="D104">
        <v>8</v>
      </c>
      <c r="E104" t="s">
        <v>1114</v>
      </c>
    </row>
    <row r="105" spans="1:5" x14ac:dyDescent="0.25">
      <c r="A105" t="s">
        <v>1093</v>
      </c>
      <c r="B105" t="s">
        <v>1120</v>
      </c>
      <c r="D105">
        <v>9</v>
      </c>
      <c r="E105" t="s">
        <v>1114</v>
      </c>
    </row>
    <row r="106" spans="1:5" x14ac:dyDescent="0.25">
      <c r="A106" t="s">
        <v>985</v>
      </c>
      <c r="B106">
        <v>1</v>
      </c>
      <c r="C106" t="s">
        <v>1121</v>
      </c>
      <c r="D106" t="s">
        <v>906</v>
      </c>
      <c r="E106" t="s">
        <v>1114</v>
      </c>
    </row>
    <row r="107" spans="1:5" x14ac:dyDescent="0.25">
      <c r="A107" t="s">
        <v>985</v>
      </c>
      <c r="B107">
        <v>1</v>
      </c>
      <c r="C107" t="s">
        <v>1121</v>
      </c>
      <c r="D107" t="s">
        <v>907</v>
      </c>
      <c r="E107" t="s">
        <v>1113</v>
      </c>
    </row>
    <row r="108" spans="1:5" x14ac:dyDescent="0.25">
      <c r="A108" t="s">
        <v>985</v>
      </c>
      <c r="B108">
        <v>1</v>
      </c>
      <c r="C108" t="s">
        <v>1122</v>
      </c>
      <c r="D108" t="s">
        <v>987</v>
      </c>
      <c r="E108" t="s">
        <v>1113</v>
      </c>
    </row>
    <row r="109" spans="1:5" x14ac:dyDescent="0.25">
      <c r="A109" t="s">
        <v>985</v>
      </c>
      <c r="B109">
        <v>1</v>
      </c>
      <c r="C109" t="s">
        <v>1122</v>
      </c>
      <c r="D109" t="s">
        <v>1006</v>
      </c>
      <c r="E109" t="s">
        <v>1113</v>
      </c>
    </row>
    <row r="110" spans="1:5" x14ac:dyDescent="0.25">
      <c r="A110" t="s">
        <v>985</v>
      </c>
      <c r="B110">
        <v>1</v>
      </c>
      <c r="C110" t="s">
        <v>1123</v>
      </c>
      <c r="D110" t="s">
        <v>996</v>
      </c>
      <c r="E110" t="s">
        <v>1113</v>
      </c>
    </row>
    <row r="111" spans="1:5" x14ac:dyDescent="0.25">
      <c r="A111" t="s">
        <v>985</v>
      </c>
      <c r="B111">
        <v>1</v>
      </c>
      <c r="C111" t="s">
        <v>1123</v>
      </c>
      <c r="D111" t="s">
        <v>1035</v>
      </c>
      <c r="E111" t="s">
        <v>1113</v>
      </c>
    </row>
    <row r="112" spans="1:5" x14ac:dyDescent="0.25">
      <c r="A112" t="s">
        <v>985</v>
      </c>
      <c r="B112">
        <v>1</v>
      </c>
      <c r="C112" t="s">
        <v>1124</v>
      </c>
      <c r="D112" t="s">
        <v>1013</v>
      </c>
      <c r="E112" t="s">
        <v>1113</v>
      </c>
    </row>
    <row r="113" spans="1:5" x14ac:dyDescent="0.25">
      <c r="A113" t="s">
        <v>985</v>
      </c>
      <c r="B113">
        <v>1</v>
      </c>
      <c r="C113" t="s">
        <v>1124</v>
      </c>
      <c r="D113" t="s">
        <v>1004</v>
      </c>
      <c r="E113" t="s">
        <v>1113</v>
      </c>
    </row>
    <row r="114" spans="1:5" x14ac:dyDescent="0.25">
      <c r="A114" t="s">
        <v>985</v>
      </c>
      <c r="B114">
        <v>1</v>
      </c>
      <c r="C114" t="s">
        <v>1125</v>
      </c>
      <c r="D114" t="s">
        <v>1041</v>
      </c>
      <c r="E114" t="s">
        <v>1114</v>
      </c>
    </row>
    <row r="115" spans="1:5" x14ac:dyDescent="0.25">
      <c r="A115" t="s">
        <v>985</v>
      </c>
      <c r="B115">
        <v>1</v>
      </c>
      <c r="C115" t="s">
        <v>1125</v>
      </c>
      <c r="D115" t="s">
        <v>994</v>
      </c>
      <c r="E115" t="s">
        <v>1113</v>
      </c>
    </row>
    <row r="116" spans="1:5" x14ac:dyDescent="0.25">
      <c r="A116" t="s">
        <v>985</v>
      </c>
      <c r="B116">
        <v>1</v>
      </c>
      <c r="C116" t="s">
        <v>1126</v>
      </c>
      <c r="D116" t="s">
        <v>1012</v>
      </c>
      <c r="E116" t="s">
        <v>1114</v>
      </c>
    </row>
    <row r="117" spans="1:5" x14ac:dyDescent="0.25">
      <c r="A117" t="s">
        <v>985</v>
      </c>
      <c r="B117">
        <v>1</v>
      </c>
      <c r="C117" t="s">
        <v>1126</v>
      </c>
      <c r="D117" t="s">
        <v>1007</v>
      </c>
      <c r="E117" t="s">
        <v>1113</v>
      </c>
    </row>
    <row r="118" spans="1:5" x14ac:dyDescent="0.25">
      <c r="A118" t="s">
        <v>985</v>
      </c>
      <c r="B118">
        <v>1</v>
      </c>
      <c r="C118" t="s">
        <v>1127</v>
      </c>
      <c r="D118" t="s">
        <v>1039</v>
      </c>
      <c r="E118" t="s">
        <v>1114</v>
      </c>
    </row>
    <row r="119" spans="1:5" x14ac:dyDescent="0.25">
      <c r="A119" t="s">
        <v>985</v>
      </c>
      <c r="B119">
        <v>1</v>
      </c>
      <c r="C119" t="s">
        <v>1127</v>
      </c>
      <c r="D119" t="s">
        <v>1046</v>
      </c>
      <c r="E119" t="s">
        <v>1113</v>
      </c>
    </row>
    <row r="120" spans="1:5" x14ac:dyDescent="0.25">
      <c r="A120" t="s">
        <v>985</v>
      </c>
      <c r="B120">
        <v>1</v>
      </c>
      <c r="C120" t="s">
        <v>1128</v>
      </c>
      <c r="D120" t="s">
        <v>1040</v>
      </c>
      <c r="E120" t="s">
        <v>1114</v>
      </c>
    </row>
    <row r="121" spans="1:5" x14ac:dyDescent="0.25">
      <c r="A121" t="s">
        <v>985</v>
      </c>
      <c r="B121">
        <v>1</v>
      </c>
      <c r="C121" t="s">
        <v>1128</v>
      </c>
      <c r="D121" t="s">
        <v>1031</v>
      </c>
      <c r="E121" t="s">
        <v>1113</v>
      </c>
    </row>
    <row r="122" spans="1:5" x14ac:dyDescent="0.25">
      <c r="A122" t="s">
        <v>985</v>
      </c>
      <c r="B122">
        <v>1</v>
      </c>
      <c r="C122" t="s">
        <v>1129</v>
      </c>
      <c r="D122" t="s">
        <v>992</v>
      </c>
      <c r="E122" t="s">
        <v>1113</v>
      </c>
    </row>
    <row r="123" spans="1:5" x14ac:dyDescent="0.25">
      <c r="A123" t="s">
        <v>985</v>
      </c>
      <c r="B123">
        <v>1</v>
      </c>
      <c r="C123" t="s">
        <v>1129</v>
      </c>
      <c r="D123" t="s">
        <v>990</v>
      </c>
      <c r="E123" t="s">
        <v>1113</v>
      </c>
    </row>
    <row r="124" spans="1:5" x14ac:dyDescent="0.25">
      <c r="A124" t="s">
        <v>985</v>
      </c>
      <c r="B124">
        <v>1</v>
      </c>
      <c r="C124" t="s">
        <v>1130</v>
      </c>
      <c r="D124" t="s">
        <v>1018</v>
      </c>
      <c r="E124" t="s">
        <v>1113</v>
      </c>
    </row>
    <row r="125" spans="1:5" x14ac:dyDescent="0.25">
      <c r="A125" t="s">
        <v>985</v>
      </c>
      <c r="B125">
        <v>1</v>
      </c>
      <c r="C125" t="s">
        <v>1130</v>
      </c>
      <c r="D125" t="s">
        <v>1045</v>
      </c>
      <c r="E125" t="s">
        <v>1113</v>
      </c>
    </row>
    <row r="126" spans="1:5" x14ac:dyDescent="0.25">
      <c r="A126" t="s">
        <v>985</v>
      </c>
      <c r="B126">
        <v>1</v>
      </c>
      <c r="C126" t="s">
        <v>1131</v>
      </c>
      <c r="D126" t="s">
        <v>1020</v>
      </c>
      <c r="E126" t="s">
        <v>1114</v>
      </c>
    </row>
    <row r="127" spans="1:5" x14ac:dyDescent="0.25">
      <c r="A127" t="s">
        <v>985</v>
      </c>
      <c r="B127">
        <v>1</v>
      </c>
      <c r="C127" t="s">
        <v>1131</v>
      </c>
      <c r="D127" t="s">
        <v>1025</v>
      </c>
      <c r="E127" t="s">
        <v>1113</v>
      </c>
    </row>
    <row r="128" spans="1:5" x14ac:dyDescent="0.25">
      <c r="A128" t="s">
        <v>985</v>
      </c>
      <c r="B128">
        <v>1</v>
      </c>
      <c r="C128" t="s">
        <v>1132</v>
      </c>
      <c r="D128" t="s">
        <v>1042</v>
      </c>
      <c r="E128" t="s">
        <v>1113</v>
      </c>
    </row>
    <row r="129" spans="1:5" x14ac:dyDescent="0.25">
      <c r="A129" t="s">
        <v>985</v>
      </c>
      <c r="B129">
        <v>1</v>
      </c>
      <c r="C129" t="s">
        <v>1132</v>
      </c>
      <c r="D129" t="s">
        <v>1047</v>
      </c>
      <c r="E129" t="s">
        <v>1113</v>
      </c>
    </row>
    <row r="130" spans="1:5" x14ac:dyDescent="0.25">
      <c r="A130" t="s">
        <v>985</v>
      </c>
      <c r="B130">
        <v>1</v>
      </c>
      <c r="C130" t="s">
        <v>1133</v>
      </c>
      <c r="D130" t="s">
        <v>1032</v>
      </c>
      <c r="E130" t="s">
        <v>1113</v>
      </c>
    </row>
    <row r="131" spans="1:5" x14ac:dyDescent="0.25">
      <c r="A131" t="s">
        <v>985</v>
      </c>
      <c r="B131">
        <v>1</v>
      </c>
      <c r="C131" t="s">
        <v>1133</v>
      </c>
      <c r="D131" t="s">
        <v>999</v>
      </c>
      <c r="E131" t="s">
        <v>1113</v>
      </c>
    </row>
    <row r="132" spans="1:5" x14ac:dyDescent="0.25">
      <c r="A132" t="s">
        <v>985</v>
      </c>
      <c r="B132">
        <v>1</v>
      </c>
      <c r="C132" t="s">
        <v>1134</v>
      </c>
      <c r="D132" t="s">
        <v>997</v>
      </c>
      <c r="E132" t="s">
        <v>1113</v>
      </c>
    </row>
    <row r="133" spans="1:5" x14ac:dyDescent="0.25">
      <c r="A133" t="s">
        <v>985</v>
      </c>
      <c r="B133">
        <v>1</v>
      </c>
      <c r="C133" t="s">
        <v>1134</v>
      </c>
      <c r="D133" t="s">
        <v>988</v>
      </c>
      <c r="E133" t="s">
        <v>1113</v>
      </c>
    </row>
    <row r="134" spans="1:5" x14ac:dyDescent="0.25">
      <c r="A134" t="s">
        <v>985</v>
      </c>
      <c r="B134">
        <v>1</v>
      </c>
      <c r="C134" t="s">
        <v>1135</v>
      </c>
      <c r="D134" t="s">
        <v>1014</v>
      </c>
      <c r="E134" t="s">
        <v>1113</v>
      </c>
    </row>
    <row r="135" spans="1:5" x14ac:dyDescent="0.25">
      <c r="A135" t="s">
        <v>985</v>
      </c>
      <c r="B135">
        <v>1</v>
      </c>
      <c r="C135" t="s">
        <v>1135</v>
      </c>
      <c r="D135" t="s">
        <v>1010</v>
      </c>
      <c r="E135" t="s">
        <v>1113</v>
      </c>
    </row>
    <row r="136" spans="1:5" x14ac:dyDescent="0.25">
      <c r="A136" t="s">
        <v>985</v>
      </c>
      <c r="B136">
        <v>1</v>
      </c>
      <c r="C136" t="s">
        <v>1136</v>
      </c>
      <c r="D136" t="s">
        <v>1051</v>
      </c>
      <c r="E136" t="s">
        <v>1113</v>
      </c>
    </row>
    <row r="137" spans="1:5" x14ac:dyDescent="0.25">
      <c r="A137" t="s">
        <v>985</v>
      </c>
      <c r="B137">
        <v>1</v>
      </c>
      <c r="C137" t="s">
        <v>1136</v>
      </c>
      <c r="D137" t="s">
        <v>991</v>
      </c>
      <c r="E137" t="s">
        <v>1113</v>
      </c>
    </row>
    <row r="138" spans="1:5" x14ac:dyDescent="0.25">
      <c r="A138" t="s">
        <v>985</v>
      </c>
      <c r="B138">
        <v>1</v>
      </c>
      <c r="C138" t="s">
        <v>1137</v>
      </c>
      <c r="D138" t="s">
        <v>995</v>
      </c>
      <c r="E138" t="s">
        <v>1113</v>
      </c>
    </row>
    <row r="139" spans="1:5" x14ac:dyDescent="0.25">
      <c r="A139" t="s">
        <v>985</v>
      </c>
      <c r="B139">
        <v>1</v>
      </c>
      <c r="C139" t="s">
        <v>1137</v>
      </c>
      <c r="D139" t="s">
        <v>998</v>
      </c>
      <c r="E139" t="s">
        <v>1113</v>
      </c>
    </row>
    <row r="140" spans="1:5" x14ac:dyDescent="0.25">
      <c r="A140" t="s">
        <v>985</v>
      </c>
      <c r="B140">
        <v>1</v>
      </c>
      <c r="C140" t="s">
        <v>1138</v>
      </c>
      <c r="D140" t="s">
        <v>1016</v>
      </c>
      <c r="E140" t="s">
        <v>1113</v>
      </c>
    </row>
    <row r="141" spans="1:5" x14ac:dyDescent="0.25">
      <c r="A141" t="s">
        <v>985</v>
      </c>
      <c r="B141">
        <v>1</v>
      </c>
      <c r="C141" t="s">
        <v>1138</v>
      </c>
      <c r="D141" t="s">
        <v>1048</v>
      </c>
      <c r="E141" t="s">
        <v>1113</v>
      </c>
    </row>
    <row r="142" spans="1:5" x14ac:dyDescent="0.25">
      <c r="A142" t="s">
        <v>985</v>
      </c>
      <c r="B142">
        <v>1</v>
      </c>
      <c r="C142" t="s">
        <v>1139</v>
      </c>
      <c r="D142" t="s">
        <v>986</v>
      </c>
      <c r="E142" t="s">
        <v>1113</v>
      </c>
    </row>
    <row r="143" spans="1:5" x14ac:dyDescent="0.25">
      <c r="A143" t="s">
        <v>985</v>
      </c>
      <c r="B143">
        <v>1</v>
      </c>
      <c r="C143" t="s">
        <v>1139</v>
      </c>
      <c r="D143" t="s">
        <v>1017</v>
      </c>
      <c r="E143" t="s">
        <v>1113</v>
      </c>
    </row>
    <row r="144" spans="1:5" x14ac:dyDescent="0.25">
      <c r="A144" t="s">
        <v>985</v>
      </c>
      <c r="B144">
        <v>1</v>
      </c>
      <c r="C144" t="s">
        <v>1140</v>
      </c>
      <c r="D144" t="s">
        <v>1027</v>
      </c>
      <c r="E144" t="s">
        <v>1113</v>
      </c>
    </row>
    <row r="145" spans="1:5" x14ac:dyDescent="0.25">
      <c r="A145" t="s">
        <v>985</v>
      </c>
      <c r="B145">
        <v>1</v>
      </c>
      <c r="C145" t="s">
        <v>1140</v>
      </c>
      <c r="D145" t="s">
        <v>1021</v>
      </c>
      <c r="E145" t="s">
        <v>1113</v>
      </c>
    </row>
    <row r="146" spans="1:5" x14ac:dyDescent="0.25">
      <c r="A146" t="s">
        <v>985</v>
      </c>
      <c r="B146">
        <v>1</v>
      </c>
      <c r="C146" t="s">
        <v>1141</v>
      </c>
      <c r="D146" t="s">
        <v>1001</v>
      </c>
      <c r="E146" t="s">
        <v>1113</v>
      </c>
    </row>
    <row r="147" spans="1:5" x14ac:dyDescent="0.25">
      <c r="A147" t="s">
        <v>985</v>
      </c>
      <c r="B147">
        <v>1</v>
      </c>
      <c r="C147" t="s">
        <v>1141</v>
      </c>
      <c r="D147" t="s">
        <v>1022</v>
      </c>
      <c r="E147" t="s">
        <v>1113</v>
      </c>
    </row>
    <row r="148" spans="1:5" x14ac:dyDescent="0.25">
      <c r="A148" t="s">
        <v>985</v>
      </c>
      <c r="B148">
        <v>1</v>
      </c>
      <c r="C148" t="s">
        <v>1142</v>
      </c>
      <c r="D148" t="s">
        <v>1011</v>
      </c>
      <c r="E148" t="s">
        <v>1113</v>
      </c>
    </row>
    <row r="149" spans="1:5" x14ac:dyDescent="0.25">
      <c r="A149" t="s">
        <v>985</v>
      </c>
      <c r="B149">
        <v>1</v>
      </c>
      <c r="C149" t="s">
        <v>1142</v>
      </c>
      <c r="D149" t="s">
        <v>1002</v>
      </c>
      <c r="E149" t="s">
        <v>1113</v>
      </c>
    </row>
    <row r="150" spans="1:5" x14ac:dyDescent="0.25">
      <c r="A150" t="s">
        <v>985</v>
      </c>
      <c r="B150">
        <v>1</v>
      </c>
      <c r="C150" t="s">
        <v>1143</v>
      </c>
      <c r="D150" t="s">
        <v>1023</v>
      </c>
      <c r="E150" t="s">
        <v>1113</v>
      </c>
    </row>
    <row r="151" spans="1:5" x14ac:dyDescent="0.25">
      <c r="A151" t="s">
        <v>985</v>
      </c>
      <c r="B151">
        <v>1</v>
      </c>
      <c r="C151" t="s">
        <v>1143</v>
      </c>
      <c r="D151" t="s">
        <v>1043</v>
      </c>
      <c r="E151" t="s">
        <v>1113</v>
      </c>
    </row>
    <row r="152" spans="1:5" x14ac:dyDescent="0.25">
      <c r="A152" t="s">
        <v>985</v>
      </c>
      <c r="B152">
        <v>1</v>
      </c>
      <c r="C152" t="s">
        <v>1144</v>
      </c>
      <c r="D152" t="s">
        <v>1015</v>
      </c>
      <c r="E152" t="s">
        <v>1113</v>
      </c>
    </row>
    <row r="153" spans="1:5" x14ac:dyDescent="0.25">
      <c r="A153" t="s">
        <v>985</v>
      </c>
      <c r="B153">
        <v>1</v>
      </c>
      <c r="C153" t="s">
        <v>1144</v>
      </c>
      <c r="D153" t="s">
        <v>1050</v>
      </c>
      <c r="E153" t="s">
        <v>1113</v>
      </c>
    </row>
    <row r="154" spans="1:5" x14ac:dyDescent="0.25">
      <c r="A154" t="s">
        <v>985</v>
      </c>
      <c r="B154">
        <v>1</v>
      </c>
      <c r="C154" t="s">
        <v>1145</v>
      </c>
      <c r="D154" t="s">
        <v>1008</v>
      </c>
      <c r="E154" t="s">
        <v>1113</v>
      </c>
    </row>
    <row r="155" spans="1:5" x14ac:dyDescent="0.25">
      <c r="A155" t="s">
        <v>985</v>
      </c>
      <c r="B155">
        <v>1</v>
      </c>
      <c r="C155" t="s">
        <v>1145</v>
      </c>
      <c r="D155" t="s">
        <v>1005</v>
      </c>
      <c r="E155" t="s">
        <v>1113</v>
      </c>
    </row>
    <row r="156" spans="1:5" x14ac:dyDescent="0.25">
      <c r="A156" t="s">
        <v>985</v>
      </c>
      <c r="B156">
        <v>1</v>
      </c>
      <c r="C156" t="s">
        <v>1146</v>
      </c>
      <c r="D156" t="s">
        <v>993</v>
      </c>
      <c r="E156" t="s">
        <v>1113</v>
      </c>
    </row>
    <row r="157" spans="1:5" x14ac:dyDescent="0.25">
      <c r="A157" t="s">
        <v>985</v>
      </c>
      <c r="B157">
        <v>1</v>
      </c>
      <c r="C157" t="s">
        <v>1146</v>
      </c>
      <c r="D157" t="s">
        <v>1034</v>
      </c>
      <c r="E157" t="s">
        <v>1113</v>
      </c>
    </row>
    <row r="158" spans="1:5" x14ac:dyDescent="0.25">
      <c r="A158" t="s">
        <v>985</v>
      </c>
      <c r="B158">
        <v>1</v>
      </c>
      <c r="C158" t="s">
        <v>1147</v>
      </c>
      <c r="D158" t="s">
        <v>1038</v>
      </c>
      <c r="E158" t="s">
        <v>1113</v>
      </c>
    </row>
    <row r="159" spans="1:5" x14ac:dyDescent="0.25">
      <c r="A159" t="s">
        <v>985</v>
      </c>
      <c r="B159">
        <v>1</v>
      </c>
      <c r="C159" t="s">
        <v>1147</v>
      </c>
      <c r="D159" t="s">
        <v>1026</v>
      </c>
      <c r="E159" t="s">
        <v>1113</v>
      </c>
    </row>
    <row r="160" spans="1:5" x14ac:dyDescent="0.25">
      <c r="A160" t="s">
        <v>985</v>
      </c>
      <c r="B160">
        <v>1</v>
      </c>
      <c r="C160" t="s">
        <v>1148</v>
      </c>
      <c r="D160" t="s">
        <v>1029</v>
      </c>
      <c r="E160" t="s">
        <v>1113</v>
      </c>
    </row>
    <row r="161" spans="1:5" x14ac:dyDescent="0.25">
      <c r="A161" t="s">
        <v>985</v>
      </c>
      <c r="B161">
        <v>1</v>
      </c>
      <c r="C161" t="s">
        <v>1148</v>
      </c>
      <c r="D161" t="s">
        <v>1019</v>
      </c>
      <c r="E161" t="s">
        <v>1113</v>
      </c>
    </row>
    <row r="162" spans="1:5" x14ac:dyDescent="0.25">
      <c r="A162" t="s">
        <v>985</v>
      </c>
      <c r="B162">
        <v>1</v>
      </c>
      <c r="C162" t="s">
        <v>1149</v>
      </c>
      <c r="D162" t="s">
        <v>1024</v>
      </c>
      <c r="E162" t="s">
        <v>1113</v>
      </c>
    </row>
    <row r="163" spans="1:5" x14ac:dyDescent="0.25">
      <c r="A163" t="s">
        <v>985</v>
      </c>
      <c r="B163">
        <v>1</v>
      </c>
      <c r="C163" t="s">
        <v>1149</v>
      </c>
      <c r="D163" t="s">
        <v>1044</v>
      </c>
      <c r="E163" t="s">
        <v>1113</v>
      </c>
    </row>
    <row r="164" spans="1:5" x14ac:dyDescent="0.25">
      <c r="A164" t="s">
        <v>985</v>
      </c>
      <c r="B164">
        <v>1</v>
      </c>
      <c r="C164" t="s">
        <v>1150</v>
      </c>
      <c r="D164" t="s">
        <v>1033</v>
      </c>
      <c r="E164" t="s">
        <v>1113</v>
      </c>
    </row>
    <row r="165" spans="1:5" x14ac:dyDescent="0.25">
      <c r="A165" t="s">
        <v>985</v>
      </c>
      <c r="B165">
        <v>1</v>
      </c>
      <c r="C165" t="s">
        <v>1150</v>
      </c>
      <c r="D165" t="s">
        <v>989</v>
      </c>
      <c r="E165" t="s">
        <v>1113</v>
      </c>
    </row>
    <row r="166" spans="1:5" x14ac:dyDescent="0.25">
      <c r="A166" t="s">
        <v>985</v>
      </c>
      <c r="B166">
        <v>1</v>
      </c>
      <c r="C166" t="s">
        <v>1151</v>
      </c>
      <c r="D166" t="s">
        <v>1028</v>
      </c>
      <c r="E166" t="s">
        <v>1113</v>
      </c>
    </row>
    <row r="167" spans="1:5" x14ac:dyDescent="0.25">
      <c r="A167" t="s">
        <v>985</v>
      </c>
      <c r="B167">
        <v>1</v>
      </c>
      <c r="C167" t="s">
        <v>1151</v>
      </c>
      <c r="D167" t="s">
        <v>1037</v>
      </c>
      <c r="E167" t="s">
        <v>1113</v>
      </c>
    </row>
    <row r="168" spans="1:5" x14ac:dyDescent="0.25">
      <c r="A168" t="s">
        <v>985</v>
      </c>
      <c r="B168">
        <v>1</v>
      </c>
      <c r="C168" t="s">
        <v>1152</v>
      </c>
      <c r="D168" t="s">
        <v>1000</v>
      </c>
      <c r="E168" t="s">
        <v>1113</v>
      </c>
    </row>
    <row r="169" spans="1:5" x14ac:dyDescent="0.25">
      <c r="A169" t="s">
        <v>985</v>
      </c>
      <c r="B169">
        <v>1</v>
      </c>
      <c r="C169" t="s">
        <v>1152</v>
      </c>
      <c r="D169" t="s">
        <v>1049</v>
      </c>
      <c r="E169" t="s">
        <v>1113</v>
      </c>
    </row>
    <row r="170" spans="1:5" x14ac:dyDescent="0.25">
      <c r="A170" t="s">
        <v>985</v>
      </c>
      <c r="B170">
        <v>1</v>
      </c>
      <c r="C170" t="s">
        <v>1153</v>
      </c>
      <c r="D170" t="s">
        <v>1003</v>
      </c>
      <c r="E170" t="s">
        <v>1113</v>
      </c>
    </row>
    <row r="171" spans="1:5" x14ac:dyDescent="0.25">
      <c r="A171" t="s">
        <v>985</v>
      </c>
      <c r="B171">
        <v>1</v>
      </c>
      <c r="C171" t="s">
        <v>1153</v>
      </c>
      <c r="D171" t="s">
        <v>1009</v>
      </c>
      <c r="E171" t="s">
        <v>1113</v>
      </c>
    </row>
    <row r="172" spans="1:5" x14ac:dyDescent="0.25">
      <c r="A172" t="s">
        <v>985</v>
      </c>
      <c r="B172">
        <v>1</v>
      </c>
      <c r="C172" t="s">
        <v>1154</v>
      </c>
      <c r="D172" t="s">
        <v>1030</v>
      </c>
      <c r="E172" t="s">
        <v>1113</v>
      </c>
    </row>
    <row r="173" spans="1:5" x14ac:dyDescent="0.25">
      <c r="A173" t="s">
        <v>985</v>
      </c>
      <c r="B173">
        <v>1</v>
      </c>
      <c r="C173" t="s">
        <v>1154</v>
      </c>
      <c r="D173" t="s">
        <v>1036</v>
      </c>
      <c r="E173" t="s">
        <v>1113</v>
      </c>
    </row>
    <row r="174" spans="1:5" x14ac:dyDescent="0.25">
      <c r="A174" t="s">
        <v>985</v>
      </c>
      <c r="B174">
        <v>2</v>
      </c>
      <c r="C174" t="s">
        <v>1155</v>
      </c>
      <c r="D174" t="s">
        <v>1054</v>
      </c>
      <c r="E174" t="s">
        <v>1113</v>
      </c>
    </row>
    <row r="175" spans="1:5" x14ac:dyDescent="0.25">
      <c r="A175" t="s">
        <v>985</v>
      </c>
      <c r="B175">
        <v>2</v>
      </c>
      <c r="C175" t="s">
        <v>1155</v>
      </c>
      <c r="D175" t="s">
        <v>1083</v>
      </c>
      <c r="E175" t="s">
        <v>1113</v>
      </c>
    </row>
    <row r="176" spans="1:5" x14ac:dyDescent="0.25">
      <c r="A176" t="s">
        <v>985</v>
      </c>
      <c r="B176">
        <v>2</v>
      </c>
      <c r="C176" t="s">
        <v>1156</v>
      </c>
      <c r="D176" t="s">
        <v>1074</v>
      </c>
      <c r="E176" t="s">
        <v>1113</v>
      </c>
    </row>
    <row r="177" spans="1:5" x14ac:dyDescent="0.25">
      <c r="A177" t="s">
        <v>985</v>
      </c>
      <c r="B177">
        <v>2</v>
      </c>
      <c r="C177" t="s">
        <v>1156</v>
      </c>
      <c r="D177" t="s">
        <v>1089</v>
      </c>
      <c r="E177" t="s">
        <v>1113</v>
      </c>
    </row>
    <row r="178" spans="1:5" x14ac:dyDescent="0.25">
      <c r="A178" t="s">
        <v>985</v>
      </c>
      <c r="B178">
        <v>2</v>
      </c>
      <c r="C178" t="s">
        <v>1157</v>
      </c>
      <c r="D178" t="s">
        <v>1084</v>
      </c>
      <c r="E178" t="s">
        <v>1113</v>
      </c>
    </row>
    <row r="179" spans="1:5" x14ac:dyDescent="0.25">
      <c r="A179" t="s">
        <v>985</v>
      </c>
      <c r="B179">
        <v>2</v>
      </c>
      <c r="C179" t="s">
        <v>1157</v>
      </c>
      <c r="D179" t="s">
        <v>1062</v>
      </c>
      <c r="E179" t="s">
        <v>1113</v>
      </c>
    </row>
    <row r="180" spans="1:5" x14ac:dyDescent="0.25">
      <c r="A180" t="s">
        <v>985</v>
      </c>
      <c r="B180">
        <v>2</v>
      </c>
      <c r="C180" t="s">
        <v>1158</v>
      </c>
      <c r="D180" t="s">
        <v>1073</v>
      </c>
      <c r="E180" t="s">
        <v>1114</v>
      </c>
    </row>
    <row r="181" spans="1:5" x14ac:dyDescent="0.25">
      <c r="A181" t="s">
        <v>985</v>
      </c>
      <c r="B181">
        <v>2</v>
      </c>
      <c r="C181" t="s">
        <v>1158</v>
      </c>
      <c r="D181" t="s">
        <v>1082</v>
      </c>
      <c r="E181" t="s">
        <v>1114</v>
      </c>
    </row>
    <row r="182" spans="1:5" x14ac:dyDescent="0.25">
      <c r="A182" t="s">
        <v>985</v>
      </c>
      <c r="B182">
        <v>2</v>
      </c>
      <c r="C182" t="s">
        <v>1158</v>
      </c>
      <c r="D182" t="s">
        <v>1071</v>
      </c>
      <c r="E182" t="s">
        <v>1159</v>
      </c>
    </row>
    <row r="183" spans="1:5" x14ac:dyDescent="0.25">
      <c r="A183" t="s">
        <v>985</v>
      </c>
      <c r="B183">
        <v>2</v>
      </c>
      <c r="C183" t="s">
        <v>1160</v>
      </c>
      <c r="D183" t="s">
        <v>1057</v>
      </c>
      <c r="E183" t="s">
        <v>1113</v>
      </c>
    </row>
    <row r="184" spans="1:5" x14ac:dyDescent="0.25">
      <c r="A184" t="s">
        <v>985</v>
      </c>
      <c r="B184">
        <v>2</v>
      </c>
      <c r="C184" t="s">
        <v>1160</v>
      </c>
      <c r="D184" t="s">
        <v>1079</v>
      </c>
      <c r="E184" t="s">
        <v>1113</v>
      </c>
    </row>
    <row r="185" spans="1:5" x14ac:dyDescent="0.25">
      <c r="A185" t="s">
        <v>985</v>
      </c>
      <c r="B185">
        <v>2</v>
      </c>
      <c r="C185" t="s">
        <v>1161</v>
      </c>
      <c r="D185" t="s">
        <v>1072</v>
      </c>
      <c r="E185" t="s">
        <v>1113</v>
      </c>
    </row>
    <row r="186" spans="1:5" x14ac:dyDescent="0.25">
      <c r="A186" t="s">
        <v>985</v>
      </c>
      <c r="B186">
        <v>2</v>
      </c>
      <c r="C186" t="s">
        <v>1161</v>
      </c>
      <c r="D186" t="s">
        <v>1070</v>
      </c>
      <c r="E186" t="s">
        <v>1113</v>
      </c>
    </row>
    <row r="187" spans="1:5" x14ac:dyDescent="0.25">
      <c r="A187" t="s">
        <v>985</v>
      </c>
      <c r="B187">
        <v>2</v>
      </c>
      <c r="C187" t="s">
        <v>1162</v>
      </c>
      <c r="D187" t="s">
        <v>1063</v>
      </c>
      <c r="E187" t="s">
        <v>1113</v>
      </c>
    </row>
    <row r="188" spans="1:5" x14ac:dyDescent="0.25">
      <c r="A188" t="s">
        <v>985</v>
      </c>
      <c r="B188">
        <v>2</v>
      </c>
      <c r="C188" t="s">
        <v>1162</v>
      </c>
      <c r="D188" t="s">
        <v>1055</v>
      </c>
      <c r="E188" t="s">
        <v>1113</v>
      </c>
    </row>
    <row r="189" spans="1:5" x14ac:dyDescent="0.25">
      <c r="A189" t="s">
        <v>985</v>
      </c>
      <c r="B189">
        <v>2</v>
      </c>
      <c r="C189" t="s">
        <v>1163</v>
      </c>
      <c r="D189" t="s">
        <v>1067</v>
      </c>
      <c r="E189" t="s">
        <v>1113</v>
      </c>
    </row>
    <row r="190" spans="1:5" x14ac:dyDescent="0.25">
      <c r="A190" t="s">
        <v>985</v>
      </c>
      <c r="B190">
        <v>2</v>
      </c>
      <c r="C190" t="s">
        <v>1163</v>
      </c>
      <c r="D190" t="s">
        <v>1077</v>
      </c>
      <c r="E190" t="s">
        <v>1113</v>
      </c>
    </row>
    <row r="191" spans="1:5" x14ac:dyDescent="0.25">
      <c r="A191" t="s">
        <v>985</v>
      </c>
      <c r="B191">
        <v>2</v>
      </c>
      <c r="C191" t="s">
        <v>1164</v>
      </c>
      <c r="D191" t="s">
        <v>1058</v>
      </c>
      <c r="E191" t="s">
        <v>1113</v>
      </c>
    </row>
    <row r="192" spans="1:5" x14ac:dyDescent="0.25">
      <c r="A192" t="s">
        <v>985</v>
      </c>
      <c r="B192">
        <v>2</v>
      </c>
      <c r="C192" t="s">
        <v>1164</v>
      </c>
      <c r="D192" t="s">
        <v>1091</v>
      </c>
      <c r="E192" t="s">
        <v>1113</v>
      </c>
    </row>
    <row r="193" spans="1:5" x14ac:dyDescent="0.25">
      <c r="A193" t="s">
        <v>985</v>
      </c>
      <c r="B193">
        <v>2</v>
      </c>
      <c r="C193" t="s">
        <v>1165</v>
      </c>
      <c r="D193" t="s">
        <v>1060</v>
      </c>
      <c r="E193" t="s">
        <v>1113</v>
      </c>
    </row>
    <row r="194" spans="1:5" x14ac:dyDescent="0.25">
      <c r="A194" t="s">
        <v>985</v>
      </c>
      <c r="B194">
        <v>2</v>
      </c>
      <c r="C194" t="s">
        <v>1165</v>
      </c>
      <c r="D194" t="s">
        <v>1053</v>
      </c>
      <c r="E194" t="s">
        <v>1113</v>
      </c>
    </row>
    <row r="195" spans="1:5" x14ac:dyDescent="0.25">
      <c r="A195" t="s">
        <v>985</v>
      </c>
      <c r="B195">
        <v>2</v>
      </c>
      <c r="C195" t="s">
        <v>1166</v>
      </c>
      <c r="D195" t="s">
        <v>1081</v>
      </c>
      <c r="E195" t="s">
        <v>1113</v>
      </c>
    </row>
    <row r="196" spans="1:5" x14ac:dyDescent="0.25">
      <c r="A196" t="s">
        <v>985</v>
      </c>
      <c r="B196">
        <v>2</v>
      </c>
      <c r="C196" t="s">
        <v>1166</v>
      </c>
      <c r="D196" t="s">
        <v>1085</v>
      </c>
      <c r="E196" t="s">
        <v>1113</v>
      </c>
    </row>
    <row r="197" spans="1:5" x14ac:dyDescent="0.25">
      <c r="A197" t="s">
        <v>985</v>
      </c>
      <c r="B197">
        <v>2</v>
      </c>
      <c r="C197" t="s">
        <v>1167</v>
      </c>
      <c r="D197" t="s">
        <v>1080</v>
      </c>
      <c r="E197" t="s">
        <v>1113</v>
      </c>
    </row>
    <row r="198" spans="1:5" x14ac:dyDescent="0.25">
      <c r="A198" t="s">
        <v>985</v>
      </c>
      <c r="B198">
        <v>2</v>
      </c>
      <c r="C198" t="s">
        <v>1167</v>
      </c>
      <c r="D198" t="s">
        <v>1078</v>
      </c>
      <c r="E198" t="s">
        <v>1113</v>
      </c>
    </row>
    <row r="199" spans="1:5" x14ac:dyDescent="0.25">
      <c r="A199" t="s">
        <v>985</v>
      </c>
      <c r="B199">
        <v>2</v>
      </c>
      <c r="C199" t="s">
        <v>1168</v>
      </c>
      <c r="D199" t="s">
        <v>1064</v>
      </c>
      <c r="E199" t="s">
        <v>1113</v>
      </c>
    </row>
    <row r="200" spans="1:5" x14ac:dyDescent="0.25">
      <c r="A200" t="s">
        <v>985</v>
      </c>
      <c r="B200">
        <v>2</v>
      </c>
      <c r="C200" t="s">
        <v>1168</v>
      </c>
      <c r="D200" t="s">
        <v>1069</v>
      </c>
      <c r="E200" t="s">
        <v>1113</v>
      </c>
    </row>
    <row r="201" spans="1:5" x14ac:dyDescent="0.25">
      <c r="A201" t="s">
        <v>985</v>
      </c>
      <c r="B201">
        <v>2</v>
      </c>
      <c r="C201" t="s">
        <v>1169</v>
      </c>
      <c r="D201" t="s">
        <v>1087</v>
      </c>
      <c r="E201" t="s">
        <v>1114</v>
      </c>
    </row>
    <row r="202" spans="1:5" x14ac:dyDescent="0.25">
      <c r="A202" t="s">
        <v>985</v>
      </c>
      <c r="B202">
        <v>2</v>
      </c>
      <c r="C202" t="s">
        <v>1169</v>
      </c>
      <c r="D202" t="s">
        <v>1090</v>
      </c>
      <c r="E202" t="s">
        <v>1114</v>
      </c>
    </row>
    <row r="203" spans="1:5" x14ac:dyDescent="0.25">
      <c r="A203" t="s">
        <v>985</v>
      </c>
      <c r="B203">
        <v>2</v>
      </c>
      <c r="C203" t="s">
        <v>1169</v>
      </c>
      <c r="D203" t="s">
        <v>1075</v>
      </c>
      <c r="E203" t="s">
        <v>1159</v>
      </c>
    </row>
    <row r="204" spans="1:5" x14ac:dyDescent="0.25">
      <c r="A204" t="s">
        <v>985</v>
      </c>
      <c r="B204">
        <v>2</v>
      </c>
      <c r="C204" t="s">
        <v>1170</v>
      </c>
      <c r="D204" t="s">
        <v>1086</v>
      </c>
      <c r="E204" t="s">
        <v>1113</v>
      </c>
    </row>
    <row r="205" spans="1:5" x14ac:dyDescent="0.25">
      <c r="A205" t="s">
        <v>985</v>
      </c>
      <c r="B205">
        <v>2</v>
      </c>
      <c r="C205" t="s">
        <v>1170</v>
      </c>
      <c r="D205" t="s">
        <v>1076</v>
      </c>
      <c r="E205" t="s">
        <v>1113</v>
      </c>
    </row>
    <row r="206" spans="1:5" x14ac:dyDescent="0.25">
      <c r="A206" t="s">
        <v>985</v>
      </c>
      <c r="B206">
        <v>2</v>
      </c>
      <c r="C206" t="s">
        <v>1171</v>
      </c>
      <c r="D206" t="s">
        <v>1056</v>
      </c>
      <c r="E206" t="s">
        <v>1113</v>
      </c>
    </row>
    <row r="207" spans="1:5" x14ac:dyDescent="0.25">
      <c r="A207" t="s">
        <v>985</v>
      </c>
      <c r="B207">
        <v>2</v>
      </c>
      <c r="C207" t="s">
        <v>1171</v>
      </c>
      <c r="D207" t="s">
        <v>1061</v>
      </c>
      <c r="E207" t="s">
        <v>1113</v>
      </c>
    </row>
    <row r="208" spans="1:5" x14ac:dyDescent="0.25">
      <c r="A208" t="s">
        <v>985</v>
      </c>
      <c r="B208">
        <v>2</v>
      </c>
      <c r="C208" t="s">
        <v>1172</v>
      </c>
      <c r="D208" t="s">
        <v>1066</v>
      </c>
      <c r="E208" t="s">
        <v>1113</v>
      </c>
    </row>
    <row r="209" spans="1:5" x14ac:dyDescent="0.25">
      <c r="A209" t="s">
        <v>985</v>
      </c>
      <c r="B209">
        <v>2</v>
      </c>
      <c r="C209" t="s">
        <v>1172</v>
      </c>
      <c r="D209" t="s">
        <v>1088</v>
      </c>
      <c r="E209" t="s">
        <v>1159</v>
      </c>
    </row>
    <row r="210" spans="1:5" x14ac:dyDescent="0.25">
      <c r="A210" t="s">
        <v>985</v>
      </c>
      <c r="B210">
        <v>2</v>
      </c>
      <c r="C210" t="s">
        <v>1173</v>
      </c>
      <c r="D210" t="s">
        <v>1052</v>
      </c>
      <c r="E210" t="s">
        <v>1113</v>
      </c>
    </row>
    <row r="211" spans="1:5" x14ac:dyDescent="0.25">
      <c r="A211" t="s">
        <v>985</v>
      </c>
      <c r="B211">
        <v>2</v>
      </c>
      <c r="C211" t="s">
        <v>1173</v>
      </c>
      <c r="D211" t="s">
        <v>1059</v>
      </c>
      <c r="E211" t="s">
        <v>1113</v>
      </c>
    </row>
    <row r="212" spans="1:5" x14ac:dyDescent="0.25">
      <c r="A212" t="s">
        <v>985</v>
      </c>
      <c r="B212">
        <v>2</v>
      </c>
      <c r="C212" t="s">
        <v>1174</v>
      </c>
      <c r="D212" t="s">
        <v>1065</v>
      </c>
      <c r="E212" t="s">
        <v>1113</v>
      </c>
    </row>
    <row r="213" spans="1:5" x14ac:dyDescent="0.25">
      <c r="A213" t="s">
        <v>985</v>
      </c>
      <c r="B213">
        <v>2</v>
      </c>
      <c r="C213" t="s">
        <v>1174</v>
      </c>
      <c r="D213" t="s">
        <v>1068</v>
      </c>
      <c r="E213" t="s">
        <v>1113</v>
      </c>
    </row>
    <row r="214" spans="1:5" x14ac:dyDescent="0.25">
      <c r="A214" t="s">
        <v>985</v>
      </c>
      <c r="B214">
        <v>2</v>
      </c>
      <c r="D214">
        <v>221</v>
      </c>
      <c r="E214" t="s">
        <v>1115</v>
      </c>
    </row>
    <row r="215" spans="1:5" x14ac:dyDescent="0.25">
      <c r="A215" t="s">
        <v>985</v>
      </c>
      <c r="B215">
        <v>2</v>
      </c>
      <c r="D215">
        <v>222</v>
      </c>
      <c r="E215" t="s">
        <v>1115</v>
      </c>
    </row>
    <row r="216" spans="1:5" x14ac:dyDescent="0.25">
      <c r="A216" t="s">
        <v>1103</v>
      </c>
      <c r="B216">
        <v>1</v>
      </c>
      <c r="D216">
        <v>100</v>
      </c>
      <c r="E216" t="s">
        <v>1113</v>
      </c>
    </row>
    <row r="217" spans="1:5" x14ac:dyDescent="0.25">
      <c r="A217" t="s">
        <v>1103</v>
      </c>
      <c r="B217">
        <v>1</v>
      </c>
      <c r="D217">
        <v>101</v>
      </c>
      <c r="E217" t="s">
        <v>1175</v>
      </c>
    </row>
    <row r="218" spans="1:5" x14ac:dyDescent="0.25">
      <c r="A218" t="s">
        <v>1103</v>
      </c>
      <c r="B218">
        <v>1</v>
      </c>
      <c r="D218">
        <v>102</v>
      </c>
      <c r="E218" t="s">
        <v>1113</v>
      </c>
    </row>
    <row r="219" spans="1:5" x14ac:dyDescent="0.25">
      <c r="A219" t="s">
        <v>1103</v>
      </c>
      <c r="B219">
        <v>1</v>
      </c>
      <c r="D219">
        <v>103</v>
      </c>
      <c r="E219" t="s">
        <v>1175</v>
      </c>
    </row>
    <row r="220" spans="1:5" x14ac:dyDescent="0.25">
      <c r="A220" t="s">
        <v>1103</v>
      </c>
      <c r="B220">
        <v>1</v>
      </c>
      <c r="D220">
        <v>104</v>
      </c>
      <c r="E220" t="s">
        <v>1113</v>
      </c>
    </row>
    <row r="221" spans="1:5" x14ac:dyDescent="0.25">
      <c r="A221" t="s">
        <v>1103</v>
      </c>
      <c r="B221">
        <v>1</v>
      </c>
      <c r="D221">
        <v>105</v>
      </c>
      <c r="E221" t="s">
        <v>1113</v>
      </c>
    </row>
    <row r="222" spans="1:5" x14ac:dyDescent="0.25">
      <c r="A222" t="s">
        <v>1103</v>
      </c>
      <c r="B222">
        <v>1</v>
      </c>
      <c r="D222">
        <v>106</v>
      </c>
      <c r="E222" t="s">
        <v>1113</v>
      </c>
    </row>
    <row r="223" spans="1:5" x14ac:dyDescent="0.25">
      <c r="A223" t="s">
        <v>1103</v>
      </c>
      <c r="B223">
        <v>1</v>
      </c>
      <c r="D223">
        <v>107</v>
      </c>
      <c r="E223" t="s">
        <v>1113</v>
      </c>
    </row>
    <row r="224" spans="1:5" x14ac:dyDescent="0.25">
      <c r="A224" t="s">
        <v>1103</v>
      </c>
      <c r="B224">
        <v>1</v>
      </c>
      <c r="D224">
        <v>110</v>
      </c>
      <c r="E224" t="s">
        <v>1113</v>
      </c>
    </row>
    <row r="225" spans="1:5" x14ac:dyDescent="0.25">
      <c r="A225" t="s">
        <v>1103</v>
      </c>
      <c r="B225">
        <v>1</v>
      </c>
      <c r="D225">
        <v>111</v>
      </c>
      <c r="E225" t="s">
        <v>1113</v>
      </c>
    </row>
    <row r="226" spans="1:5" x14ac:dyDescent="0.25">
      <c r="A226" t="s">
        <v>1103</v>
      </c>
      <c r="B226">
        <v>1</v>
      </c>
      <c r="D226">
        <v>112</v>
      </c>
      <c r="E226" t="s">
        <v>1114</v>
      </c>
    </row>
    <row r="227" spans="1:5" x14ac:dyDescent="0.25">
      <c r="A227" t="s">
        <v>1103</v>
      </c>
      <c r="B227">
        <v>1</v>
      </c>
      <c r="D227">
        <v>113</v>
      </c>
      <c r="E227" t="s">
        <v>1113</v>
      </c>
    </row>
    <row r="228" spans="1:5" x14ac:dyDescent="0.25">
      <c r="A228" t="s">
        <v>1103</v>
      </c>
      <c r="B228">
        <v>1</v>
      </c>
      <c r="D228">
        <v>114</v>
      </c>
      <c r="E228" t="s">
        <v>1113</v>
      </c>
    </row>
    <row r="229" spans="1:5" x14ac:dyDescent="0.25">
      <c r="A229" t="s">
        <v>1103</v>
      </c>
      <c r="B229">
        <v>1</v>
      </c>
      <c r="D229">
        <v>115</v>
      </c>
      <c r="E229" t="s">
        <v>1113</v>
      </c>
    </row>
    <row r="230" spans="1:5" x14ac:dyDescent="0.25">
      <c r="A230" t="s">
        <v>1103</v>
      </c>
      <c r="B230">
        <v>1</v>
      </c>
      <c r="D230">
        <v>116</v>
      </c>
      <c r="E230" t="s">
        <v>1114</v>
      </c>
    </row>
    <row r="231" spans="1:5" x14ac:dyDescent="0.25">
      <c r="A231" t="s">
        <v>1103</v>
      </c>
      <c r="B231">
        <v>1</v>
      </c>
      <c r="D231">
        <v>117</v>
      </c>
      <c r="E231" t="s">
        <v>1114</v>
      </c>
    </row>
    <row r="232" spans="1:5" x14ac:dyDescent="0.25">
      <c r="A232" t="s">
        <v>1103</v>
      </c>
      <c r="B232">
        <v>1</v>
      </c>
      <c r="D232">
        <v>118</v>
      </c>
      <c r="E232" t="s">
        <v>1113</v>
      </c>
    </row>
    <row r="233" spans="1:5" x14ac:dyDescent="0.25">
      <c r="A233" t="s">
        <v>1103</v>
      </c>
      <c r="B233">
        <v>1</v>
      </c>
      <c r="D233">
        <v>119</v>
      </c>
      <c r="E233" t="s">
        <v>1113</v>
      </c>
    </row>
    <row r="234" spans="1:5" x14ac:dyDescent="0.25">
      <c r="A234" t="s">
        <v>1103</v>
      </c>
      <c r="B234">
        <v>1</v>
      </c>
      <c r="D234">
        <v>120</v>
      </c>
      <c r="E234" t="s">
        <v>1114</v>
      </c>
    </row>
    <row r="235" spans="1:5" x14ac:dyDescent="0.25">
      <c r="A235" t="s">
        <v>1103</v>
      </c>
      <c r="B235">
        <v>1</v>
      </c>
      <c r="D235">
        <v>121</v>
      </c>
      <c r="E235" t="s">
        <v>1113</v>
      </c>
    </row>
    <row r="236" spans="1:5" x14ac:dyDescent="0.25">
      <c r="A236" t="s">
        <v>1103</v>
      </c>
      <c r="B236">
        <v>1</v>
      </c>
      <c r="D236">
        <v>122</v>
      </c>
      <c r="E236" t="s">
        <v>1113</v>
      </c>
    </row>
    <row r="237" spans="1:5" x14ac:dyDescent="0.25">
      <c r="A237" t="s">
        <v>1103</v>
      </c>
      <c r="B237">
        <v>1</v>
      </c>
      <c r="D237">
        <v>123</v>
      </c>
      <c r="E237" t="s">
        <v>1175</v>
      </c>
    </row>
    <row r="238" spans="1:5" x14ac:dyDescent="0.25">
      <c r="A238" t="s">
        <v>1103</v>
      </c>
      <c r="B238">
        <v>2</v>
      </c>
      <c r="D238">
        <v>200</v>
      </c>
      <c r="E238" t="s">
        <v>1159</v>
      </c>
    </row>
    <row r="239" spans="1:5" x14ac:dyDescent="0.25">
      <c r="A239" t="s">
        <v>1103</v>
      </c>
      <c r="B239">
        <v>2</v>
      </c>
      <c r="D239">
        <v>201</v>
      </c>
      <c r="E239" t="s">
        <v>1113</v>
      </c>
    </row>
    <row r="240" spans="1:5" x14ac:dyDescent="0.25">
      <c r="A240" t="s">
        <v>1103</v>
      </c>
      <c r="B240">
        <v>2</v>
      </c>
      <c r="D240">
        <v>202</v>
      </c>
      <c r="E240" t="s">
        <v>1113</v>
      </c>
    </row>
    <row r="241" spans="1:5" x14ac:dyDescent="0.25">
      <c r="A241" t="s">
        <v>1103</v>
      </c>
      <c r="B241">
        <v>2</v>
      </c>
      <c r="D241">
        <v>203</v>
      </c>
      <c r="E241" t="s">
        <v>1113</v>
      </c>
    </row>
    <row r="242" spans="1:5" x14ac:dyDescent="0.25">
      <c r="A242" t="s">
        <v>1103</v>
      </c>
      <c r="B242">
        <v>2</v>
      </c>
      <c r="D242">
        <v>204</v>
      </c>
      <c r="E242" t="s">
        <v>1113</v>
      </c>
    </row>
    <row r="243" spans="1:5" x14ac:dyDescent="0.25">
      <c r="A243" t="s">
        <v>1103</v>
      </c>
      <c r="B243">
        <v>2</v>
      </c>
      <c r="D243">
        <v>205</v>
      </c>
      <c r="E243" t="s">
        <v>1113</v>
      </c>
    </row>
    <row r="244" spans="1:5" x14ac:dyDescent="0.25">
      <c r="A244" t="s">
        <v>1103</v>
      </c>
      <c r="B244">
        <v>2</v>
      </c>
      <c r="D244">
        <v>206</v>
      </c>
      <c r="E244" t="s">
        <v>1113</v>
      </c>
    </row>
    <row r="245" spans="1:5" x14ac:dyDescent="0.25">
      <c r="A245" t="s">
        <v>1103</v>
      </c>
      <c r="B245">
        <v>2</v>
      </c>
      <c r="C245" t="s">
        <v>1176</v>
      </c>
      <c r="D245">
        <v>207</v>
      </c>
      <c r="E245" t="s">
        <v>1113</v>
      </c>
    </row>
    <row r="246" spans="1:5" x14ac:dyDescent="0.25">
      <c r="A246" t="s">
        <v>1103</v>
      </c>
      <c r="B246">
        <v>2</v>
      </c>
      <c r="C246" t="s">
        <v>1176</v>
      </c>
      <c r="D246">
        <v>208</v>
      </c>
      <c r="E246" t="s">
        <v>1113</v>
      </c>
    </row>
    <row r="247" spans="1:5" x14ac:dyDescent="0.25">
      <c r="A247" t="s">
        <v>1103</v>
      </c>
      <c r="B247">
        <v>2</v>
      </c>
      <c r="D247">
        <v>209</v>
      </c>
      <c r="E247" t="s">
        <v>1113</v>
      </c>
    </row>
    <row r="248" spans="1:5" x14ac:dyDescent="0.25">
      <c r="A248" t="s">
        <v>1103</v>
      </c>
      <c r="B248">
        <v>2</v>
      </c>
      <c r="D248">
        <v>210</v>
      </c>
      <c r="E248" t="s">
        <v>1113</v>
      </c>
    </row>
    <row r="249" spans="1:5" x14ac:dyDescent="0.25">
      <c r="A249" t="s">
        <v>1103</v>
      </c>
      <c r="B249">
        <v>2</v>
      </c>
      <c r="D249">
        <v>211</v>
      </c>
      <c r="E249" t="s">
        <v>1113</v>
      </c>
    </row>
    <row r="250" spans="1:5" x14ac:dyDescent="0.25">
      <c r="A250" t="s">
        <v>1103</v>
      </c>
      <c r="B250">
        <v>2</v>
      </c>
      <c r="D250">
        <v>212</v>
      </c>
      <c r="E250" t="s">
        <v>1113</v>
      </c>
    </row>
    <row r="251" spans="1:5" x14ac:dyDescent="0.25">
      <c r="A251" t="s">
        <v>1103</v>
      </c>
      <c r="B251">
        <v>2</v>
      </c>
      <c r="D251">
        <v>213</v>
      </c>
      <c r="E251" t="s">
        <v>1159</v>
      </c>
    </row>
    <row r="252" spans="1:5" x14ac:dyDescent="0.25">
      <c r="A252" t="s">
        <v>1103</v>
      </c>
      <c r="B252">
        <v>2</v>
      </c>
      <c r="D252">
        <v>214</v>
      </c>
      <c r="E252" t="s">
        <v>1113</v>
      </c>
    </row>
    <row r="253" spans="1:5" x14ac:dyDescent="0.25">
      <c r="A253" t="s">
        <v>1103</v>
      </c>
      <c r="B253">
        <v>2</v>
      </c>
      <c r="D253">
        <v>215</v>
      </c>
      <c r="E253" t="s">
        <v>1113</v>
      </c>
    </row>
    <row r="254" spans="1:5" x14ac:dyDescent="0.25">
      <c r="A254" t="s">
        <v>1103</v>
      </c>
      <c r="B254">
        <v>2</v>
      </c>
      <c r="D254">
        <v>216</v>
      </c>
      <c r="E254" t="s">
        <v>1114</v>
      </c>
    </row>
    <row r="255" spans="1:5" x14ac:dyDescent="0.25">
      <c r="A255" t="s">
        <v>1103</v>
      </c>
      <c r="B255">
        <v>2</v>
      </c>
      <c r="D255">
        <v>217</v>
      </c>
      <c r="E255" t="s">
        <v>1113</v>
      </c>
    </row>
    <row r="256" spans="1:5" x14ac:dyDescent="0.25">
      <c r="A256" t="s">
        <v>1103</v>
      </c>
      <c r="B256">
        <v>2</v>
      </c>
      <c r="D256">
        <v>218</v>
      </c>
      <c r="E256" t="s">
        <v>1113</v>
      </c>
    </row>
    <row r="257" spans="1:5" x14ac:dyDescent="0.25">
      <c r="A257" t="s">
        <v>1103</v>
      </c>
      <c r="B257">
        <v>2</v>
      </c>
      <c r="D257">
        <v>219</v>
      </c>
      <c r="E257" t="s">
        <v>1113</v>
      </c>
    </row>
    <row r="258" spans="1:5" x14ac:dyDescent="0.25">
      <c r="A258" t="s">
        <v>1103</v>
      </c>
      <c r="B258">
        <v>2</v>
      </c>
      <c r="D258">
        <v>220</v>
      </c>
      <c r="E258" t="s">
        <v>1114</v>
      </c>
    </row>
    <row r="259" spans="1:5" x14ac:dyDescent="0.25">
      <c r="A259" t="s">
        <v>1103</v>
      </c>
      <c r="B259">
        <v>2</v>
      </c>
      <c r="D259">
        <v>221</v>
      </c>
      <c r="E259" t="s">
        <v>1113</v>
      </c>
    </row>
    <row r="260" spans="1:5" x14ac:dyDescent="0.25">
      <c r="A260" t="s">
        <v>1103</v>
      </c>
      <c r="B260">
        <v>2</v>
      </c>
      <c r="D260">
        <v>222</v>
      </c>
      <c r="E260" t="s">
        <v>1113</v>
      </c>
    </row>
    <row r="261" spans="1:5" x14ac:dyDescent="0.25">
      <c r="A261" t="s">
        <v>1103</v>
      </c>
      <c r="B261">
        <v>2</v>
      </c>
      <c r="D261">
        <v>223</v>
      </c>
      <c r="E261" t="s">
        <v>1113</v>
      </c>
    </row>
    <row r="262" spans="1:5" x14ac:dyDescent="0.25">
      <c r="A262" t="s">
        <v>1103</v>
      </c>
      <c r="B262">
        <v>2</v>
      </c>
      <c r="D262">
        <v>224</v>
      </c>
      <c r="E262" t="s">
        <v>1114</v>
      </c>
    </row>
    <row r="263" spans="1:5" x14ac:dyDescent="0.25">
      <c r="A263" t="s">
        <v>1103</v>
      </c>
      <c r="B263">
        <v>2</v>
      </c>
      <c r="D263">
        <v>225</v>
      </c>
      <c r="E263" t="s">
        <v>1113</v>
      </c>
    </row>
    <row r="264" spans="1:5" x14ac:dyDescent="0.25">
      <c r="A264" t="s">
        <v>1103</v>
      </c>
      <c r="B264">
        <v>2</v>
      </c>
      <c r="D264">
        <v>226</v>
      </c>
      <c r="E264" t="s">
        <v>1159</v>
      </c>
    </row>
    <row r="265" spans="1:5" x14ac:dyDescent="0.25">
      <c r="A265" t="s">
        <v>1103</v>
      </c>
      <c r="B265">
        <v>2</v>
      </c>
      <c r="D265">
        <v>227</v>
      </c>
      <c r="E265" t="s">
        <v>1159</v>
      </c>
    </row>
    <row r="266" spans="1:5" x14ac:dyDescent="0.25">
      <c r="A266" t="s">
        <v>1103</v>
      </c>
      <c r="B266">
        <v>3</v>
      </c>
      <c r="D266">
        <v>300</v>
      </c>
      <c r="E266" t="s">
        <v>1159</v>
      </c>
    </row>
    <row r="267" spans="1:5" x14ac:dyDescent="0.25">
      <c r="A267" t="s">
        <v>1103</v>
      </c>
      <c r="B267">
        <v>3</v>
      </c>
      <c r="D267">
        <v>301</v>
      </c>
      <c r="E267" t="s">
        <v>1159</v>
      </c>
    </row>
    <row r="268" spans="1:5" x14ac:dyDescent="0.25">
      <c r="A268" t="s">
        <v>1103</v>
      </c>
      <c r="B268">
        <v>3</v>
      </c>
      <c r="D268">
        <v>302</v>
      </c>
      <c r="E268" t="s">
        <v>1159</v>
      </c>
    </row>
    <row r="269" spans="1:5" x14ac:dyDescent="0.25">
      <c r="A269" t="s">
        <v>1103</v>
      </c>
      <c r="B269">
        <v>3</v>
      </c>
      <c r="D269">
        <v>303</v>
      </c>
      <c r="E269" t="s">
        <v>1159</v>
      </c>
    </row>
    <row r="270" spans="1:5" x14ac:dyDescent="0.25">
      <c r="A270" t="s">
        <v>1103</v>
      </c>
      <c r="B270">
        <v>3</v>
      </c>
      <c r="D270">
        <v>304</v>
      </c>
      <c r="E270" t="s">
        <v>1159</v>
      </c>
    </row>
    <row r="271" spans="1:5" x14ac:dyDescent="0.25">
      <c r="A271" t="s">
        <v>1103</v>
      </c>
      <c r="B271">
        <v>3</v>
      </c>
      <c r="D271">
        <v>305</v>
      </c>
      <c r="E271" t="s">
        <v>1159</v>
      </c>
    </row>
    <row r="272" spans="1:5" x14ac:dyDescent="0.25">
      <c r="A272" t="s">
        <v>1103</v>
      </c>
      <c r="B272">
        <v>3</v>
      </c>
      <c r="D272">
        <v>306</v>
      </c>
      <c r="E272" t="s">
        <v>1159</v>
      </c>
    </row>
    <row r="273" spans="1:5" x14ac:dyDescent="0.25">
      <c r="A273" t="s">
        <v>1103</v>
      </c>
      <c r="B273">
        <v>3</v>
      </c>
      <c r="D273">
        <v>307</v>
      </c>
      <c r="E273" t="s">
        <v>1159</v>
      </c>
    </row>
    <row r="274" spans="1:5" x14ac:dyDescent="0.25">
      <c r="A274" t="s">
        <v>1103</v>
      </c>
      <c r="B274">
        <v>3</v>
      </c>
      <c r="D274">
        <v>308</v>
      </c>
      <c r="E274" t="s">
        <v>1159</v>
      </c>
    </row>
    <row r="275" spans="1:5" x14ac:dyDescent="0.25">
      <c r="A275" t="s">
        <v>1103</v>
      </c>
      <c r="B275">
        <v>3</v>
      </c>
      <c r="D275">
        <v>309</v>
      </c>
      <c r="E275" t="s">
        <v>1113</v>
      </c>
    </row>
    <row r="276" spans="1:5" x14ac:dyDescent="0.25">
      <c r="A276" t="s">
        <v>1103</v>
      </c>
      <c r="B276">
        <v>3</v>
      </c>
      <c r="D276">
        <v>310</v>
      </c>
      <c r="E276" t="s">
        <v>1159</v>
      </c>
    </row>
    <row r="277" spans="1:5" x14ac:dyDescent="0.25">
      <c r="A277" t="s">
        <v>1103</v>
      </c>
      <c r="B277">
        <v>3</v>
      </c>
      <c r="D277">
        <v>311</v>
      </c>
      <c r="E277" t="s">
        <v>1113</v>
      </c>
    </row>
    <row r="278" spans="1:5" x14ac:dyDescent="0.25">
      <c r="A278" t="s">
        <v>1103</v>
      </c>
      <c r="B278">
        <v>3</v>
      </c>
      <c r="D278">
        <v>312</v>
      </c>
      <c r="E278" t="s">
        <v>1159</v>
      </c>
    </row>
    <row r="279" spans="1:5" x14ac:dyDescent="0.25">
      <c r="A279" t="s">
        <v>1103</v>
      </c>
      <c r="B279">
        <v>3</v>
      </c>
      <c r="D279">
        <v>313</v>
      </c>
      <c r="E279" t="s">
        <v>1113</v>
      </c>
    </row>
    <row r="280" spans="1:5" x14ac:dyDescent="0.25">
      <c r="A280" t="s">
        <v>1103</v>
      </c>
      <c r="B280">
        <v>3</v>
      </c>
      <c r="D280">
        <v>314</v>
      </c>
      <c r="E280" t="s">
        <v>1159</v>
      </c>
    </row>
    <row r="281" spans="1:5" x14ac:dyDescent="0.25">
      <c r="A281" t="s">
        <v>1103</v>
      </c>
      <c r="B281">
        <v>3</v>
      </c>
      <c r="D281">
        <v>315</v>
      </c>
      <c r="E281" t="s">
        <v>1175</v>
      </c>
    </row>
    <row r="282" spans="1:5" x14ac:dyDescent="0.25">
      <c r="A282" t="s">
        <v>1103</v>
      </c>
      <c r="B282">
        <v>3</v>
      </c>
      <c r="D282">
        <v>316</v>
      </c>
      <c r="E282" t="s">
        <v>1159</v>
      </c>
    </row>
    <row r="283" spans="1:5" x14ac:dyDescent="0.25">
      <c r="A283" t="s">
        <v>1103</v>
      </c>
      <c r="B283">
        <v>3</v>
      </c>
      <c r="D283">
        <v>317</v>
      </c>
      <c r="E283" t="s">
        <v>1113</v>
      </c>
    </row>
    <row r="284" spans="1:5" x14ac:dyDescent="0.25">
      <c r="A284" t="s">
        <v>1103</v>
      </c>
      <c r="B284">
        <v>3</v>
      </c>
      <c r="D284">
        <v>318</v>
      </c>
      <c r="E284" t="s">
        <v>1159</v>
      </c>
    </row>
    <row r="285" spans="1:5" x14ac:dyDescent="0.25">
      <c r="A285" t="s">
        <v>1103</v>
      </c>
      <c r="B285">
        <v>3</v>
      </c>
      <c r="D285">
        <v>319</v>
      </c>
      <c r="E285" t="s">
        <v>1113</v>
      </c>
    </row>
    <row r="286" spans="1:5" x14ac:dyDescent="0.25">
      <c r="A286" t="s">
        <v>1103</v>
      </c>
      <c r="B286">
        <v>3</v>
      </c>
      <c r="D286">
        <v>320</v>
      </c>
      <c r="E286" t="s">
        <v>1159</v>
      </c>
    </row>
    <row r="287" spans="1:5" x14ac:dyDescent="0.25">
      <c r="A287" t="s">
        <v>1103</v>
      </c>
      <c r="B287">
        <v>3</v>
      </c>
      <c r="D287">
        <v>321</v>
      </c>
      <c r="E287" t="s">
        <v>1159</v>
      </c>
    </row>
    <row r="288" spans="1:5" x14ac:dyDescent="0.25">
      <c r="A288" t="s">
        <v>1103</v>
      </c>
      <c r="B288">
        <v>3</v>
      </c>
      <c r="D288">
        <v>322</v>
      </c>
      <c r="E288" t="s">
        <v>1159</v>
      </c>
    </row>
    <row r="289" spans="1:5" x14ac:dyDescent="0.25">
      <c r="A289" t="s">
        <v>1103</v>
      </c>
      <c r="B289">
        <v>3</v>
      </c>
      <c r="D289">
        <v>323</v>
      </c>
      <c r="E289" t="s">
        <v>1159</v>
      </c>
    </row>
    <row r="290" spans="1:5" x14ac:dyDescent="0.25">
      <c r="A290" t="s">
        <v>1103</v>
      </c>
      <c r="B290">
        <v>3</v>
      </c>
      <c r="D290">
        <v>324</v>
      </c>
      <c r="E290" t="s">
        <v>1159</v>
      </c>
    </row>
    <row r="291" spans="1:5" x14ac:dyDescent="0.25">
      <c r="A291" t="s">
        <v>1103</v>
      </c>
      <c r="B291">
        <v>3</v>
      </c>
      <c r="D291">
        <v>325</v>
      </c>
      <c r="E291" t="s">
        <v>1159</v>
      </c>
    </row>
    <row r="292" spans="1:5" x14ac:dyDescent="0.25">
      <c r="A292" t="s">
        <v>877</v>
      </c>
      <c r="B292">
        <v>1</v>
      </c>
      <c r="C292" t="s">
        <v>1177</v>
      </c>
      <c r="D292">
        <v>401</v>
      </c>
      <c r="E292" t="s">
        <v>1113</v>
      </c>
    </row>
    <row r="293" spans="1:5" x14ac:dyDescent="0.25">
      <c r="A293" t="s">
        <v>877</v>
      </c>
      <c r="B293">
        <v>1</v>
      </c>
      <c r="C293" t="s">
        <v>1177</v>
      </c>
      <c r="D293">
        <v>402</v>
      </c>
      <c r="E293" t="s">
        <v>1113</v>
      </c>
    </row>
    <row r="294" spans="1:5" x14ac:dyDescent="0.25">
      <c r="A294" t="s">
        <v>877</v>
      </c>
      <c r="B294">
        <v>1</v>
      </c>
      <c r="C294" t="s">
        <v>1177</v>
      </c>
      <c r="D294">
        <v>403</v>
      </c>
      <c r="E294" t="s">
        <v>1113</v>
      </c>
    </row>
    <row r="295" spans="1:5" x14ac:dyDescent="0.25">
      <c r="A295" t="s">
        <v>877</v>
      </c>
      <c r="B295">
        <v>1</v>
      </c>
      <c r="C295" t="s">
        <v>1177</v>
      </c>
      <c r="D295">
        <v>404</v>
      </c>
      <c r="E295" t="s">
        <v>1113</v>
      </c>
    </row>
    <row r="296" spans="1:5" x14ac:dyDescent="0.25">
      <c r="A296" t="s">
        <v>877</v>
      </c>
      <c r="B296">
        <v>1</v>
      </c>
      <c r="C296" t="s">
        <v>1178</v>
      </c>
      <c r="D296">
        <v>405</v>
      </c>
      <c r="E296" t="s">
        <v>1113</v>
      </c>
    </row>
    <row r="297" spans="1:5" x14ac:dyDescent="0.25">
      <c r="A297" t="s">
        <v>877</v>
      </c>
      <c r="B297">
        <v>1</v>
      </c>
      <c r="C297" t="s">
        <v>1178</v>
      </c>
      <c r="D297">
        <v>406</v>
      </c>
      <c r="E297" t="s">
        <v>1113</v>
      </c>
    </row>
    <row r="298" spans="1:5" x14ac:dyDescent="0.25">
      <c r="A298" t="s">
        <v>877</v>
      </c>
      <c r="B298">
        <v>1</v>
      </c>
      <c r="C298" t="s">
        <v>1178</v>
      </c>
      <c r="D298">
        <v>407</v>
      </c>
      <c r="E298" t="s">
        <v>1113</v>
      </c>
    </row>
    <row r="299" spans="1:5" x14ac:dyDescent="0.25">
      <c r="A299" t="s">
        <v>877</v>
      </c>
      <c r="B299">
        <v>1</v>
      </c>
      <c r="C299" t="s">
        <v>1178</v>
      </c>
      <c r="D299">
        <v>408</v>
      </c>
      <c r="E299" t="s">
        <v>1113</v>
      </c>
    </row>
    <row r="300" spans="1:5" x14ac:dyDescent="0.25">
      <c r="A300" t="s">
        <v>877</v>
      </c>
      <c r="B300">
        <v>1</v>
      </c>
      <c r="C300" t="s">
        <v>1179</v>
      </c>
      <c r="D300">
        <v>409</v>
      </c>
      <c r="E300" t="s">
        <v>1113</v>
      </c>
    </row>
    <row r="301" spans="1:5" x14ac:dyDescent="0.25">
      <c r="A301" t="s">
        <v>877</v>
      </c>
      <c r="B301">
        <v>1</v>
      </c>
      <c r="C301" t="s">
        <v>1179</v>
      </c>
      <c r="D301">
        <v>410</v>
      </c>
      <c r="E301" t="s">
        <v>1113</v>
      </c>
    </row>
    <row r="302" spans="1:5" x14ac:dyDescent="0.25">
      <c r="A302" t="s">
        <v>877</v>
      </c>
      <c r="B302">
        <v>1</v>
      </c>
      <c r="C302" t="s">
        <v>1179</v>
      </c>
      <c r="D302">
        <v>411</v>
      </c>
      <c r="E302" t="s">
        <v>1113</v>
      </c>
    </row>
    <row r="303" spans="1:5" x14ac:dyDescent="0.25">
      <c r="A303" t="s">
        <v>877</v>
      </c>
      <c r="B303">
        <v>1</v>
      </c>
      <c r="C303" t="s">
        <v>1179</v>
      </c>
      <c r="D303">
        <v>412</v>
      </c>
      <c r="E303" t="s">
        <v>1113</v>
      </c>
    </row>
    <row r="304" spans="1:5" x14ac:dyDescent="0.25">
      <c r="A304" t="s">
        <v>877</v>
      </c>
      <c r="B304">
        <v>1</v>
      </c>
      <c r="C304" t="s">
        <v>1180</v>
      </c>
      <c r="D304">
        <v>413</v>
      </c>
      <c r="E304" t="s">
        <v>1113</v>
      </c>
    </row>
    <row r="305" spans="1:5" x14ac:dyDescent="0.25">
      <c r="A305" t="s">
        <v>877</v>
      </c>
      <c r="B305">
        <v>1</v>
      </c>
      <c r="C305" t="s">
        <v>1180</v>
      </c>
      <c r="D305">
        <v>414</v>
      </c>
      <c r="E305" t="s">
        <v>1113</v>
      </c>
    </row>
    <row r="306" spans="1:5" x14ac:dyDescent="0.25">
      <c r="A306" t="s">
        <v>877</v>
      </c>
      <c r="B306">
        <v>1</v>
      </c>
      <c r="C306" t="s">
        <v>1180</v>
      </c>
      <c r="D306">
        <v>415</v>
      </c>
      <c r="E306" t="s">
        <v>1113</v>
      </c>
    </row>
    <row r="307" spans="1:5" x14ac:dyDescent="0.25">
      <c r="A307" t="s">
        <v>877</v>
      </c>
      <c r="B307">
        <v>1</v>
      </c>
      <c r="C307" t="s">
        <v>1180</v>
      </c>
      <c r="D307">
        <v>416</v>
      </c>
      <c r="E307" t="s">
        <v>1113</v>
      </c>
    </row>
    <row r="308" spans="1:5" x14ac:dyDescent="0.25">
      <c r="A308" t="s">
        <v>877</v>
      </c>
      <c r="B308">
        <v>1</v>
      </c>
      <c r="C308" t="s">
        <v>1181</v>
      </c>
      <c r="D308">
        <v>417</v>
      </c>
      <c r="E308" t="s">
        <v>1113</v>
      </c>
    </row>
    <row r="309" spans="1:5" x14ac:dyDescent="0.25">
      <c r="A309" t="s">
        <v>877</v>
      </c>
      <c r="B309">
        <v>1</v>
      </c>
      <c r="C309" t="s">
        <v>1181</v>
      </c>
      <c r="D309">
        <v>418</v>
      </c>
      <c r="E309" t="s">
        <v>1113</v>
      </c>
    </row>
    <row r="310" spans="1:5" x14ac:dyDescent="0.25">
      <c r="A310" t="s">
        <v>877</v>
      </c>
      <c r="B310">
        <v>1</v>
      </c>
      <c r="C310" t="s">
        <v>1181</v>
      </c>
      <c r="D310">
        <v>419</v>
      </c>
      <c r="E310" t="s">
        <v>1113</v>
      </c>
    </row>
    <row r="311" spans="1:5" x14ac:dyDescent="0.25">
      <c r="A311" t="s">
        <v>877</v>
      </c>
      <c r="B311">
        <v>1</v>
      </c>
      <c r="C311" t="s">
        <v>1181</v>
      </c>
      <c r="D311">
        <v>420</v>
      </c>
      <c r="E311" t="s">
        <v>1113</v>
      </c>
    </row>
    <row r="312" spans="1:5" x14ac:dyDescent="0.25">
      <c r="A312" t="s">
        <v>877</v>
      </c>
      <c r="B312">
        <v>1</v>
      </c>
      <c r="C312" t="s">
        <v>1182</v>
      </c>
      <c r="D312">
        <v>421</v>
      </c>
      <c r="E312" t="s">
        <v>1113</v>
      </c>
    </row>
    <row r="313" spans="1:5" x14ac:dyDescent="0.25">
      <c r="A313" t="s">
        <v>877</v>
      </c>
      <c r="B313">
        <v>1</v>
      </c>
      <c r="C313" t="s">
        <v>1182</v>
      </c>
      <c r="D313">
        <v>422</v>
      </c>
      <c r="E313" t="s">
        <v>1113</v>
      </c>
    </row>
    <row r="314" spans="1:5" x14ac:dyDescent="0.25">
      <c r="A314" t="s">
        <v>877</v>
      </c>
      <c r="B314">
        <v>1</v>
      </c>
      <c r="C314" t="s">
        <v>1182</v>
      </c>
      <c r="D314">
        <v>423</v>
      </c>
      <c r="E314" t="s">
        <v>1113</v>
      </c>
    </row>
    <row r="315" spans="1:5" x14ac:dyDescent="0.25">
      <c r="A315" t="s">
        <v>877</v>
      </c>
      <c r="B315">
        <v>1</v>
      </c>
      <c r="C315" t="s">
        <v>1182</v>
      </c>
      <c r="D315">
        <v>424</v>
      </c>
      <c r="E315" t="s">
        <v>1113</v>
      </c>
    </row>
    <row r="316" spans="1:5" x14ac:dyDescent="0.25">
      <c r="A316" t="s">
        <v>877</v>
      </c>
      <c r="B316">
        <v>1</v>
      </c>
      <c r="C316" t="s">
        <v>1183</v>
      </c>
      <c r="D316">
        <v>425</v>
      </c>
      <c r="E316" t="s">
        <v>1113</v>
      </c>
    </row>
    <row r="317" spans="1:5" x14ac:dyDescent="0.25">
      <c r="A317" t="s">
        <v>877</v>
      </c>
      <c r="B317">
        <v>1</v>
      </c>
      <c r="C317" t="s">
        <v>1183</v>
      </c>
      <c r="D317">
        <v>426</v>
      </c>
      <c r="E317" t="s">
        <v>1113</v>
      </c>
    </row>
    <row r="318" spans="1:5" x14ac:dyDescent="0.25">
      <c r="A318" t="s">
        <v>877</v>
      </c>
      <c r="B318">
        <v>1</v>
      </c>
      <c r="C318" t="s">
        <v>1183</v>
      </c>
      <c r="D318">
        <v>427</v>
      </c>
      <c r="E318" t="s">
        <v>1159</v>
      </c>
    </row>
    <row r="319" spans="1:5" x14ac:dyDescent="0.25">
      <c r="A319" t="s">
        <v>877</v>
      </c>
      <c r="B319">
        <v>1</v>
      </c>
      <c r="C319" t="s">
        <v>1184</v>
      </c>
      <c r="D319">
        <v>428</v>
      </c>
      <c r="E319" t="s">
        <v>1159</v>
      </c>
    </row>
    <row r="320" spans="1:5" x14ac:dyDescent="0.25">
      <c r="A320" t="s">
        <v>877</v>
      </c>
      <c r="B320">
        <v>1</v>
      </c>
      <c r="C320" t="s">
        <v>1184</v>
      </c>
      <c r="D320">
        <v>429</v>
      </c>
      <c r="E320" t="s">
        <v>1113</v>
      </c>
    </row>
    <row r="321" spans="1:5" x14ac:dyDescent="0.25">
      <c r="A321" t="s">
        <v>877</v>
      </c>
      <c r="B321">
        <v>1</v>
      </c>
      <c r="C321" t="s">
        <v>1184</v>
      </c>
      <c r="D321">
        <v>430</v>
      </c>
      <c r="E321" t="s">
        <v>1113</v>
      </c>
    </row>
    <row r="322" spans="1:5" x14ac:dyDescent="0.25">
      <c r="A322" t="s">
        <v>877</v>
      </c>
      <c r="B322">
        <v>1</v>
      </c>
      <c r="C322" t="s">
        <v>1185</v>
      </c>
      <c r="D322">
        <v>431</v>
      </c>
      <c r="E322" t="s">
        <v>1114</v>
      </c>
    </row>
    <row r="323" spans="1:5" x14ac:dyDescent="0.25">
      <c r="A323" t="s">
        <v>877</v>
      </c>
      <c r="B323">
        <v>1</v>
      </c>
      <c r="C323" t="s">
        <v>1185</v>
      </c>
      <c r="D323">
        <v>432</v>
      </c>
      <c r="E323" t="s">
        <v>1113</v>
      </c>
    </row>
    <row r="324" spans="1:5" x14ac:dyDescent="0.25">
      <c r="A324" t="s">
        <v>877</v>
      </c>
      <c r="B324">
        <v>1</v>
      </c>
      <c r="C324" t="s">
        <v>1186</v>
      </c>
      <c r="D324">
        <v>433</v>
      </c>
      <c r="E324" t="s">
        <v>1113</v>
      </c>
    </row>
    <row r="325" spans="1:5" x14ac:dyDescent="0.25">
      <c r="A325" t="s">
        <v>877</v>
      </c>
      <c r="B325">
        <v>1</v>
      </c>
      <c r="C325" t="s">
        <v>1186</v>
      </c>
      <c r="D325">
        <v>434</v>
      </c>
      <c r="E325" t="s">
        <v>1159</v>
      </c>
    </row>
    <row r="326" spans="1:5" x14ac:dyDescent="0.25">
      <c r="A326" t="s">
        <v>877</v>
      </c>
      <c r="B326">
        <v>1</v>
      </c>
      <c r="C326" t="s">
        <v>1187</v>
      </c>
      <c r="D326">
        <v>435</v>
      </c>
      <c r="E326" t="s">
        <v>1159</v>
      </c>
    </row>
    <row r="327" spans="1:5" x14ac:dyDescent="0.25">
      <c r="A327" t="s">
        <v>877</v>
      </c>
      <c r="B327">
        <v>1</v>
      </c>
      <c r="C327" t="s">
        <v>1187</v>
      </c>
      <c r="D327">
        <v>436</v>
      </c>
      <c r="E327" t="s">
        <v>1113</v>
      </c>
    </row>
    <row r="328" spans="1:5" x14ac:dyDescent="0.25">
      <c r="A328" t="s">
        <v>877</v>
      </c>
      <c r="B328">
        <v>1</v>
      </c>
      <c r="C328" t="s">
        <v>1188</v>
      </c>
      <c r="D328">
        <v>437</v>
      </c>
      <c r="E328" t="s">
        <v>1159</v>
      </c>
    </row>
    <row r="329" spans="1:5" x14ac:dyDescent="0.25">
      <c r="A329" t="s">
        <v>877</v>
      </c>
      <c r="B329">
        <v>1</v>
      </c>
      <c r="C329" t="s">
        <v>1188</v>
      </c>
      <c r="D329">
        <v>438</v>
      </c>
      <c r="E329" t="s">
        <v>1113</v>
      </c>
    </row>
    <row r="330" spans="1:5" x14ac:dyDescent="0.25">
      <c r="A330" t="s">
        <v>877</v>
      </c>
      <c r="B330">
        <v>1</v>
      </c>
      <c r="C330" t="s">
        <v>1189</v>
      </c>
      <c r="D330">
        <v>439</v>
      </c>
      <c r="E330" t="s">
        <v>1113</v>
      </c>
    </row>
    <row r="331" spans="1:5" x14ac:dyDescent="0.25">
      <c r="A331" t="s">
        <v>877</v>
      </c>
      <c r="B331">
        <v>1</v>
      </c>
      <c r="C331" t="s">
        <v>1189</v>
      </c>
      <c r="D331">
        <v>440</v>
      </c>
      <c r="E331" t="s">
        <v>1159</v>
      </c>
    </row>
    <row r="332" spans="1:5" x14ac:dyDescent="0.25">
      <c r="A332" t="s">
        <v>877</v>
      </c>
      <c r="B332">
        <v>1</v>
      </c>
      <c r="C332" t="s">
        <v>1190</v>
      </c>
      <c r="D332">
        <v>441</v>
      </c>
      <c r="E332" t="s">
        <v>1159</v>
      </c>
    </row>
    <row r="333" spans="1:5" x14ac:dyDescent="0.25">
      <c r="A333" t="s">
        <v>877</v>
      </c>
      <c r="B333">
        <v>1</v>
      </c>
      <c r="C333" t="s">
        <v>1190</v>
      </c>
      <c r="D333">
        <v>442</v>
      </c>
      <c r="E333" t="s">
        <v>1113</v>
      </c>
    </row>
    <row r="334" spans="1:5" x14ac:dyDescent="0.25">
      <c r="A334" t="s">
        <v>877</v>
      </c>
      <c r="B334">
        <v>1</v>
      </c>
      <c r="C334" t="s">
        <v>1191</v>
      </c>
      <c r="D334">
        <v>443</v>
      </c>
      <c r="E334" t="s">
        <v>1159</v>
      </c>
    </row>
    <row r="335" spans="1:5" x14ac:dyDescent="0.25">
      <c r="A335" t="s">
        <v>877</v>
      </c>
      <c r="B335">
        <v>1</v>
      </c>
      <c r="C335" t="s">
        <v>1191</v>
      </c>
      <c r="D335">
        <v>444</v>
      </c>
      <c r="E335" t="s">
        <v>1113</v>
      </c>
    </row>
    <row r="336" spans="1:5" x14ac:dyDescent="0.25">
      <c r="A336" t="s">
        <v>877</v>
      </c>
      <c r="B336">
        <v>1</v>
      </c>
      <c r="C336" t="s">
        <v>1192</v>
      </c>
      <c r="D336">
        <v>445</v>
      </c>
      <c r="E336" t="s">
        <v>1113</v>
      </c>
    </row>
    <row r="337" spans="1:5" x14ac:dyDescent="0.25">
      <c r="A337" t="s">
        <v>877</v>
      </c>
      <c r="B337">
        <v>1</v>
      </c>
      <c r="C337" t="s">
        <v>1192</v>
      </c>
      <c r="D337">
        <v>446</v>
      </c>
      <c r="E337" t="s">
        <v>1159</v>
      </c>
    </row>
    <row r="338" spans="1:5" x14ac:dyDescent="0.25">
      <c r="A338" t="s">
        <v>877</v>
      </c>
      <c r="B338">
        <v>1</v>
      </c>
      <c r="C338" t="s">
        <v>1193</v>
      </c>
      <c r="D338" t="s">
        <v>886</v>
      </c>
      <c r="E338" t="s">
        <v>1113</v>
      </c>
    </row>
    <row r="339" spans="1:5" x14ac:dyDescent="0.25">
      <c r="A339" t="s">
        <v>877</v>
      </c>
      <c r="B339">
        <v>1</v>
      </c>
      <c r="C339" t="s">
        <v>1193</v>
      </c>
      <c r="D339" t="s">
        <v>884</v>
      </c>
      <c r="E339" t="s">
        <v>1113</v>
      </c>
    </row>
    <row r="340" spans="1:5" x14ac:dyDescent="0.25">
      <c r="A340" t="s">
        <v>877</v>
      </c>
      <c r="B340">
        <v>1</v>
      </c>
      <c r="C340" t="s">
        <v>1194</v>
      </c>
      <c r="D340" t="s">
        <v>878</v>
      </c>
      <c r="E340" t="s">
        <v>1113</v>
      </c>
    </row>
    <row r="341" spans="1:5" x14ac:dyDescent="0.25">
      <c r="A341" t="s">
        <v>877</v>
      </c>
      <c r="B341">
        <v>1</v>
      </c>
      <c r="C341" t="s">
        <v>1194</v>
      </c>
      <c r="D341" t="s">
        <v>888</v>
      </c>
      <c r="E341" t="s">
        <v>1113</v>
      </c>
    </row>
    <row r="342" spans="1:5" x14ac:dyDescent="0.25">
      <c r="A342" t="s">
        <v>877</v>
      </c>
      <c r="B342">
        <v>1</v>
      </c>
      <c r="C342" t="s">
        <v>1195</v>
      </c>
      <c r="D342" t="s">
        <v>879</v>
      </c>
      <c r="E342" t="s">
        <v>1113</v>
      </c>
    </row>
    <row r="343" spans="1:5" x14ac:dyDescent="0.25">
      <c r="A343" t="s">
        <v>877</v>
      </c>
      <c r="B343">
        <v>1</v>
      </c>
      <c r="C343" t="s">
        <v>1195</v>
      </c>
      <c r="D343" t="s">
        <v>882</v>
      </c>
      <c r="E343" t="s">
        <v>1113</v>
      </c>
    </row>
    <row r="344" spans="1:5" x14ac:dyDescent="0.25">
      <c r="A344" t="s">
        <v>877</v>
      </c>
      <c r="B344">
        <v>1</v>
      </c>
      <c r="C344" t="s">
        <v>1196</v>
      </c>
      <c r="D344" t="s">
        <v>880</v>
      </c>
      <c r="E344" t="s">
        <v>1113</v>
      </c>
    </row>
    <row r="345" spans="1:5" x14ac:dyDescent="0.25">
      <c r="A345" t="s">
        <v>877</v>
      </c>
      <c r="B345">
        <v>1</v>
      </c>
      <c r="C345" t="s">
        <v>1196</v>
      </c>
      <c r="D345" t="s">
        <v>883</v>
      </c>
      <c r="E345" t="s">
        <v>1113</v>
      </c>
    </row>
    <row r="346" spans="1:5" x14ac:dyDescent="0.25">
      <c r="A346" t="s">
        <v>877</v>
      </c>
      <c r="B346">
        <v>1</v>
      </c>
      <c r="C346" t="s">
        <v>1197</v>
      </c>
      <c r="D346" t="s">
        <v>890</v>
      </c>
      <c r="E346" t="s">
        <v>1113</v>
      </c>
    </row>
    <row r="347" spans="1:5" x14ac:dyDescent="0.25">
      <c r="A347" t="s">
        <v>877</v>
      </c>
      <c r="B347">
        <v>1</v>
      </c>
      <c r="C347" t="s">
        <v>1197</v>
      </c>
      <c r="D347" t="s">
        <v>881</v>
      </c>
      <c r="E347" t="s">
        <v>1113</v>
      </c>
    </row>
    <row r="348" spans="1:5" x14ac:dyDescent="0.25">
      <c r="A348" t="s">
        <v>877</v>
      </c>
      <c r="B348">
        <v>1</v>
      </c>
      <c r="C348" t="s">
        <v>1198</v>
      </c>
      <c r="D348" t="s">
        <v>887</v>
      </c>
      <c r="E348" t="s">
        <v>1113</v>
      </c>
    </row>
    <row r="349" spans="1:5" x14ac:dyDescent="0.25">
      <c r="A349" t="s">
        <v>877</v>
      </c>
      <c r="B349">
        <v>1</v>
      </c>
      <c r="C349" t="s">
        <v>1198</v>
      </c>
      <c r="D349" t="s">
        <v>889</v>
      </c>
      <c r="E349" t="s">
        <v>1113</v>
      </c>
    </row>
    <row r="350" spans="1:5" x14ac:dyDescent="0.25">
      <c r="A350" t="s">
        <v>877</v>
      </c>
      <c r="B350">
        <v>2</v>
      </c>
      <c r="C350" t="s">
        <v>1199</v>
      </c>
      <c r="D350">
        <v>451</v>
      </c>
      <c r="E350" t="s">
        <v>1113</v>
      </c>
    </row>
    <row r="351" spans="1:5" x14ac:dyDescent="0.25">
      <c r="A351" t="s">
        <v>877</v>
      </c>
      <c r="B351">
        <v>2</v>
      </c>
      <c r="C351" t="s">
        <v>1199</v>
      </c>
      <c r="D351">
        <v>452</v>
      </c>
      <c r="E351" t="s">
        <v>1113</v>
      </c>
    </row>
    <row r="352" spans="1:5" x14ac:dyDescent="0.25">
      <c r="A352" t="s">
        <v>877</v>
      </c>
      <c r="B352">
        <v>2</v>
      </c>
      <c r="C352" t="s">
        <v>1199</v>
      </c>
      <c r="D352">
        <v>453</v>
      </c>
      <c r="E352" t="s">
        <v>1113</v>
      </c>
    </row>
    <row r="353" spans="1:5" x14ac:dyDescent="0.25">
      <c r="A353" t="s">
        <v>877</v>
      </c>
      <c r="B353">
        <v>2</v>
      </c>
      <c r="C353" t="s">
        <v>1199</v>
      </c>
      <c r="D353">
        <v>454</v>
      </c>
      <c r="E353" t="s">
        <v>1113</v>
      </c>
    </row>
    <row r="354" spans="1:5" x14ac:dyDescent="0.25">
      <c r="A354" t="s">
        <v>877</v>
      </c>
      <c r="B354">
        <v>2</v>
      </c>
      <c r="C354" t="s">
        <v>1200</v>
      </c>
      <c r="D354">
        <v>455</v>
      </c>
      <c r="E354" t="s">
        <v>1113</v>
      </c>
    </row>
    <row r="355" spans="1:5" x14ac:dyDescent="0.25">
      <c r="A355" t="s">
        <v>877</v>
      </c>
      <c r="B355">
        <v>2</v>
      </c>
      <c r="C355" t="s">
        <v>1200</v>
      </c>
      <c r="D355">
        <v>456</v>
      </c>
      <c r="E355" t="s">
        <v>1113</v>
      </c>
    </row>
    <row r="356" spans="1:5" x14ac:dyDescent="0.25">
      <c r="A356" t="s">
        <v>877</v>
      </c>
      <c r="B356">
        <v>2</v>
      </c>
      <c r="C356" t="s">
        <v>1200</v>
      </c>
      <c r="D356">
        <v>457</v>
      </c>
      <c r="E356" t="s">
        <v>1113</v>
      </c>
    </row>
    <row r="357" spans="1:5" x14ac:dyDescent="0.25">
      <c r="A357" t="s">
        <v>877</v>
      </c>
      <c r="B357">
        <v>2</v>
      </c>
      <c r="C357" t="s">
        <v>1200</v>
      </c>
      <c r="D357">
        <v>458</v>
      </c>
      <c r="E357" t="s">
        <v>1113</v>
      </c>
    </row>
    <row r="358" spans="1:5" x14ac:dyDescent="0.25">
      <c r="A358" t="s">
        <v>877</v>
      </c>
      <c r="B358">
        <v>2</v>
      </c>
      <c r="C358" t="s">
        <v>1201</v>
      </c>
      <c r="D358">
        <v>459</v>
      </c>
      <c r="E358" t="s">
        <v>1113</v>
      </c>
    </row>
    <row r="359" spans="1:5" x14ac:dyDescent="0.25">
      <c r="A359" t="s">
        <v>877</v>
      </c>
      <c r="B359">
        <v>2</v>
      </c>
      <c r="C359" t="s">
        <v>1201</v>
      </c>
      <c r="D359">
        <v>460</v>
      </c>
      <c r="E359" t="s">
        <v>1113</v>
      </c>
    </row>
    <row r="360" spans="1:5" x14ac:dyDescent="0.25">
      <c r="A360" t="s">
        <v>877</v>
      </c>
      <c r="B360">
        <v>2</v>
      </c>
      <c r="C360" t="s">
        <v>1201</v>
      </c>
      <c r="D360">
        <v>461</v>
      </c>
      <c r="E360" t="s">
        <v>1113</v>
      </c>
    </row>
    <row r="361" spans="1:5" x14ac:dyDescent="0.25">
      <c r="A361" t="s">
        <v>877</v>
      </c>
      <c r="B361">
        <v>2</v>
      </c>
      <c r="C361" t="s">
        <v>1201</v>
      </c>
      <c r="D361">
        <v>462</v>
      </c>
      <c r="E361" t="s">
        <v>1113</v>
      </c>
    </row>
    <row r="362" spans="1:5" x14ac:dyDescent="0.25">
      <c r="A362" t="s">
        <v>877</v>
      </c>
      <c r="B362">
        <v>2</v>
      </c>
      <c r="C362" t="s">
        <v>1202</v>
      </c>
      <c r="D362">
        <v>463</v>
      </c>
      <c r="E362" t="s">
        <v>1113</v>
      </c>
    </row>
    <row r="363" spans="1:5" x14ac:dyDescent="0.25">
      <c r="A363" t="s">
        <v>877</v>
      </c>
      <c r="B363">
        <v>2</v>
      </c>
      <c r="C363" t="s">
        <v>1202</v>
      </c>
      <c r="D363">
        <v>464</v>
      </c>
      <c r="E363" t="s">
        <v>1113</v>
      </c>
    </row>
    <row r="364" spans="1:5" x14ac:dyDescent="0.25">
      <c r="A364" t="s">
        <v>877</v>
      </c>
      <c r="B364">
        <v>2</v>
      </c>
      <c r="C364" t="s">
        <v>1202</v>
      </c>
      <c r="D364">
        <v>465</v>
      </c>
      <c r="E364" t="s">
        <v>1113</v>
      </c>
    </row>
    <row r="365" spans="1:5" x14ac:dyDescent="0.25">
      <c r="A365" t="s">
        <v>877</v>
      </c>
      <c r="B365">
        <v>2</v>
      </c>
      <c r="C365" t="s">
        <v>1202</v>
      </c>
      <c r="D365">
        <v>466</v>
      </c>
      <c r="E365" t="s">
        <v>1113</v>
      </c>
    </row>
    <row r="366" spans="1:5" x14ac:dyDescent="0.25">
      <c r="A366" t="s">
        <v>877</v>
      </c>
      <c r="B366">
        <v>2</v>
      </c>
      <c r="C366" t="s">
        <v>1203</v>
      </c>
      <c r="D366">
        <v>467</v>
      </c>
      <c r="E366" t="s">
        <v>1113</v>
      </c>
    </row>
    <row r="367" spans="1:5" x14ac:dyDescent="0.25">
      <c r="A367" t="s">
        <v>877</v>
      </c>
      <c r="B367">
        <v>2</v>
      </c>
      <c r="C367" t="s">
        <v>1203</v>
      </c>
      <c r="D367">
        <v>468</v>
      </c>
      <c r="E367" t="s">
        <v>1113</v>
      </c>
    </row>
    <row r="368" spans="1:5" x14ac:dyDescent="0.25">
      <c r="A368" t="s">
        <v>877</v>
      </c>
      <c r="B368">
        <v>2</v>
      </c>
      <c r="C368" t="s">
        <v>1203</v>
      </c>
      <c r="D368">
        <v>469</v>
      </c>
      <c r="E368" t="s">
        <v>1113</v>
      </c>
    </row>
    <row r="369" spans="1:5" x14ac:dyDescent="0.25">
      <c r="A369" t="s">
        <v>877</v>
      </c>
      <c r="B369">
        <v>2</v>
      </c>
      <c r="C369" t="s">
        <v>1203</v>
      </c>
      <c r="D369">
        <v>470</v>
      </c>
      <c r="E369" t="s">
        <v>1113</v>
      </c>
    </row>
    <row r="370" spans="1:5" x14ac:dyDescent="0.25">
      <c r="A370" t="s">
        <v>877</v>
      </c>
      <c r="B370">
        <v>2</v>
      </c>
      <c r="C370" t="s">
        <v>1204</v>
      </c>
      <c r="D370">
        <v>471</v>
      </c>
      <c r="E370" t="s">
        <v>1113</v>
      </c>
    </row>
    <row r="371" spans="1:5" x14ac:dyDescent="0.25">
      <c r="A371" t="s">
        <v>877</v>
      </c>
      <c r="B371">
        <v>2</v>
      </c>
      <c r="C371" t="s">
        <v>1204</v>
      </c>
      <c r="D371">
        <v>472</v>
      </c>
      <c r="E371" t="s">
        <v>1113</v>
      </c>
    </row>
    <row r="372" spans="1:5" x14ac:dyDescent="0.25">
      <c r="A372" t="s">
        <v>877</v>
      </c>
      <c r="B372">
        <v>2</v>
      </c>
      <c r="C372" t="s">
        <v>1204</v>
      </c>
      <c r="D372">
        <v>473</v>
      </c>
      <c r="E372" t="s">
        <v>1113</v>
      </c>
    </row>
    <row r="373" spans="1:5" x14ac:dyDescent="0.25">
      <c r="A373" t="s">
        <v>877</v>
      </c>
      <c r="B373">
        <v>2</v>
      </c>
      <c r="C373" t="s">
        <v>1204</v>
      </c>
      <c r="D373">
        <v>474</v>
      </c>
      <c r="E373" t="s">
        <v>1113</v>
      </c>
    </row>
    <row r="374" spans="1:5" x14ac:dyDescent="0.25">
      <c r="A374" t="s">
        <v>877</v>
      </c>
      <c r="B374">
        <v>2</v>
      </c>
      <c r="C374" t="s">
        <v>1205</v>
      </c>
      <c r="D374" t="s">
        <v>900</v>
      </c>
      <c r="E374" t="s">
        <v>1113</v>
      </c>
    </row>
    <row r="375" spans="1:5" x14ac:dyDescent="0.25">
      <c r="A375" t="s">
        <v>877</v>
      </c>
      <c r="B375">
        <v>2</v>
      </c>
      <c r="C375" t="s">
        <v>1205</v>
      </c>
      <c r="D375" t="s">
        <v>895</v>
      </c>
      <c r="E375" t="s">
        <v>1113</v>
      </c>
    </row>
    <row r="376" spans="1:5" x14ac:dyDescent="0.25">
      <c r="A376" t="s">
        <v>877</v>
      </c>
      <c r="B376">
        <v>2</v>
      </c>
      <c r="C376" t="s">
        <v>1206</v>
      </c>
      <c r="D376" t="s">
        <v>902</v>
      </c>
      <c r="E376" t="s">
        <v>1113</v>
      </c>
    </row>
    <row r="377" spans="1:5" x14ac:dyDescent="0.25">
      <c r="A377" t="s">
        <v>877</v>
      </c>
      <c r="B377">
        <v>2</v>
      </c>
      <c r="C377" t="s">
        <v>1206</v>
      </c>
      <c r="D377" t="s">
        <v>897</v>
      </c>
      <c r="E377" t="s">
        <v>1113</v>
      </c>
    </row>
    <row r="378" spans="1:5" x14ac:dyDescent="0.25">
      <c r="A378" t="s">
        <v>877</v>
      </c>
      <c r="B378">
        <v>2</v>
      </c>
      <c r="C378" t="s">
        <v>1207</v>
      </c>
      <c r="D378" t="s">
        <v>893</v>
      </c>
      <c r="E378" t="s">
        <v>1113</v>
      </c>
    </row>
    <row r="379" spans="1:5" x14ac:dyDescent="0.25">
      <c r="A379" t="s">
        <v>877</v>
      </c>
      <c r="B379">
        <v>2</v>
      </c>
      <c r="C379" t="s">
        <v>1207</v>
      </c>
      <c r="D379" t="s">
        <v>896</v>
      </c>
      <c r="E379" t="s">
        <v>1113</v>
      </c>
    </row>
    <row r="380" spans="1:5" x14ac:dyDescent="0.25">
      <c r="A380" t="s">
        <v>877</v>
      </c>
      <c r="B380">
        <v>2</v>
      </c>
      <c r="C380" t="s">
        <v>1208</v>
      </c>
      <c r="D380" t="s">
        <v>899</v>
      </c>
      <c r="E380" t="s">
        <v>1113</v>
      </c>
    </row>
    <row r="381" spans="1:5" x14ac:dyDescent="0.25">
      <c r="A381" t="s">
        <v>877</v>
      </c>
      <c r="B381">
        <v>2</v>
      </c>
      <c r="C381" t="s">
        <v>1208</v>
      </c>
      <c r="D381" t="s">
        <v>901</v>
      </c>
      <c r="E381" t="s">
        <v>1113</v>
      </c>
    </row>
    <row r="382" spans="1:5" x14ac:dyDescent="0.25">
      <c r="A382" t="s">
        <v>877</v>
      </c>
      <c r="B382">
        <v>2</v>
      </c>
      <c r="C382" t="s">
        <v>1209</v>
      </c>
      <c r="D382" t="s">
        <v>892</v>
      </c>
      <c r="E382" t="s">
        <v>1113</v>
      </c>
    </row>
    <row r="383" spans="1:5" x14ac:dyDescent="0.25">
      <c r="A383" t="s">
        <v>877</v>
      </c>
      <c r="B383">
        <v>2</v>
      </c>
      <c r="C383" t="s">
        <v>1209</v>
      </c>
      <c r="D383" t="s">
        <v>898</v>
      </c>
      <c r="E383" t="s">
        <v>1113</v>
      </c>
    </row>
    <row r="384" spans="1:5" x14ac:dyDescent="0.25">
      <c r="A384" t="s">
        <v>877</v>
      </c>
      <c r="B384">
        <v>2</v>
      </c>
      <c r="C384" t="s">
        <v>1210</v>
      </c>
      <c r="D384" t="s">
        <v>894</v>
      </c>
      <c r="E384" t="s">
        <v>1113</v>
      </c>
    </row>
    <row r="385" spans="1:5" x14ac:dyDescent="0.25">
      <c r="A385" t="s">
        <v>877</v>
      </c>
      <c r="B385">
        <v>2</v>
      </c>
      <c r="C385" t="s">
        <v>1210</v>
      </c>
      <c r="D385" t="s">
        <v>891</v>
      </c>
      <c r="E385" t="s">
        <v>1113</v>
      </c>
    </row>
    <row r="386" spans="1:5" x14ac:dyDescent="0.25">
      <c r="A386" t="s">
        <v>1105</v>
      </c>
      <c r="B386">
        <v>1</v>
      </c>
      <c r="C386" t="s">
        <v>1211</v>
      </c>
      <c r="D386">
        <v>101</v>
      </c>
      <c r="E386" t="s">
        <v>1113</v>
      </c>
    </row>
    <row r="387" spans="1:5" x14ac:dyDescent="0.25">
      <c r="A387" t="s">
        <v>1105</v>
      </c>
      <c r="B387">
        <v>1</v>
      </c>
      <c r="C387" t="s">
        <v>1211</v>
      </c>
      <c r="D387">
        <v>102</v>
      </c>
      <c r="E387" t="s">
        <v>1113</v>
      </c>
    </row>
    <row r="388" spans="1:5" x14ac:dyDescent="0.25">
      <c r="A388" t="s">
        <v>1105</v>
      </c>
      <c r="B388">
        <v>1</v>
      </c>
      <c r="C388" t="s">
        <v>1211</v>
      </c>
      <c r="D388">
        <v>103</v>
      </c>
      <c r="E388" t="s">
        <v>1113</v>
      </c>
    </row>
    <row r="389" spans="1:5" x14ac:dyDescent="0.25">
      <c r="A389" t="s">
        <v>1105</v>
      </c>
      <c r="B389">
        <v>1</v>
      </c>
      <c r="C389" t="s">
        <v>1211</v>
      </c>
      <c r="D389">
        <v>104</v>
      </c>
      <c r="E389" t="s">
        <v>1113</v>
      </c>
    </row>
    <row r="390" spans="1:5" x14ac:dyDescent="0.25">
      <c r="A390" t="s">
        <v>1105</v>
      </c>
      <c r="B390">
        <v>1</v>
      </c>
      <c r="C390" t="s">
        <v>1212</v>
      </c>
      <c r="D390">
        <v>111</v>
      </c>
      <c r="E390" t="s">
        <v>1113</v>
      </c>
    </row>
    <row r="391" spans="1:5" x14ac:dyDescent="0.25">
      <c r="A391" t="s">
        <v>1105</v>
      </c>
      <c r="B391">
        <v>1</v>
      </c>
      <c r="C391" t="s">
        <v>1212</v>
      </c>
      <c r="D391">
        <v>112</v>
      </c>
      <c r="E391" t="s">
        <v>1113</v>
      </c>
    </row>
    <row r="392" spans="1:5" x14ac:dyDescent="0.25">
      <c r="A392" t="s">
        <v>1105</v>
      </c>
      <c r="B392">
        <v>1</v>
      </c>
      <c r="C392" t="s">
        <v>1212</v>
      </c>
      <c r="D392">
        <v>113</v>
      </c>
      <c r="E392" t="s">
        <v>1113</v>
      </c>
    </row>
    <row r="393" spans="1:5" x14ac:dyDescent="0.25">
      <c r="A393" t="s">
        <v>1105</v>
      </c>
      <c r="B393">
        <v>1</v>
      </c>
      <c r="C393" t="s">
        <v>1212</v>
      </c>
      <c r="D393">
        <v>116</v>
      </c>
      <c r="E393" t="s">
        <v>1113</v>
      </c>
    </row>
    <row r="394" spans="1:5" x14ac:dyDescent="0.25">
      <c r="A394" t="s">
        <v>1105</v>
      </c>
      <c r="B394">
        <v>1</v>
      </c>
      <c r="C394" t="s">
        <v>1213</v>
      </c>
      <c r="D394">
        <v>121</v>
      </c>
      <c r="E394" t="s">
        <v>1113</v>
      </c>
    </row>
    <row r="395" spans="1:5" x14ac:dyDescent="0.25">
      <c r="A395" t="s">
        <v>1105</v>
      </c>
      <c r="B395">
        <v>1</v>
      </c>
      <c r="C395" t="s">
        <v>1213</v>
      </c>
      <c r="D395">
        <v>122</v>
      </c>
      <c r="E395" t="s">
        <v>1113</v>
      </c>
    </row>
    <row r="396" spans="1:5" x14ac:dyDescent="0.25">
      <c r="A396" t="s">
        <v>1105</v>
      </c>
      <c r="B396">
        <v>1</v>
      </c>
      <c r="C396" t="s">
        <v>1213</v>
      </c>
      <c r="D396">
        <v>123</v>
      </c>
      <c r="E396" t="s">
        <v>1113</v>
      </c>
    </row>
    <row r="397" spans="1:5" x14ac:dyDescent="0.25">
      <c r="A397" t="s">
        <v>1105</v>
      </c>
      <c r="B397">
        <v>1</v>
      </c>
      <c r="C397" t="s">
        <v>1213</v>
      </c>
      <c r="D397">
        <v>124</v>
      </c>
      <c r="E397" t="s">
        <v>1113</v>
      </c>
    </row>
    <row r="398" spans="1:5" x14ac:dyDescent="0.25">
      <c r="A398" t="s">
        <v>1105</v>
      </c>
      <c r="B398">
        <v>1</v>
      </c>
      <c r="C398" t="s">
        <v>1214</v>
      </c>
      <c r="D398">
        <v>131</v>
      </c>
      <c r="E398" t="s">
        <v>1113</v>
      </c>
    </row>
    <row r="399" spans="1:5" x14ac:dyDescent="0.25">
      <c r="A399" t="s">
        <v>1105</v>
      </c>
      <c r="B399">
        <v>1</v>
      </c>
      <c r="C399" t="s">
        <v>1214</v>
      </c>
      <c r="D399">
        <v>132</v>
      </c>
      <c r="E399" t="s">
        <v>1113</v>
      </c>
    </row>
    <row r="400" spans="1:5" x14ac:dyDescent="0.25">
      <c r="A400" t="s">
        <v>1105</v>
      </c>
      <c r="B400">
        <v>1</v>
      </c>
      <c r="C400" t="s">
        <v>1214</v>
      </c>
      <c r="D400">
        <v>133</v>
      </c>
      <c r="E400" t="s">
        <v>1113</v>
      </c>
    </row>
    <row r="401" spans="1:5" x14ac:dyDescent="0.25">
      <c r="A401" t="s">
        <v>1105</v>
      </c>
      <c r="B401">
        <v>1</v>
      </c>
      <c r="C401" t="s">
        <v>1214</v>
      </c>
      <c r="D401">
        <v>134</v>
      </c>
      <c r="E401" t="s">
        <v>1113</v>
      </c>
    </row>
    <row r="402" spans="1:5" x14ac:dyDescent="0.25">
      <c r="A402" t="s">
        <v>1105</v>
      </c>
      <c r="B402">
        <v>2</v>
      </c>
      <c r="C402" t="s">
        <v>1215</v>
      </c>
      <c r="D402">
        <v>201</v>
      </c>
      <c r="E402" t="s">
        <v>1113</v>
      </c>
    </row>
    <row r="403" spans="1:5" x14ac:dyDescent="0.25">
      <c r="A403" t="s">
        <v>1105</v>
      </c>
      <c r="B403">
        <v>2</v>
      </c>
      <c r="C403" t="s">
        <v>1215</v>
      </c>
      <c r="D403">
        <v>202</v>
      </c>
      <c r="E403" t="s">
        <v>1113</v>
      </c>
    </row>
    <row r="404" spans="1:5" x14ac:dyDescent="0.25">
      <c r="A404" t="s">
        <v>1105</v>
      </c>
      <c r="B404">
        <v>2</v>
      </c>
      <c r="C404" t="s">
        <v>1215</v>
      </c>
      <c r="D404">
        <v>203</v>
      </c>
      <c r="E404" t="s">
        <v>1113</v>
      </c>
    </row>
    <row r="405" spans="1:5" x14ac:dyDescent="0.25">
      <c r="A405" t="s">
        <v>1105</v>
      </c>
      <c r="B405">
        <v>2</v>
      </c>
      <c r="C405" t="s">
        <v>1215</v>
      </c>
      <c r="D405">
        <v>204</v>
      </c>
      <c r="E405" t="s">
        <v>1113</v>
      </c>
    </row>
    <row r="406" spans="1:5" x14ac:dyDescent="0.25">
      <c r="A406" t="s">
        <v>1105</v>
      </c>
      <c r="B406">
        <v>2</v>
      </c>
      <c r="C406" t="s">
        <v>1216</v>
      </c>
      <c r="D406">
        <v>221</v>
      </c>
      <c r="E406" t="s">
        <v>1113</v>
      </c>
    </row>
    <row r="407" spans="1:5" x14ac:dyDescent="0.25">
      <c r="A407" t="s">
        <v>1105</v>
      </c>
      <c r="B407">
        <v>2</v>
      </c>
      <c r="C407" t="s">
        <v>1216</v>
      </c>
      <c r="D407">
        <v>222</v>
      </c>
      <c r="E407" t="s">
        <v>1113</v>
      </c>
    </row>
    <row r="408" spans="1:5" x14ac:dyDescent="0.25">
      <c r="A408" t="s">
        <v>1105</v>
      </c>
      <c r="B408">
        <v>2</v>
      </c>
      <c r="C408" t="s">
        <v>1216</v>
      </c>
      <c r="D408">
        <v>223</v>
      </c>
      <c r="E408" t="s">
        <v>1113</v>
      </c>
    </row>
    <row r="409" spans="1:5" x14ac:dyDescent="0.25">
      <c r="A409" t="s">
        <v>1105</v>
      </c>
      <c r="B409">
        <v>2</v>
      </c>
      <c r="C409" t="s">
        <v>1216</v>
      </c>
      <c r="D409">
        <v>224</v>
      </c>
      <c r="E409" t="s">
        <v>1113</v>
      </c>
    </row>
    <row r="410" spans="1:5" x14ac:dyDescent="0.25">
      <c r="A410" t="s">
        <v>1105</v>
      </c>
      <c r="B410">
        <v>2</v>
      </c>
      <c r="C410" t="s">
        <v>1217</v>
      </c>
      <c r="D410">
        <v>231</v>
      </c>
      <c r="E410" t="s">
        <v>1113</v>
      </c>
    </row>
    <row r="411" spans="1:5" x14ac:dyDescent="0.25">
      <c r="A411" t="s">
        <v>1105</v>
      </c>
      <c r="B411">
        <v>2</v>
      </c>
      <c r="C411" t="s">
        <v>1217</v>
      </c>
      <c r="D411">
        <v>232</v>
      </c>
      <c r="E411" t="s">
        <v>1113</v>
      </c>
    </row>
    <row r="412" spans="1:5" x14ac:dyDescent="0.25">
      <c r="A412" t="s">
        <v>1105</v>
      </c>
      <c r="B412">
        <v>2</v>
      </c>
      <c r="C412" t="s">
        <v>1217</v>
      </c>
      <c r="D412">
        <v>233</v>
      </c>
      <c r="E412" t="s">
        <v>1113</v>
      </c>
    </row>
    <row r="413" spans="1:5" x14ac:dyDescent="0.25">
      <c r="A413" t="s">
        <v>1105</v>
      </c>
      <c r="B413">
        <v>2</v>
      </c>
      <c r="C413" t="s">
        <v>1217</v>
      </c>
      <c r="D413">
        <v>234</v>
      </c>
      <c r="E413" t="s">
        <v>1113</v>
      </c>
    </row>
    <row r="414" spans="1:5" x14ac:dyDescent="0.25">
      <c r="A414" t="s">
        <v>1105</v>
      </c>
      <c r="B414">
        <v>2</v>
      </c>
      <c r="C414" t="s">
        <v>1218</v>
      </c>
      <c r="D414">
        <v>241</v>
      </c>
      <c r="E414" t="s">
        <v>1113</v>
      </c>
    </row>
    <row r="415" spans="1:5" x14ac:dyDescent="0.25">
      <c r="A415" t="s">
        <v>1105</v>
      </c>
      <c r="B415">
        <v>2</v>
      </c>
      <c r="C415" t="s">
        <v>1218</v>
      </c>
      <c r="D415">
        <v>242</v>
      </c>
      <c r="E415" t="s">
        <v>1113</v>
      </c>
    </row>
    <row r="416" spans="1:5" x14ac:dyDescent="0.25">
      <c r="A416" t="s">
        <v>1105</v>
      </c>
      <c r="B416">
        <v>2</v>
      </c>
      <c r="C416" t="s">
        <v>1218</v>
      </c>
      <c r="D416">
        <v>243</v>
      </c>
      <c r="E416" t="s">
        <v>1113</v>
      </c>
    </row>
    <row r="417" spans="1:5" x14ac:dyDescent="0.25">
      <c r="A417" t="s">
        <v>1105</v>
      </c>
      <c r="B417">
        <v>2</v>
      </c>
      <c r="C417" t="s">
        <v>1218</v>
      </c>
      <c r="D417">
        <v>244</v>
      </c>
      <c r="E417" t="s">
        <v>1113</v>
      </c>
    </row>
    <row r="418" spans="1:5" x14ac:dyDescent="0.25">
      <c r="A418" t="s">
        <v>1105</v>
      </c>
      <c r="B418">
        <v>2</v>
      </c>
      <c r="C418" t="s">
        <v>1219</v>
      </c>
      <c r="D418">
        <v>251</v>
      </c>
      <c r="E418" t="s">
        <v>1113</v>
      </c>
    </row>
    <row r="419" spans="1:5" x14ac:dyDescent="0.25">
      <c r="A419" t="s">
        <v>1105</v>
      </c>
      <c r="B419">
        <v>2</v>
      </c>
      <c r="C419" t="s">
        <v>1219</v>
      </c>
      <c r="D419">
        <v>252</v>
      </c>
      <c r="E419" t="s">
        <v>1113</v>
      </c>
    </row>
    <row r="420" spans="1:5" x14ac:dyDescent="0.25">
      <c r="A420" t="s">
        <v>1105</v>
      </c>
      <c r="B420">
        <v>2</v>
      </c>
      <c r="C420" t="s">
        <v>1219</v>
      </c>
      <c r="D420">
        <v>253</v>
      </c>
      <c r="E420" t="s">
        <v>1113</v>
      </c>
    </row>
    <row r="421" spans="1:5" x14ac:dyDescent="0.25">
      <c r="A421" t="s">
        <v>1105</v>
      </c>
      <c r="B421">
        <v>2</v>
      </c>
      <c r="C421" t="s">
        <v>1219</v>
      </c>
      <c r="D421">
        <v>254</v>
      </c>
      <c r="E421" t="s">
        <v>1113</v>
      </c>
    </row>
    <row r="422" spans="1:5" x14ac:dyDescent="0.25">
      <c r="A422" t="s">
        <v>1105</v>
      </c>
      <c r="B422">
        <v>2</v>
      </c>
      <c r="C422" t="s">
        <v>1219</v>
      </c>
      <c r="D422">
        <v>255</v>
      </c>
      <c r="E422" t="s">
        <v>1113</v>
      </c>
    </row>
    <row r="423" spans="1:5" x14ac:dyDescent="0.25">
      <c r="A423" t="s">
        <v>1105</v>
      </c>
      <c r="B423">
        <v>2</v>
      </c>
      <c r="C423" t="s">
        <v>1219</v>
      </c>
      <c r="D423">
        <v>256</v>
      </c>
      <c r="E423" t="s">
        <v>1113</v>
      </c>
    </row>
    <row r="424" spans="1:5" x14ac:dyDescent="0.25">
      <c r="A424" t="s">
        <v>1105</v>
      </c>
      <c r="B424">
        <v>2</v>
      </c>
      <c r="C424" t="s">
        <v>1220</v>
      </c>
      <c r="D424">
        <v>261</v>
      </c>
      <c r="E424" t="s">
        <v>1113</v>
      </c>
    </row>
    <row r="425" spans="1:5" x14ac:dyDescent="0.25">
      <c r="A425" t="s">
        <v>1105</v>
      </c>
      <c r="B425">
        <v>2</v>
      </c>
      <c r="C425" t="s">
        <v>1220</v>
      </c>
      <c r="D425">
        <v>262</v>
      </c>
      <c r="E425" t="s">
        <v>1113</v>
      </c>
    </row>
    <row r="426" spans="1:5" x14ac:dyDescent="0.25">
      <c r="A426" t="s">
        <v>1105</v>
      </c>
      <c r="B426">
        <v>2</v>
      </c>
      <c r="C426" t="s">
        <v>1220</v>
      </c>
      <c r="D426">
        <v>263</v>
      </c>
      <c r="E426" t="s">
        <v>1113</v>
      </c>
    </row>
    <row r="427" spans="1:5" x14ac:dyDescent="0.25">
      <c r="A427" t="s">
        <v>1105</v>
      </c>
      <c r="B427">
        <v>2</v>
      </c>
      <c r="C427" t="s">
        <v>1220</v>
      </c>
      <c r="D427">
        <v>264</v>
      </c>
      <c r="E427" t="s">
        <v>1113</v>
      </c>
    </row>
    <row r="428" spans="1:5" x14ac:dyDescent="0.25">
      <c r="A428" t="s">
        <v>1105</v>
      </c>
      <c r="B428">
        <v>2</v>
      </c>
      <c r="C428" t="s">
        <v>1221</v>
      </c>
      <c r="D428">
        <v>271</v>
      </c>
      <c r="E428" t="s">
        <v>1113</v>
      </c>
    </row>
    <row r="429" spans="1:5" x14ac:dyDescent="0.25">
      <c r="A429" t="s">
        <v>1105</v>
      </c>
      <c r="B429">
        <v>2</v>
      </c>
      <c r="C429" t="s">
        <v>1221</v>
      </c>
      <c r="D429">
        <v>272</v>
      </c>
      <c r="E429" t="s">
        <v>1113</v>
      </c>
    </row>
    <row r="430" spans="1:5" x14ac:dyDescent="0.25">
      <c r="A430" t="s">
        <v>1105</v>
      </c>
      <c r="B430">
        <v>2</v>
      </c>
      <c r="C430" t="s">
        <v>1221</v>
      </c>
      <c r="D430">
        <v>273</v>
      </c>
      <c r="E430" t="s">
        <v>1113</v>
      </c>
    </row>
    <row r="431" spans="1:5" x14ac:dyDescent="0.25">
      <c r="A431" t="s">
        <v>1105</v>
      </c>
      <c r="B431">
        <v>2</v>
      </c>
      <c r="C431" t="s">
        <v>1221</v>
      </c>
      <c r="D431">
        <v>274</v>
      </c>
      <c r="E431" t="s">
        <v>1113</v>
      </c>
    </row>
    <row r="432" spans="1:5" x14ac:dyDescent="0.25">
      <c r="A432" t="s">
        <v>1105</v>
      </c>
      <c r="B432">
        <v>2</v>
      </c>
      <c r="C432" t="s">
        <v>1222</v>
      </c>
      <c r="D432">
        <v>281</v>
      </c>
      <c r="E432" t="s">
        <v>1113</v>
      </c>
    </row>
    <row r="433" spans="1:5" x14ac:dyDescent="0.25">
      <c r="A433" t="s">
        <v>1105</v>
      </c>
      <c r="B433">
        <v>2</v>
      </c>
      <c r="C433" t="s">
        <v>1222</v>
      </c>
      <c r="D433">
        <v>282</v>
      </c>
      <c r="E433" t="s">
        <v>1113</v>
      </c>
    </row>
    <row r="434" spans="1:5" x14ac:dyDescent="0.25">
      <c r="A434" t="s">
        <v>1105</v>
      </c>
      <c r="B434">
        <v>2</v>
      </c>
      <c r="C434" t="s">
        <v>1222</v>
      </c>
      <c r="D434">
        <v>283</v>
      </c>
      <c r="E434" t="s">
        <v>1113</v>
      </c>
    </row>
    <row r="435" spans="1:5" x14ac:dyDescent="0.25">
      <c r="A435" t="s">
        <v>1105</v>
      </c>
      <c r="B435">
        <v>2</v>
      </c>
      <c r="C435" t="s">
        <v>1222</v>
      </c>
      <c r="D435">
        <v>284</v>
      </c>
      <c r="E435" t="s">
        <v>1113</v>
      </c>
    </row>
    <row r="436" spans="1:5" x14ac:dyDescent="0.25">
      <c r="A436" t="s">
        <v>1105</v>
      </c>
      <c r="B436">
        <v>2</v>
      </c>
      <c r="C436" t="s">
        <v>1222</v>
      </c>
      <c r="D436">
        <v>285</v>
      </c>
      <c r="E436" t="s">
        <v>1113</v>
      </c>
    </row>
    <row r="437" spans="1:5" x14ac:dyDescent="0.25">
      <c r="A437" t="s">
        <v>1105</v>
      </c>
      <c r="B437">
        <v>2</v>
      </c>
      <c r="C437" t="s">
        <v>1222</v>
      </c>
      <c r="D437">
        <v>286</v>
      </c>
      <c r="E437" t="s">
        <v>1113</v>
      </c>
    </row>
    <row r="438" spans="1:5" x14ac:dyDescent="0.25">
      <c r="A438" t="s">
        <v>1105</v>
      </c>
      <c r="B438">
        <v>3</v>
      </c>
      <c r="C438" t="s">
        <v>1223</v>
      </c>
      <c r="D438">
        <v>301</v>
      </c>
      <c r="E438" t="s">
        <v>1113</v>
      </c>
    </row>
    <row r="439" spans="1:5" x14ac:dyDescent="0.25">
      <c r="A439" t="s">
        <v>1105</v>
      </c>
      <c r="B439">
        <v>3</v>
      </c>
      <c r="C439" t="s">
        <v>1223</v>
      </c>
      <c r="D439">
        <v>302</v>
      </c>
      <c r="E439" t="s">
        <v>1113</v>
      </c>
    </row>
    <row r="440" spans="1:5" x14ac:dyDescent="0.25">
      <c r="A440" t="s">
        <v>1105</v>
      </c>
      <c r="B440">
        <v>3</v>
      </c>
      <c r="C440" t="s">
        <v>1223</v>
      </c>
      <c r="D440">
        <v>303</v>
      </c>
      <c r="E440" t="s">
        <v>1113</v>
      </c>
    </row>
    <row r="441" spans="1:5" x14ac:dyDescent="0.25">
      <c r="A441" t="s">
        <v>1105</v>
      </c>
      <c r="B441">
        <v>3</v>
      </c>
      <c r="C441" t="s">
        <v>1224</v>
      </c>
      <c r="D441">
        <v>311</v>
      </c>
      <c r="E441" t="s">
        <v>1113</v>
      </c>
    </row>
    <row r="442" spans="1:5" x14ac:dyDescent="0.25">
      <c r="A442" t="s">
        <v>1105</v>
      </c>
      <c r="B442">
        <v>3</v>
      </c>
      <c r="C442" t="s">
        <v>1224</v>
      </c>
      <c r="D442">
        <v>312</v>
      </c>
      <c r="E442" t="s">
        <v>1113</v>
      </c>
    </row>
    <row r="443" spans="1:5" x14ac:dyDescent="0.25">
      <c r="A443" t="s">
        <v>1105</v>
      </c>
      <c r="B443">
        <v>3</v>
      </c>
      <c r="C443" t="s">
        <v>1224</v>
      </c>
      <c r="D443">
        <v>313</v>
      </c>
      <c r="E443" t="s">
        <v>1113</v>
      </c>
    </row>
    <row r="444" spans="1:5" x14ac:dyDescent="0.25">
      <c r="A444" t="s">
        <v>1105</v>
      </c>
      <c r="B444">
        <v>3</v>
      </c>
      <c r="C444" t="s">
        <v>1224</v>
      </c>
      <c r="D444">
        <v>314</v>
      </c>
      <c r="E444" t="s">
        <v>1113</v>
      </c>
    </row>
    <row r="445" spans="1:5" x14ac:dyDescent="0.25">
      <c r="A445" t="s">
        <v>1105</v>
      </c>
      <c r="B445">
        <v>3</v>
      </c>
      <c r="C445" t="s">
        <v>1225</v>
      </c>
      <c r="D445">
        <v>321</v>
      </c>
      <c r="E445" t="s">
        <v>1113</v>
      </c>
    </row>
    <row r="446" spans="1:5" x14ac:dyDescent="0.25">
      <c r="A446" t="s">
        <v>1105</v>
      </c>
      <c r="B446">
        <v>3</v>
      </c>
      <c r="C446" t="s">
        <v>1225</v>
      </c>
      <c r="D446">
        <v>322</v>
      </c>
      <c r="E446" t="s">
        <v>1113</v>
      </c>
    </row>
    <row r="447" spans="1:5" x14ac:dyDescent="0.25">
      <c r="A447" t="s">
        <v>1105</v>
      </c>
      <c r="B447">
        <v>3</v>
      </c>
      <c r="C447" t="s">
        <v>1225</v>
      </c>
      <c r="D447">
        <v>323</v>
      </c>
      <c r="E447" t="s">
        <v>1113</v>
      </c>
    </row>
    <row r="448" spans="1:5" x14ac:dyDescent="0.25">
      <c r="A448" t="s">
        <v>1105</v>
      </c>
      <c r="B448">
        <v>3</v>
      </c>
      <c r="C448" t="s">
        <v>1225</v>
      </c>
      <c r="D448">
        <v>324</v>
      </c>
      <c r="E448" t="s">
        <v>1113</v>
      </c>
    </row>
    <row r="449" spans="1:5" x14ac:dyDescent="0.25">
      <c r="A449" t="s">
        <v>1105</v>
      </c>
      <c r="B449">
        <v>3</v>
      </c>
      <c r="C449" t="s">
        <v>1226</v>
      </c>
      <c r="D449">
        <v>331</v>
      </c>
      <c r="E449" t="s">
        <v>1113</v>
      </c>
    </row>
    <row r="450" spans="1:5" x14ac:dyDescent="0.25">
      <c r="A450" t="s">
        <v>1105</v>
      </c>
      <c r="B450">
        <v>3</v>
      </c>
      <c r="C450" t="s">
        <v>1226</v>
      </c>
      <c r="D450">
        <v>332</v>
      </c>
      <c r="E450" t="s">
        <v>1113</v>
      </c>
    </row>
    <row r="451" spans="1:5" x14ac:dyDescent="0.25">
      <c r="A451" t="s">
        <v>1105</v>
      </c>
      <c r="B451">
        <v>3</v>
      </c>
      <c r="C451" t="s">
        <v>1226</v>
      </c>
      <c r="D451">
        <v>333</v>
      </c>
      <c r="E451" t="s">
        <v>1113</v>
      </c>
    </row>
    <row r="452" spans="1:5" x14ac:dyDescent="0.25">
      <c r="A452" t="s">
        <v>1105</v>
      </c>
      <c r="B452">
        <v>3</v>
      </c>
      <c r="C452" t="s">
        <v>1226</v>
      </c>
      <c r="D452">
        <v>334</v>
      </c>
      <c r="E452" t="s">
        <v>1113</v>
      </c>
    </row>
    <row r="453" spans="1:5" x14ac:dyDescent="0.25">
      <c r="A453" t="s">
        <v>1105</v>
      </c>
      <c r="B453">
        <v>3</v>
      </c>
      <c r="C453" t="s">
        <v>1227</v>
      </c>
      <c r="D453">
        <v>341</v>
      </c>
      <c r="E453" t="s">
        <v>1113</v>
      </c>
    </row>
    <row r="454" spans="1:5" x14ac:dyDescent="0.25">
      <c r="A454" t="s">
        <v>1105</v>
      </c>
      <c r="B454">
        <v>3</v>
      </c>
      <c r="C454" t="s">
        <v>1227</v>
      </c>
      <c r="D454">
        <v>342</v>
      </c>
      <c r="E454" t="s">
        <v>1113</v>
      </c>
    </row>
    <row r="455" spans="1:5" x14ac:dyDescent="0.25">
      <c r="A455" t="s">
        <v>1105</v>
      </c>
      <c r="B455">
        <v>3</v>
      </c>
      <c r="C455" t="s">
        <v>1227</v>
      </c>
      <c r="D455">
        <v>343</v>
      </c>
      <c r="E455" t="s">
        <v>1113</v>
      </c>
    </row>
    <row r="456" spans="1:5" x14ac:dyDescent="0.25">
      <c r="A456" t="s">
        <v>1105</v>
      </c>
      <c r="B456">
        <v>3</v>
      </c>
      <c r="C456" t="s">
        <v>1227</v>
      </c>
      <c r="D456">
        <v>344</v>
      </c>
      <c r="E456" t="s">
        <v>1113</v>
      </c>
    </row>
    <row r="457" spans="1:5" x14ac:dyDescent="0.25">
      <c r="A457" t="s">
        <v>1105</v>
      </c>
      <c r="B457">
        <v>3</v>
      </c>
      <c r="C457" t="s">
        <v>1228</v>
      </c>
      <c r="D457">
        <v>351</v>
      </c>
      <c r="E457" t="s">
        <v>1113</v>
      </c>
    </row>
    <row r="458" spans="1:5" x14ac:dyDescent="0.25">
      <c r="A458" t="s">
        <v>1105</v>
      </c>
      <c r="B458">
        <v>3</v>
      </c>
      <c r="C458" t="s">
        <v>1228</v>
      </c>
      <c r="D458">
        <v>352</v>
      </c>
      <c r="E458" t="s">
        <v>1113</v>
      </c>
    </row>
    <row r="459" spans="1:5" x14ac:dyDescent="0.25">
      <c r="A459" t="s">
        <v>1105</v>
      </c>
      <c r="B459">
        <v>3</v>
      </c>
      <c r="C459" t="s">
        <v>1228</v>
      </c>
      <c r="D459">
        <v>353</v>
      </c>
      <c r="E459" t="s">
        <v>1113</v>
      </c>
    </row>
    <row r="460" spans="1:5" x14ac:dyDescent="0.25">
      <c r="A460" t="s">
        <v>1105</v>
      </c>
      <c r="B460">
        <v>3</v>
      </c>
      <c r="C460" t="s">
        <v>1228</v>
      </c>
      <c r="D460">
        <v>354</v>
      </c>
      <c r="E460" t="s">
        <v>1113</v>
      </c>
    </row>
    <row r="461" spans="1:5" x14ac:dyDescent="0.25">
      <c r="A461" t="s">
        <v>1105</v>
      </c>
      <c r="B461">
        <v>3</v>
      </c>
      <c r="C461" t="s">
        <v>1228</v>
      </c>
      <c r="D461">
        <v>355</v>
      </c>
      <c r="E461" t="s">
        <v>1113</v>
      </c>
    </row>
    <row r="462" spans="1:5" x14ac:dyDescent="0.25">
      <c r="A462" t="s">
        <v>1105</v>
      </c>
      <c r="B462">
        <v>3</v>
      </c>
      <c r="C462" t="s">
        <v>1228</v>
      </c>
      <c r="D462">
        <v>356</v>
      </c>
      <c r="E462" t="s">
        <v>1113</v>
      </c>
    </row>
    <row r="463" spans="1:5" x14ac:dyDescent="0.25">
      <c r="A463" t="s">
        <v>1102</v>
      </c>
      <c r="B463">
        <v>1</v>
      </c>
      <c r="D463">
        <v>401</v>
      </c>
      <c r="E463" t="s">
        <v>1114</v>
      </c>
    </row>
    <row r="464" spans="1:5" x14ac:dyDescent="0.25">
      <c r="A464" t="s">
        <v>1102</v>
      </c>
      <c r="B464">
        <v>1</v>
      </c>
      <c r="D464">
        <v>402</v>
      </c>
      <c r="E464" t="s">
        <v>1114</v>
      </c>
    </row>
    <row r="465" spans="1:5" x14ac:dyDescent="0.25">
      <c r="A465" t="s">
        <v>1102</v>
      </c>
      <c r="B465">
        <v>1</v>
      </c>
      <c r="D465">
        <v>403</v>
      </c>
      <c r="E465" t="s">
        <v>1114</v>
      </c>
    </row>
    <row r="466" spans="1:5" x14ac:dyDescent="0.25">
      <c r="A466" t="s">
        <v>1102</v>
      </c>
      <c r="B466">
        <v>1</v>
      </c>
      <c r="D466">
        <v>404</v>
      </c>
      <c r="E466" t="s">
        <v>1114</v>
      </c>
    </row>
    <row r="467" spans="1:5" x14ac:dyDescent="0.25">
      <c r="A467" t="s">
        <v>1102</v>
      </c>
      <c r="B467">
        <v>1</v>
      </c>
      <c r="D467">
        <v>405</v>
      </c>
      <c r="E467" t="s">
        <v>1113</v>
      </c>
    </row>
    <row r="468" spans="1:5" x14ac:dyDescent="0.25">
      <c r="A468" t="s">
        <v>1102</v>
      </c>
      <c r="B468">
        <v>1</v>
      </c>
      <c r="D468">
        <v>406</v>
      </c>
      <c r="E468" t="s">
        <v>1114</v>
      </c>
    </row>
    <row r="469" spans="1:5" x14ac:dyDescent="0.25">
      <c r="A469" t="s">
        <v>1102</v>
      </c>
      <c r="B469">
        <v>1</v>
      </c>
      <c r="D469">
        <v>407</v>
      </c>
      <c r="E469" t="s">
        <v>1113</v>
      </c>
    </row>
    <row r="470" spans="1:5" x14ac:dyDescent="0.25">
      <c r="A470" t="s">
        <v>1102</v>
      </c>
      <c r="B470">
        <v>1</v>
      </c>
      <c r="D470">
        <v>408</v>
      </c>
      <c r="E470" t="s">
        <v>1114</v>
      </c>
    </row>
    <row r="471" spans="1:5" x14ac:dyDescent="0.25">
      <c r="A471" t="s">
        <v>1102</v>
      </c>
      <c r="B471">
        <v>1</v>
      </c>
      <c r="D471">
        <v>409</v>
      </c>
      <c r="E471" t="s">
        <v>1114</v>
      </c>
    </row>
    <row r="472" spans="1:5" x14ac:dyDescent="0.25">
      <c r="A472" t="s">
        <v>1102</v>
      </c>
      <c r="B472">
        <v>1</v>
      </c>
      <c r="D472">
        <v>410</v>
      </c>
      <c r="E472" t="s">
        <v>1114</v>
      </c>
    </row>
    <row r="473" spans="1:5" x14ac:dyDescent="0.25">
      <c r="A473" t="s">
        <v>1102</v>
      </c>
      <c r="B473">
        <v>1</v>
      </c>
      <c r="D473">
        <v>411</v>
      </c>
      <c r="E473" t="s">
        <v>1113</v>
      </c>
    </row>
    <row r="474" spans="1:5" x14ac:dyDescent="0.25">
      <c r="A474" t="s">
        <v>1102</v>
      </c>
      <c r="B474">
        <v>1</v>
      </c>
      <c r="D474">
        <v>412</v>
      </c>
      <c r="E474" t="s">
        <v>1113</v>
      </c>
    </row>
    <row r="475" spans="1:5" x14ac:dyDescent="0.25">
      <c r="A475" t="s">
        <v>1102</v>
      </c>
      <c r="B475">
        <v>1</v>
      </c>
      <c r="D475">
        <v>413</v>
      </c>
      <c r="E475" t="s">
        <v>1114</v>
      </c>
    </row>
    <row r="476" spans="1:5" x14ac:dyDescent="0.25">
      <c r="A476" t="s">
        <v>1102</v>
      </c>
      <c r="B476">
        <v>1</v>
      </c>
      <c r="D476">
        <v>414</v>
      </c>
      <c r="E476" t="s">
        <v>1114</v>
      </c>
    </row>
    <row r="477" spans="1:5" x14ac:dyDescent="0.25">
      <c r="A477" t="s">
        <v>1102</v>
      </c>
      <c r="B477">
        <v>1</v>
      </c>
      <c r="D477">
        <v>415</v>
      </c>
      <c r="E477" t="s">
        <v>1113</v>
      </c>
    </row>
    <row r="478" spans="1:5" x14ac:dyDescent="0.25">
      <c r="A478" t="s">
        <v>1102</v>
      </c>
      <c r="B478">
        <v>1</v>
      </c>
      <c r="D478">
        <v>416</v>
      </c>
      <c r="E478" t="s">
        <v>1114</v>
      </c>
    </row>
    <row r="479" spans="1:5" x14ac:dyDescent="0.25">
      <c r="A479" t="s">
        <v>1102</v>
      </c>
      <c r="B479">
        <v>1</v>
      </c>
      <c r="D479">
        <v>417</v>
      </c>
      <c r="E479" t="s">
        <v>1113</v>
      </c>
    </row>
    <row r="480" spans="1:5" x14ac:dyDescent="0.25">
      <c r="A480" t="s">
        <v>1102</v>
      </c>
      <c r="B480">
        <v>1</v>
      </c>
      <c r="D480">
        <v>418</v>
      </c>
      <c r="E480" t="s">
        <v>1114</v>
      </c>
    </row>
    <row r="481" spans="1:5" x14ac:dyDescent="0.25">
      <c r="A481" t="s">
        <v>1102</v>
      </c>
      <c r="B481">
        <v>1</v>
      </c>
      <c r="D481">
        <v>419</v>
      </c>
      <c r="E481" t="s">
        <v>1114</v>
      </c>
    </row>
    <row r="482" spans="1:5" x14ac:dyDescent="0.25">
      <c r="A482" t="s">
        <v>1102</v>
      </c>
      <c r="B482">
        <v>1</v>
      </c>
      <c r="D482">
        <v>420</v>
      </c>
      <c r="E482" t="s">
        <v>1114</v>
      </c>
    </row>
    <row r="483" spans="1:5" x14ac:dyDescent="0.25">
      <c r="A483" t="s">
        <v>1102</v>
      </c>
      <c r="B483">
        <v>1</v>
      </c>
      <c r="D483">
        <v>421</v>
      </c>
      <c r="E483" t="s">
        <v>1114</v>
      </c>
    </row>
    <row r="484" spans="1:5" x14ac:dyDescent="0.25">
      <c r="A484" t="s">
        <v>1099</v>
      </c>
      <c r="B484">
        <v>1</v>
      </c>
      <c r="D484">
        <v>101</v>
      </c>
      <c r="E484" t="s">
        <v>1113</v>
      </c>
    </row>
    <row r="485" spans="1:5" x14ac:dyDescent="0.25">
      <c r="A485" t="s">
        <v>1099</v>
      </c>
      <c r="B485">
        <v>1</v>
      </c>
      <c r="D485">
        <v>102</v>
      </c>
      <c r="E485" t="s">
        <v>1115</v>
      </c>
    </row>
    <row r="486" spans="1:5" x14ac:dyDescent="0.25">
      <c r="A486" t="s">
        <v>1099</v>
      </c>
      <c r="B486">
        <v>1</v>
      </c>
      <c r="D486">
        <v>104</v>
      </c>
      <c r="E486" t="s">
        <v>1113</v>
      </c>
    </row>
    <row r="487" spans="1:5" x14ac:dyDescent="0.25">
      <c r="A487" t="s">
        <v>1099</v>
      </c>
      <c r="B487">
        <v>1</v>
      </c>
      <c r="D487">
        <v>106</v>
      </c>
      <c r="E487" t="s">
        <v>1113</v>
      </c>
    </row>
    <row r="488" spans="1:5" x14ac:dyDescent="0.25">
      <c r="A488" t="s">
        <v>1099</v>
      </c>
      <c r="B488">
        <v>1</v>
      </c>
      <c r="D488">
        <v>108</v>
      </c>
      <c r="E488" t="s">
        <v>1113</v>
      </c>
    </row>
    <row r="489" spans="1:5" x14ac:dyDescent="0.25">
      <c r="A489" t="s">
        <v>1099</v>
      </c>
      <c r="B489">
        <v>1</v>
      </c>
      <c r="D489">
        <v>109</v>
      </c>
      <c r="E489" t="s">
        <v>1114</v>
      </c>
    </row>
    <row r="490" spans="1:5" x14ac:dyDescent="0.25">
      <c r="A490" t="s">
        <v>1099</v>
      </c>
      <c r="B490">
        <v>1</v>
      </c>
      <c r="D490">
        <v>110</v>
      </c>
      <c r="E490" t="s">
        <v>1113</v>
      </c>
    </row>
    <row r="491" spans="1:5" x14ac:dyDescent="0.25">
      <c r="A491" t="s">
        <v>1099</v>
      </c>
      <c r="B491">
        <v>1</v>
      </c>
      <c r="D491">
        <v>111</v>
      </c>
      <c r="E491" t="s">
        <v>1113</v>
      </c>
    </row>
    <row r="492" spans="1:5" x14ac:dyDescent="0.25">
      <c r="A492" t="s">
        <v>1099</v>
      </c>
      <c r="B492">
        <v>1</v>
      </c>
      <c r="D492">
        <v>113</v>
      </c>
      <c r="E492" t="s">
        <v>1113</v>
      </c>
    </row>
    <row r="493" spans="1:5" x14ac:dyDescent="0.25">
      <c r="A493" t="s">
        <v>1099</v>
      </c>
      <c r="B493">
        <v>1</v>
      </c>
      <c r="D493">
        <v>114</v>
      </c>
      <c r="E493" t="s">
        <v>1113</v>
      </c>
    </row>
    <row r="494" spans="1:5" x14ac:dyDescent="0.25">
      <c r="A494" t="s">
        <v>1099</v>
      </c>
      <c r="B494">
        <v>1</v>
      </c>
      <c r="D494">
        <v>116</v>
      </c>
      <c r="E494" t="s">
        <v>1113</v>
      </c>
    </row>
    <row r="495" spans="1:5" x14ac:dyDescent="0.25">
      <c r="A495" t="s">
        <v>1099</v>
      </c>
      <c r="B495">
        <v>1</v>
      </c>
      <c r="D495">
        <v>117</v>
      </c>
      <c r="E495" t="s">
        <v>1113</v>
      </c>
    </row>
    <row r="496" spans="1:5" x14ac:dyDescent="0.25">
      <c r="A496" t="s">
        <v>1099</v>
      </c>
      <c r="B496">
        <v>1</v>
      </c>
      <c r="D496">
        <v>119</v>
      </c>
      <c r="E496" t="s">
        <v>1113</v>
      </c>
    </row>
    <row r="497" spans="1:5" x14ac:dyDescent="0.25">
      <c r="A497" t="s">
        <v>1099</v>
      </c>
      <c r="B497">
        <v>1</v>
      </c>
      <c r="D497">
        <v>120</v>
      </c>
      <c r="E497" t="s">
        <v>1114</v>
      </c>
    </row>
    <row r="498" spans="1:5" x14ac:dyDescent="0.25">
      <c r="A498" t="s">
        <v>1099</v>
      </c>
      <c r="B498">
        <v>1</v>
      </c>
      <c r="C498" t="s">
        <v>1229</v>
      </c>
      <c r="D498">
        <v>123</v>
      </c>
      <c r="E498" t="s">
        <v>1113</v>
      </c>
    </row>
    <row r="499" spans="1:5" x14ac:dyDescent="0.25">
      <c r="A499" t="s">
        <v>1099</v>
      </c>
      <c r="B499">
        <v>1</v>
      </c>
      <c r="C499" t="s">
        <v>1229</v>
      </c>
      <c r="D499">
        <v>125</v>
      </c>
      <c r="E499" t="s">
        <v>1113</v>
      </c>
    </row>
    <row r="500" spans="1:5" x14ac:dyDescent="0.25">
      <c r="A500" t="s">
        <v>1099</v>
      </c>
      <c r="B500">
        <v>1</v>
      </c>
      <c r="D500">
        <v>127</v>
      </c>
      <c r="E500" t="s">
        <v>1113</v>
      </c>
    </row>
    <row r="501" spans="1:5" x14ac:dyDescent="0.25">
      <c r="A501" t="s">
        <v>1099</v>
      </c>
      <c r="B501">
        <v>1</v>
      </c>
      <c r="D501">
        <v>142</v>
      </c>
      <c r="E501" t="s">
        <v>1113</v>
      </c>
    </row>
    <row r="502" spans="1:5" x14ac:dyDescent="0.25">
      <c r="A502" t="s">
        <v>1099</v>
      </c>
      <c r="B502">
        <v>1</v>
      </c>
      <c r="D502">
        <v>144</v>
      </c>
      <c r="E502" t="s">
        <v>1114</v>
      </c>
    </row>
    <row r="503" spans="1:5" x14ac:dyDescent="0.25">
      <c r="A503" t="s">
        <v>1099</v>
      </c>
      <c r="B503">
        <v>1</v>
      </c>
      <c r="D503">
        <v>145</v>
      </c>
      <c r="E503" t="s">
        <v>1113</v>
      </c>
    </row>
    <row r="504" spans="1:5" x14ac:dyDescent="0.25">
      <c r="A504" t="s">
        <v>1099</v>
      </c>
      <c r="B504">
        <v>1</v>
      </c>
      <c r="D504">
        <v>147</v>
      </c>
      <c r="E504" t="s">
        <v>1113</v>
      </c>
    </row>
    <row r="505" spans="1:5" x14ac:dyDescent="0.25">
      <c r="A505" t="s">
        <v>1099</v>
      </c>
      <c r="B505">
        <v>1</v>
      </c>
      <c r="D505">
        <v>162</v>
      </c>
      <c r="E505" t="s">
        <v>1113</v>
      </c>
    </row>
    <row r="506" spans="1:5" x14ac:dyDescent="0.25">
      <c r="A506" t="s">
        <v>1099</v>
      </c>
      <c r="B506">
        <v>1</v>
      </c>
      <c r="D506">
        <v>163</v>
      </c>
      <c r="E506" t="s">
        <v>1114</v>
      </c>
    </row>
    <row r="507" spans="1:5" x14ac:dyDescent="0.25">
      <c r="A507" t="s">
        <v>1099</v>
      </c>
      <c r="B507">
        <v>1</v>
      </c>
      <c r="D507">
        <v>164</v>
      </c>
      <c r="E507" t="s">
        <v>1113</v>
      </c>
    </row>
    <row r="508" spans="1:5" x14ac:dyDescent="0.25">
      <c r="A508" t="s">
        <v>1099</v>
      </c>
      <c r="B508">
        <v>1</v>
      </c>
      <c r="D508">
        <v>165</v>
      </c>
      <c r="E508" t="s">
        <v>1113</v>
      </c>
    </row>
    <row r="509" spans="1:5" x14ac:dyDescent="0.25">
      <c r="A509" t="s">
        <v>1099</v>
      </c>
      <c r="B509">
        <v>1</v>
      </c>
      <c r="D509">
        <v>167</v>
      </c>
      <c r="E509" t="s">
        <v>1113</v>
      </c>
    </row>
    <row r="510" spans="1:5" x14ac:dyDescent="0.25">
      <c r="A510" t="s">
        <v>1099</v>
      </c>
      <c r="B510">
        <v>1</v>
      </c>
      <c r="D510">
        <v>168</v>
      </c>
      <c r="E510" t="s">
        <v>1113</v>
      </c>
    </row>
    <row r="511" spans="1:5" x14ac:dyDescent="0.25">
      <c r="A511" t="s">
        <v>1099</v>
      </c>
      <c r="B511">
        <v>1</v>
      </c>
      <c r="D511">
        <v>170</v>
      </c>
      <c r="E511" t="s">
        <v>1113</v>
      </c>
    </row>
    <row r="512" spans="1:5" x14ac:dyDescent="0.25">
      <c r="A512" t="s">
        <v>1099</v>
      </c>
      <c r="B512">
        <v>1</v>
      </c>
      <c r="D512">
        <v>171</v>
      </c>
      <c r="E512" t="s">
        <v>1113</v>
      </c>
    </row>
    <row r="513" spans="1:5" x14ac:dyDescent="0.25">
      <c r="A513" t="s">
        <v>1099</v>
      </c>
      <c r="B513">
        <v>1</v>
      </c>
      <c r="D513">
        <v>172</v>
      </c>
      <c r="E513" t="s">
        <v>1113</v>
      </c>
    </row>
    <row r="514" spans="1:5" x14ac:dyDescent="0.25">
      <c r="A514" t="s">
        <v>1099</v>
      </c>
      <c r="B514">
        <v>1</v>
      </c>
      <c r="D514">
        <v>173</v>
      </c>
      <c r="E514" t="s">
        <v>1113</v>
      </c>
    </row>
    <row r="515" spans="1:5" x14ac:dyDescent="0.25">
      <c r="A515" t="s">
        <v>1099</v>
      </c>
      <c r="B515">
        <v>1</v>
      </c>
      <c r="D515">
        <v>174</v>
      </c>
      <c r="E515" t="s">
        <v>1113</v>
      </c>
    </row>
    <row r="516" spans="1:5" x14ac:dyDescent="0.25">
      <c r="A516" t="s">
        <v>1099</v>
      </c>
      <c r="B516">
        <v>1</v>
      </c>
      <c r="D516">
        <v>175</v>
      </c>
      <c r="E516" t="s">
        <v>1113</v>
      </c>
    </row>
    <row r="517" spans="1:5" x14ac:dyDescent="0.25">
      <c r="A517" t="s">
        <v>1099</v>
      </c>
      <c r="B517">
        <v>1</v>
      </c>
      <c r="D517">
        <v>176</v>
      </c>
      <c r="E517" t="s">
        <v>1113</v>
      </c>
    </row>
    <row r="518" spans="1:5" x14ac:dyDescent="0.25">
      <c r="A518" t="s">
        <v>1099</v>
      </c>
      <c r="B518">
        <v>1</v>
      </c>
      <c r="D518">
        <v>177</v>
      </c>
      <c r="E518" t="s">
        <v>1113</v>
      </c>
    </row>
    <row r="519" spans="1:5" x14ac:dyDescent="0.25">
      <c r="A519" t="s">
        <v>1099</v>
      </c>
      <c r="B519">
        <v>1</v>
      </c>
      <c r="D519">
        <v>178</v>
      </c>
      <c r="E519" t="s">
        <v>1114</v>
      </c>
    </row>
    <row r="520" spans="1:5" x14ac:dyDescent="0.25">
      <c r="A520" t="s">
        <v>1099</v>
      </c>
      <c r="B520">
        <v>1</v>
      </c>
      <c r="D520">
        <v>179</v>
      </c>
      <c r="E520" t="s">
        <v>1113</v>
      </c>
    </row>
    <row r="521" spans="1:5" x14ac:dyDescent="0.25">
      <c r="A521" t="s">
        <v>1099</v>
      </c>
      <c r="B521">
        <v>1</v>
      </c>
      <c r="D521">
        <v>180</v>
      </c>
      <c r="E521" t="s">
        <v>1113</v>
      </c>
    </row>
    <row r="522" spans="1:5" x14ac:dyDescent="0.25">
      <c r="A522" t="s">
        <v>1099</v>
      </c>
      <c r="B522">
        <v>1</v>
      </c>
      <c r="D522">
        <v>181</v>
      </c>
      <c r="E522" t="s">
        <v>1113</v>
      </c>
    </row>
    <row r="523" spans="1:5" x14ac:dyDescent="0.25">
      <c r="A523" t="s">
        <v>1099</v>
      </c>
      <c r="B523">
        <v>1</v>
      </c>
      <c r="D523">
        <v>182</v>
      </c>
      <c r="E523" t="s">
        <v>1113</v>
      </c>
    </row>
    <row r="524" spans="1:5" x14ac:dyDescent="0.25">
      <c r="A524" t="s">
        <v>1099</v>
      </c>
      <c r="B524">
        <v>1</v>
      </c>
      <c r="D524">
        <v>183</v>
      </c>
      <c r="E524" t="s">
        <v>1113</v>
      </c>
    </row>
    <row r="525" spans="1:5" x14ac:dyDescent="0.25">
      <c r="A525" t="s">
        <v>1099</v>
      </c>
      <c r="B525">
        <v>1</v>
      </c>
      <c r="D525">
        <v>184</v>
      </c>
      <c r="E525" t="s">
        <v>1113</v>
      </c>
    </row>
    <row r="526" spans="1:5" x14ac:dyDescent="0.25">
      <c r="A526" t="s">
        <v>1099</v>
      </c>
      <c r="B526">
        <v>1</v>
      </c>
      <c r="D526">
        <v>185</v>
      </c>
      <c r="E526" t="s">
        <v>1113</v>
      </c>
    </row>
    <row r="527" spans="1:5" x14ac:dyDescent="0.25">
      <c r="A527" t="s">
        <v>1099</v>
      </c>
      <c r="B527">
        <v>1</v>
      </c>
      <c r="D527">
        <v>187</v>
      </c>
      <c r="E527" t="s">
        <v>1113</v>
      </c>
    </row>
    <row r="528" spans="1:5" x14ac:dyDescent="0.25">
      <c r="A528" t="s">
        <v>1099</v>
      </c>
      <c r="B528">
        <v>1</v>
      </c>
      <c r="D528">
        <v>189</v>
      </c>
      <c r="E528" t="s">
        <v>1113</v>
      </c>
    </row>
    <row r="529" spans="1:5" x14ac:dyDescent="0.25">
      <c r="A529" t="s">
        <v>1099</v>
      </c>
      <c r="B529">
        <v>2</v>
      </c>
      <c r="D529">
        <v>200</v>
      </c>
      <c r="E529" t="s">
        <v>1113</v>
      </c>
    </row>
    <row r="530" spans="1:5" x14ac:dyDescent="0.25">
      <c r="A530" t="s">
        <v>1099</v>
      </c>
      <c r="B530">
        <v>2</v>
      </c>
      <c r="D530">
        <v>201</v>
      </c>
      <c r="E530" t="s">
        <v>1113</v>
      </c>
    </row>
    <row r="531" spans="1:5" x14ac:dyDescent="0.25">
      <c r="A531" t="s">
        <v>1099</v>
      </c>
      <c r="B531">
        <v>2</v>
      </c>
      <c r="D531">
        <v>202</v>
      </c>
      <c r="E531" t="s">
        <v>1114</v>
      </c>
    </row>
    <row r="532" spans="1:5" x14ac:dyDescent="0.25">
      <c r="A532" t="s">
        <v>1099</v>
      </c>
      <c r="B532">
        <v>2</v>
      </c>
      <c r="D532">
        <v>204</v>
      </c>
      <c r="E532" t="s">
        <v>1113</v>
      </c>
    </row>
    <row r="533" spans="1:5" x14ac:dyDescent="0.25">
      <c r="A533" t="s">
        <v>1099</v>
      </c>
      <c r="B533">
        <v>2</v>
      </c>
      <c r="D533">
        <v>208</v>
      </c>
      <c r="E533" t="s">
        <v>1113</v>
      </c>
    </row>
    <row r="534" spans="1:5" x14ac:dyDescent="0.25">
      <c r="A534" t="s">
        <v>1099</v>
      </c>
      <c r="B534">
        <v>2</v>
      </c>
      <c r="D534">
        <v>209</v>
      </c>
      <c r="E534" t="s">
        <v>1114</v>
      </c>
    </row>
    <row r="535" spans="1:5" x14ac:dyDescent="0.25">
      <c r="A535" t="s">
        <v>1099</v>
      </c>
      <c r="B535">
        <v>2</v>
      </c>
      <c r="D535">
        <v>210</v>
      </c>
      <c r="E535" t="s">
        <v>1113</v>
      </c>
    </row>
    <row r="536" spans="1:5" x14ac:dyDescent="0.25">
      <c r="A536" t="s">
        <v>1099</v>
      </c>
      <c r="B536">
        <v>2</v>
      </c>
      <c r="D536">
        <v>211</v>
      </c>
      <c r="E536" t="s">
        <v>1113</v>
      </c>
    </row>
    <row r="537" spans="1:5" x14ac:dyDescent="0.25">
      <c r="A537" t="s">
        <v>1099</v>
      </c>
      <c r="B537">
        <v>2</v>
      </c>
      <c r="D537">
        <v>213</v>
      </c>
      <c r="E537" t="s">
        <v>1113</v>
      </c>
    </row>
    <row r="538" spans="1:5" x14ac:dyDescent="0.25">
      <c r="A538" t="s">
        <v>1099</v>
      </c>
      <c r="B538">
        <v>2</v>
      </c>
      <c r="D538">
        <v>214</v>
      </c>
      <c r="E538" t="s">
        <v>1113</v>
      </c>
    </row>
    <row r="539" spans="1:5" x14ac:dyDescent="0.25">
      <c r="A539" t="s">
        <v>1099</v>
      </c>
      <c r="B539">
        <v>2</v>
      </c>
      <c r="D539">
        <v>216</v>
      </c>
      <c r="E539" t="s">
        <v>1113</v>
      </c>
    </row>
    <row r="540" spans="1:5" x14ac:dyDescent="0.25">
      <c r="A540" t="s">
        <v>1099</v>
      </c>
      <c r="B540">
        <v>2</v>
      </c>
      <c r="D540">
        <v>217</v>
      </c>
      <c r="E540" t="s">
        <v>1113</v>
      </c>
    </row>
    <row r="541" spans="1:5" x14ac:dyDescent="0.25">
      <c r="A541" t="s">
        <v>1099</v>
      </c>
      <c r="B541">
        <v>2</v>
      </c>
      <c r="D541">
        <v>219</v>
      </c>
      <c r="E541" t="s">
        <v>1113</v>
      </c>
    </row>
    <row r="542" spans="1:5" x14ac:dyDescent="0.25">
      <c r="A542" t="s">
        <v>1099</v>
      </c>
      <c r="B542">
        <v>2</v>
      </c>
      <c r="D542">
        <v>220</v>
      </c>
      <c r="E542" t="s">
        <v>1230</v>
      </c>
    </row>
    <row r="543" spans="1:5" x14ac:dyDescent="0.25">
      <c r="A543" t="s">
        <v>1099</v>
      </c>
      <c r="B543">
        <v>2</v>
      </c>
      <c r="C543" t="s">
        <v>1231</v>
      </c>
      <c r="D543">
        <v>223</v>
      </c>
      <c r="E543" t="s">
        <v>1113</v>
      </c>
    </row>
    <row r="544" spans="1:5" x14ac:dyDescent="0.25">
      <c r="A544" t="s">
        <v>1099</v>
      </c>
      <c r="B544">
        <v>2</v>
      </c>
      <c r="C544" t="s">
        <v>1231</v>
      </c>
      <c r="D544">
        <v>225</v>
      </c>
      <c r="E544" t="s">
        <v>1113</v>
      </c>
    </row>
    <row r="545" spans="1:5" x14ac:dyDescent="0.25">
      <c r="A545" t="s">
        <v>1099</v>
      </c>
      <c r="B545">
        <v>2</v>
      </c>
      <c r="C545" t="s">
        <v>1232</v>
      </c>
      <c r="D545">
        <v>226</v>
      </c>
      <c r="E545" t="s">
        <v>1113</v>
      </c>
    </row>
    <row r="546" spans="1:5" x14ac:dyDescent="0.25">
      <c r="A546" t="s">
        <v>1099</v>
      </c>
      <c r="B546">
        <v>2</v>
      </c>
      <c r="C546" t="s">
        <v>1231</v>
      </c>
      <c r="D546">
        <v>227</v>
      </c>
      <c r="E546" t="s">
        <v>1113</v>
      </c>
    </row>
    <row r="547" spans="1:5" x14ac:dyDescent="0.25">
      <c r="A547" t="s">
        <v>1099</v>
      </c>
      <c r="B547">
        <v>2</v>
      </c>
      <c r="C547" t="s">
        <v>1232</v>
      </c>
      <c r="D547">
        <v>228</v>
      </c>
      <c r="E547" t="s">
        <v>1114</v>
      </c>
    </row>
    <row r="548" spans="1:5" x14ac:dyDescent="0.25">
      <c r="A548" t="s">
        <v>1099</v>
      </c>
      <c r="B548">
        <v>2</v>
      </c>
      <c r="D548">
        <v>229</v>
      </c>
      <c r="E548" t="s">
        <v>1113</v>
      </c>
    </row>
    <row r="549" spans="1:5" x14ac:dyDescent="0.25">
      <c r="A549" t="s">
        <v>1099</v>
      </c>
      <c r="B549">
        <v>2</v>
      </c>
      <c r="D549">
        <v>230</v>
      </c>
      <c r="E549" t="s">
        <v>1113</v>
      </c>
    </row>
    <row r="550" spans="1:5" x14ac:dyDescent="0.25">
      <c r="A550" t="s">
        <v>1099</v>
      </c>
      <c r="B550">
        <v>2</v>
      </c>
      <c r="D550">
        <v>231</v>
      </c>
      <c r="E550" t="s">
        <v>1113</v>
      </c>
    </row>
    <row r="551" spans="1:5" x14ac:dyDescent="0.25">
      <c r="A551" t="s">
        <v>1099</v>
      </c>
      <c r="B551">
        <v>2</v>
      </c>
      <c r="D551">
        <v>232</v>
      </c>
      <c r="E551" t="s">
        <v>1113</v>
      </c>
    </row>
    <row r="552" spans="1:5" x14ac:dyDescent="0.25">
      <c r="A552" t="s">
        <v>1099</v>
      </c>
      <c r="B552">
        <v>2</v>
      </c>
      <c r="D552">
        <v>233</v>
      </c>
      <c r="E552" t="s">
        <v>1114</v>
      </c>
    </row>
    <row r="553" spans="1:5" x14ac:dyDescent="0.25">
      <c r="A553" t="s">
        <v>1099</v>
      </c>
      <c r="B553">
        <v>2</v>
      </c>
      <c r="D553">
        <v>234</v>
      </c>
      <c r="E553" t="s">
        <v>1114</v>
      </c>
    </row>
    <row r="554" spans="1:5" x14ac:dyDescent="0.25">
      <c r="A554" t="s">
        <v>1099</v>
      </c>
      <c r="B554">
        <v>2</v>
      </c>
      <c r="D554">
        <v>236</v>
      </c>
      <c r="E554" t="s">
        <v>1113</v>
      </c>
    </row>
    <row r="555" spans="1:5" x14ac:dyDescent="0.25">
      <c r="A555" t="s">
        <v>1099</v>
      </c>
      <c r="B555">
        <v>2</v>
      </c>
      <c r="D555">
        <v>237</v>
      </c>
      <c r="E555" t="s">
        <v>1113</v>
      </c>
    </row>
    <row r="556" spans="1:5" x14ac:dyDescent="0.25">
      <c r="A556" t="s">
        <v>1099</v>
      </c>
      <c r="B556">
        <v>2</v>
      </c>
      <c r="D556">
        <v>238</v>
      </c>
      <c r="E556" t="s">
        <v>1113</v>
      </c>
    </row>
    <row r="557" spans="1:5" x14ac:dyDescent="0.25">
      <c r="A557" t="s">
        <v>1099</v>
      </c>
      <c r="B557">
        <v>2</v>
      </c>
      <c r="D557">
        <v>239</v>
      </c>
      <c r="E557" t="s">
        <v>1113</v>
      </c>
    </row>
    <row r="558" spans="1:5" x14ac:dyDescent="0.25">
      <c r="A558" t="s">
        <v>1099</v>
      </c>
      <c r="B558">
        <v>2</v>
      </c>
      <c r="D558">
        <v>240</v>
      </c>
      <c r="E558" t="s">
        <v>1113</v>
      </c>
    </row>
    <row r="559" spans="1:5" x14ac:dyDescent="0.25">
      <c r="A559" t="s">
        <v>1099</v>
      </c>
      <c r="B559">
        <v>2</v>
      </c>
      <c r="D559">
        <v>241</v>
      </c>
      <c r="E559" t="s">
        <v>1113</v>
      </c>
    </row>
    <row r="560" spans="1:5" x14ac:dyDescent="0.25">
      <c r="A560" t="s">
        <v>1099</v>
      </c>
      <c r="B560">
        <v>2</v>
      </c>
      <c r="D560">
        <v>242</v>
      </c>
      <c r="E560" t="s">
        <v>1113</v>
      </c>
    </row>
    <row r="561" spans="1:5" x14ac:dyDescent="0.25">
      <c r="A561" t="s">
        <v>1099</v>
      </c>
      <c r="B561">
        <v>2</v>
      </c>
      <c r="D561">
        <v>243</v>
      </c>
      <c r="E561" t="s">
        <v>1113</v>
      </c>
    </row>
    <row r="562" spans="1:5" x14ac:dyDescent="0.25">
      <c r="A562" t="s">
        <v>1099</v>
      </c>
      <c r="B562">
        <v>2</v>
      </c>
      <c r="D562">
        <v>244</v>
      </c>
      <c r="E562" t="s">
        <v>1113</v>
      </c>
    </row>
    <row r="563" spans="1:5" x14ac:dyDescent="0.25">
      <c r="A563" t="s">
        <v>1099</v>
      </c>
      <c r="B563">
        <v>2</v>
      </c>
      <c r="D563">
        <v>245</v>
      </c>
      <c r="E563" t="s">
        <v>1113</v>
      </c>
    </row>
    <row r="564" spans="1:5" x14ac:dyDescent="0.25">
      <c r="A564" t="s">
        <v>1099</v>
      </c>
      <c r="B564">
        <v>2</v>
      </c>
      <c r="D564">
        <v>247</v>
      </c>
      <c r="E564" t="s">
        <v>1113</v>
      </c>
    </row>
    <row r="565" spans="1:5" x14ac:dyDescent="0.25">
      <c r="A565" t="s">
        <v>1099</v>
      </c>
      <c r="B565">
        <v>2</v>
      </c>
      <c r="D565">
        <v>249</v>
      </c>
      <c r="E565" t="s">
        <v>1113</v>
      </c>
    </row>
    <row r="566" spans="1:5" x14ac:dyDescent="0.25">
      <c r="A566" t="s">
        <v>1099</v>
      </c>
      <c r="B566">
        <v>2</v>
      </c>
      <c r="D566">
        <v>250</v>
      </c>
      <c r="E566" t="s">
        <v>1230</v>
      </c>
    </row>
    <row r="567" spans="1:5" x14ac:dyDescent="0.25">
      <c r="A567" t="s">
        <v>1099</v>
      </c>
      <c r="B567">
        <v>2</v>
      </c>
      <c r="D567">
        <v>251</v>
      </c>
      <c r="E567" t="s">
        <v>1113</v>
      </c>
    </row>
    <row r="568" spans="1:5" x14ac:dyDescent="0.25">
      <c r="A568" t="s">
        <v>1099</v>
      </c>
      <c r="B568">
        <v>2</v>
      </c>
      <c r="C568" t="s">
        <v>1233</v>
      </c>
      <c r="D568">
        <v>253</v>
      </c>
      <c r="E568" t="s">
        <v>1113</v>
      </c>
    </row>
    <row r="569" spans="1:5" x14ac:dyDescent="0.25">
      <c r="A569" t="s">
        <v>1099</v>
      </c>
      <c r="B569">
        <v>2</v>
      </c>
      <c r="C569" t="s">
        <v>1233</v>
      </c>
      <c r="D569">
        <v>255</v>
      </c>
      <c r="E569" t="s">
        <v>1113</v>
      </c>
    </row>
    <row r="570" spans="1:5" x14ac:dyDescent="0.25">
      <c r="A570" t="s">
        <v>1099</v>
      </c>
      <c r="B570">
        <v>2</v>
      </c>
      <c r="C570" t="s">
        <v>1233</v>
      </c>
      <c r="D570">
        <v>257</v>
      </c>
      <c r="E570" t="s">
        <v>1113</v>
      </c>
    </row>
    <row r="571" spans="1:5" x14ac:dyDescent="0.25">
      <c r="A571" t="s">
        <v>1099</v>
      </c>
      <c r="B571">
        <v>2</v>
      </c>
      <c r="C571" t="s">
        <v>1233</v>
      </c>
      <c r="D571">
        <v>259</v>
      </c>
      <c r="E571" t="s">
        <v>1113</v>
      </c>
    </row>
    <row r="572" spans="1:5" x14ac:dyDescent="0.25">
      <c r="A572" t="s">
        <v>1099</v>
      </c>
      <c r="B572">
        <v>2</v>
      </c>
      <c r="D572">
        <v>262</v>
      </c>
      <c r="E572" t="s">
        <v>1113</v>
      </c>
    </row>
    <row r="573" spans="1:5" x14ac:dyDescent="0.25">
      <c r="A573" t="s">
        <v>1099</v>
      </c>
      <c r="B573">
        <v>2</v>
      </c>
      <c r="D573">
        <v>263</v>
      </c>
      <c r="E573" t="s">
        <v>1114</v>
      </c>
    </row>
    <row r="574" spans="1:5" x14ac:dyDescent="0.25">
      <c r="A574" t="s">
        <v>1099</v>
      </c>
      <c r="B574">
        <v>2</v>
      </c>
      <c r="D574">
        <v>264</v>
      </c>
      <c r="E574" t="s">
        <v>1113</v>
      </c>
    </row>
    <row r="575" spans="1:5" x14ac:dyDescent="0.25">
      <c r="A575" t="s">
        <v>1099</v>
      </c>
      <c r="B575">
        <v>2</v>
      </c>
      <c r="D575">
        <v>265</v>
      </c>
      <c r="E575" t="s">
        <v>1113</v>
      </c>
    </row>
    <row r="576" spans="1:5" x14ac:dyDescent="0.25">
      <c r="A576" t="s">
        <v>1099</v>
      </c>
      <c r="B576">
        <v>2</v>
      </c>
      <c r="D576">
        <v>267</v>
      </c>
      <c r="E576" t="s">
        <v>1113</v>
      </c>
    </row>
    <row r="577" spans="1:5" x14ac:dyDescent="0.25">
      <c r="A577" t="s">
        <v>1099</v>
      </c>
      <c r="B577">
        <v>2</v>
      </c>
      <c r="D577">
        <v>268</v>
      </c>
      <c r="E577" t="s">
        <v>1113</v>
      </c>
    </row>
    <row r="578" spans="1:5" x14ac:dyDescent="0.25">
      <c r="A578" t="s">
        <v>1099</v>
      </c>
      <c r="B578">
        <v>2</v>
      </c>
      <c r="D578">
        <v>270</v>
      </c>
      <c r="E578" t="s">
        <v>1113</v>
      </c>
    </row>
    <row r="579" spans="1:5" x14ac:dyDescent="0.25">
      <c r="A579" t="s">
        <v>1099</v>
      </c>
      <c r="B579">
        <v>2</v>
      </c>
      <c r="D579">
        <v>271</v>
      </c>
      <c r="E579" t="s">
        <v>1113</v>
      </c>
    </row>
    <row r="580" spans="1:5" x14ac:dyDescent="0.25">
      <c r="A580" t="s">
        <v>1099</v>
      </c>
      <c r="B580">
        <v>2</v>
      </c>
      <c r="D580">
        <v>272</v>
      </c>
      <c r="E580" t="s">
        <v>1113</v>
      </c>
    </row>
    <row r="581" spans="1:5" x14ac:dyDescent="0.25">
      <c r="A581" t="s">
        <v>1099</v>
      </c>
      <c r="B581">
        <v>2</v>
      </c>
      <c r="D581">
        <v>273</v>
      </c>
      <c r="E581" t="s">
        <v>1114</v>
      </c>
    </row>
    <row r="582" spans="1:5" x14ac:dyDescent="0.25">
      <c r="A582" t="s">
        <v>1099</v>
      </c>
      <c r="B582">
        <v>2</v>
      </c>
      <c r="D582">
        <v>274</v>
      </c>
      <c r="E582" t="s">
        <v>1113</v>
      </c>
    </row>
    <row r="583" spans="1:5" x14ac:dyDescent="0.25">
      <c r="A583" t="s">
        <v>1099</v>
      </c>
      <c r="B583">
        <v>2</v>
      </c>
      <c r="D583">
        <v>275</v>
      </c>
      <c r="E583" t="s">
        <v>1114</v>
      </c>
    </row>
    <row r="584" spans="1:5" x14ac:dyDescent="0.25">
      <c r="A584" t="s">
        <v>1099</v>
      </c>
      <c r="B584">
        <v>2</v>
      </c>
      <c r="D584">
        <v>276</v>
      </c>
      <c r="E584" t="s">
        <v>1113</v>
      </c>
    </row>
    <row r="585" spans="1:5" x14ac:dyDescent="0.25">
      <c r="A585" t="s">
        <v>1099</v>
      </c>
      <c r="B585">
        <v>2</v>
      </c>
      <c r="D585">
        <v>277</v>
      </c>
      <c r="E585" t="s">
        <v>1113</v>
      </c>
    </row>
    <row r="586" spans="1:5" x14ac:dyDescent="0.25">
      <c r="A586" t="s">
        <v>1099</v>
      </c>
      <c r="B586">
        <v>2</v>
      </c>
      <c r="D586">
        <v>278</v>
      </c>
      <c r="E586" t="s">
        <v>1114</v>
      </c>
    </row>
    <row r="587" spans="1:5" x14ac:dyDescent="0.25">
      <c r="A587" t="s">
        <v>1099</v>
      </c>
      <c r="B587">
        <v>2</v>
      </c>
      <c r="D587">
        <v>279</v>
      </c>
      <c r="E587" t="s">
        <v>1113</v>
      </c>
    </row>
    <row r="588" spans="1:5" x14ac:dyDescent="0.25">
      <c r="A588" t="s">
        <v>1099</v>
      </c>
      <c r="B588">
        <v>2</v>
      </c>
      <c r="D588">
        <v>280</v>
      </c>
      <c r="E588" t="s">
        <v>1113</v>
      </c>
    </row>
    <row r="589" spans="1:5" x14ac:dyDescent="0.25">
      <c r="A589" t="s">
        <v>1099</v>
      </c>
      <c r="B589">
        <v>2</v>
      </c>
      <c r="D589">
        <v>281</v>
      </c>
      <c r="E589" t="s">
        <v>1113</v>
      </c>
    </row>
    <row r="590" spans="1:5" x14ac:dyDescent="0.25">
      <c r="A590" t="s">
        <v>1099</v>
      </c>
      <c r="B590">
        <v>2</v>
      </c>
      <c r="D590">
        <v>282</v>
      </c>
      <c r="E590" t="s">
        <v>1113</v>
      </c>
    </row>
    <row r="591" spans="1:5" x14ac:dyDescent="0.25">
      <c r="A591" t="s">
        <v>1099</v>
      </c>
      <c r="B591">
        <v>2</v>
      </c>
      <c r="D591">
        <v>283</v>
      </c>
      <c r="E591" t="s">
        <v>1113</v>
      </c>
    </row>
    <row r="592" spans="1:5" x14ac:dyDescent="0.25">
      <c r="A592" t="s">
        <v>1099</v>
      </c>
      <c r="B592">
        <v>2</v>
      </c>
      <c r="D592">
        <v>284</v>
      </c>
      <c r="E592" t="s">
        <v>1113</v>
      </c>
    </row>
    <row r="593" spans="1:5" x14ac:dyDescent="0.25">
      <c r="A593" t="s">
        <v>1099</v>
      </c>
      <c r="B593">
        <v>2</v>
      </c>
      <c r="D593">
        <v>285</v>
      </c>
      <c r="E593" t="s">
        <v>1113</v>
      </c>
    </row>
    <row r="594" spans="1:5" x14ac:dyDescent="0.25">
      <c r="A594" t="s">
        <v>1099</v>
      </c>
      <c r="B594">
        <v>2</v>
      </c>
      <c r="D594">
        <v>286</v>
      </c>
      <c r="E594" t="s">
        <v>1113</v>
      </c>
    </row>
    <row r="595" spans="1:5" x14ac:dyDescent="0.25">
      <c r="A595" t="s">
        <v>1099</v>
      </c>
      <c r="B595">
        <v>2</v>
      </c>
      <c r="D595">
        <v>287</v>
      </c>
      <c r="E595" t="s">
        <v>1113</v>
      </c>
    </row>
    <row r="596" spans="1:5" x14ac:dyDescent="0.25">
      <c r="A596" t="s">
        <v>1099</v>
      </c>
      <c r="B596">
        <v>3</v>
      </c>
      <c r="C596" t="s">
        <v>1234</v>
      </c>
      <c r="D596">
        <v>301</v>
      </c>
      <c r="E596" t="s">
        <v>1114</v>
      </c>
    </row>
    <row r="597" spans="1:5" x14ac:dyDescent="0.25">
      <c r="A597" t="s">
        <v>1099</v>
      </c>
      <c r="B597">
        <v>3</v>
      </c>
      <c r="C597" t="s">
        <v>1234</v>
      </c>
      <c r="D597">
        <v>302</v>
      </c>
      <c r="E597" t="s">
        <v>1114</v>
      </c>
    </row>
    <row r="598" spans="1:5" x14ac:dyDescent="0.25">
      <c r="A598" t="s">
        <v>1099</v>
      </c>
      <c r="B598">
        <v>3</v>
      </c>
      <c r="C598" t="s">
        <v>1235</v>
      </c>
      <c r="D598">
        <v>319</v>
      </c>
      <c r="E598" t="s">
        <v>1114</v>
      </c>
    </row>
    <row r="599" spans="1:5" x14ac:dyDescent="0.25">
      <c r="A599" t="s">
        <v>1099</v>
      </c>
      <c r="B599">
        <v>3</v>
      </c>
      <c r="C599" t="s">
        <v>1235</v>
      </c>
      <c r="D599">
        <v>321</v>
      </c>
      <c r="E599" t="s">
        <v>1113</v>
      </c>
    </row>
    <row r="600" spans="1:5" x14ac:dyDescent="0.25">
      <c r="A600" t="s">
        <v>1099</v>
      </c>
      <c r="B600">
        <v>3</v>
      </c>
      <c r="C600" t="s">
        <v>1235</v>
      </c>
      <c r="D600">
        <v>323</v>
      </c>
      <c r="E600" t="s">
        <v>1113</v>
      </c>
    </row>
    <row r="601" spans="1:5" x14ac:dyDescent="0.25">
      <c r="A601" t="s">
        <v>1099</v>
      </c>
      <c r="B601">
        <v>3</v>
      </c>
      <c r="C601" t="s">
        <v>1235</v>
      </c>
      <c r="D601">
        <v>325</v>
      </c>
      <c r="E601" t="s">
        <v>1113</v>
      </c>
    </row>
    <row r="602" spans="1:5" x14ac:dyDescent="0.25">
      <c r="A602" t="s">
        <v>1099</v>
      </c>
      <c r="B602">
        <v>3</v>
      </c>
      <c r="C602" t="s">
        <v>1236</v>
      </c>
      <c r="D602">
        <v>342</v>
      </c>
      <c r="E602" t="s">
        <v>1113</v>
      </c>
    </row>
    <row r="603" spans="1:5" x14ac:dyDescent="0.25">
      <c r="A603" t="s">
        <v>1099</v>
      </c>
      <c r="B603">
        <v>3</v>
      </c>
      <c r="C603" t="s">
        <v>1236</v>
      </c>
      <c r="D603">
        <v>344</v>
      </c>
      <c r="E603" t="s">
        <v>1113</v>
      </c>
    </row>
    <row r="604" spans="1:5" x14ac:dyDescent="0.25">
      <c r="A604" t="s">
        <v>1099</v>
      </c>
      <c r="B604">
        <v>3</v>
      </c>
      <c r="C604" t="s">
        <v>1236</v>
      </c>
      <c r="D604">
        <v>345</v>
      </c>
      <c r="E604" t="s">
        <v>1113</v>
      </c>
    </row>
    <row r="605" spans="1:5" x14ac:dyDescent="0.25">
      <c r="A605" t="s">
        <v>1099</v>
      </c>
      <c r="B605">
        <v>3</v>
      </c>
      <c r="C605" t="s">
        <v>1236</v>
      </c>
      <c r="D605">
        <v>347</v>
      </c>
      <c r="E605" t="s">
        <v>1114</v>
      </c>
    </row>
    <row r="606" spans="1:5" x14ac:dyDescent="0.25">
      <c r="A606" t="s">
        <v>1099</v>
      </c>
      <c r="B606">
        <v>3</v>
      </c>
      <c r="C606" t="s">
        <v>1237</v>
      </c>
      <c r="D606">
        <v>378</v>
      </c>
      <c r="E606" t="s">
        <v>1114</v>
      </c>
    </row>
    <row r="607" spans="1:5" x14ac:dyDescent="0.25">
      <c r="A607" t="s">
        <v>1099</v>
      </c>
      <c r="B607">
        <v>3</v>
      </c>
      <c r="C607" t="s">
        <v>1237</v>
      </c>
      <c r="D607">
        <v>379</v>
      </c>
      <c r="E607" t="s">
        <v>1175</v>
      </c>
    </row>
    <row r="608" spans="1:5" x14ac:dyDescent="0.25">
      <c r="A608" t="s">
        <v>1099</v>
      </c>
      <c r="B608" t="s">
        <v>1120</v>
      </c>
      <c r="C608" t="s">
        <v>1238</v>
      </c>
      <c r="D608">
        <v>1</v>
      </c>
      <c r="E608" t="s">
        <v>1175</v>
      </c>
    </row>
    <row r="609" spans="1:5" x14ac:dyDescent="0.25">
      <c r="A609" t="s">
        <v>1099</v>
      </c>
      <c r="B609" t="s">
        <v>1120</v>
      </c>
      <c r="C609" t="s">
        <v>1239</v>
      </c>
      <c r="D609">
        <v>11</v>
      </c>
      <c r="E609" t="s">
        <v>1114</v>
      </c>
    </row>
    <row r="610" spans="1:5" x14ac:dyDescent="0.25">
      <c r="A610" t="s">
        <v>1099</v>
      </c>
      <c r="B610" t="s">
        <v>1120</v>
      </c>
      <c r="C610" t="s">
        <v>1239</v>
      </c>
      <c r="D610">
        <v>13</v>
      </c>
      <c r="E610" t="s">
        <v>1113</v>
      </c>
    </row>
    <row r="611" spans="1:5" x14ac:dyDescent="0.25">
      <c r="A611" t="s">
        <v>1099</v>
      </c>
      <c r="B611" t="s">
        <v>1120</v>
      </c>
      <c r="C611" t="s">
        <v>1239</v>
      </c>
      <c r="D611">
        <v>15</v>
      </c>
      <c r="E611" t="s">
        <v>1113</v>
      </c>
    </row>
    <row r="612" spans="1:5" x14ac:dyDescent="0.25">
      <c r="A612" t="s">
        <v>1099</v>
      </c>
      <c r="B612" t="s">
        <v>1120</v>
      </c>
      <c r="C612" t="s">
        <v>1239</v>
      </c>
      <c r="D612">
        <v>17</v>
      </c>
      <c r="E612" t="s">
        <v>1113</v>
      </c>
    </row>
    <row r="613" spans="1:5" x14ac:dyDescent="0.25">
      <c r="A613" t="s">
        <v>1099</v>
      </c>
      <c r="B613" t="s">
        <v>1120</v>
      </c>
      <c r="C613" t="s">
        <v>1238</v>
      </c>
      <c r="D613">
        <v>2</v>
      </c>
      <c r="E613" t="s">
        <v>1113</v>
      </c>
    </row>
    <row r="614" spans="1:5" x14ac:dyDescent="0.25">
      <c r="A614" t="s">
        <v>1099</v>
      </c>
      <c r="B614" t="s">
        <v>1120</v>
      </c>
      <c r="C614" t="s">
        <v>1238</v>
      </c>
      <c r="D614">
        <v>3</v>
      </c>
      <c r="E614" t="s">
        <v>1113</v>
      </c>
    </row>
    <row r="615" spans="1:5" x14ac:dyDescent="0.25">
      <c r="A615" t="s">
        <v>1099</v>
      </c>
      <c r="B615" t="s">
        <v>1120</v>
      </c>
      <c r="C615" t="s">
        <v>1238</v>
      </c>
      <c r="D615">
        <v>5</v>
      </c>
      <c r="E615" t="s">
        <v>1113</v>
      </c>
    </row>
    <row r="616" spans="1:5" x14ac:dyDescent="0.25">
      <c r="A616" t="s">
        <v>1099</v>
      </c>
      <c r="B616" t="s">
        <v>1120</v>
      </c>
      <c r="D616">
        <v>65</v>
      </c>
      <c r="E616" t="s">
        <v>1113</v>
      </c>
    </row>
    <row r="617" spans="1:5" x14ac:dyDescent="0.25">
      <c r="A617" t="s">
        <v>1099</v>
      </c>
      <c r="B617" t="s">
        <v>1120</v>
      </c>
      <c r="D617">
        <v>67</v>
      </c>
      <c r="E617" t="s">
        <v>1113</v>
      </c>
    </row>
    <row r="618" spans="1:5" x14ac:dyDescent="0.25">
      <c r="A618" t="s">
        <v>1099</v>
      </c>
      <c r="B618" t="s">
        <v>1120</v>
      </c>
      <c r="D618">
        <v>69</v>
      </c>
      <c r="E618" t="s">
        <v>1113</v>
      </c>
    </row>
    <row r="619" spans="1:5" x14ac:dyDescent="0.25">
      <c r="A619" t="s">
        <v>1099</v>
      </c>
      <c r="B619" t="s">
        <v>1120</v>
      </c>
      <c r="C619" t="s">
        <v>1238</v>
      </c>
      <c r="D619">
        <v>7</v>
      </c>
      <c r="E619" t="s">
        <v>1113</v>
      </c>
    </row>
    <row r="620" spans="1:5" x14ac:dyDescent="0.25">
      <c r="A620" t="s">
        <v>1099</v>
      </c>
      <c r="B620" t="s">
        <v>1120</v>
      </c>
      <c r="D620">
        <v>71</v>
      </c>
      <c r="E620" t="s">
        <v>1113</v>
      </c>
    </row>
    <row r="621" spans="1:5" x14ac:dyDescent="0.25">
      <c r="A621" t="s">
        <v>1099</v>
      </c>
      <c r="B621" t="s">
        <v>1120</v>
      </c>
      <c r="D621">
        <v>73</v>
      </c>
      <c r="E621" t="s">
        <v>1113</v>
      </c>
    </row>
    <row r="622" spans="1:5" x14ac:dyDescent="0.25">
      <c r="A622" t="s">
        <v>1099</v>
      </c>
      <c r="B622" t="s">
        <v>1120</v>
      </c>
      <c r="D622">
        <v>75</v>
      </c>
      <c r="E622" t="s">
        <v>1113</v>
      </c>
    </row>
    <row r="623" spans="1:5" x14ac:dyDescent="0.25">
      <c r="A623" t="s">
        <v>1099</v>
      </c>
      <c r="B623" t="s">
        <v>1120</v>
      </c>
      <c r="D623">
        <v>77</v>
      </c>
      <c r="E623" t="s">
        <v>1113</v>
      </c>
    </row>
    <row r="624" spans="1:5" x14ac:dyDescent="0.25">
      <c r="A624" t="s">
        <v>1099</v>
      </c>
      <c r="B624" t="s">
        <v>1120</v>
      </c>
      <c r="D624">
        <v>79</v>
      </c>
      <c r="E624" t="s">
        <v>1113</v>
      </c>
    </row>
    <row r="625" spans="1:5" x14ac:dyDescent="0.25">
      <c r="A625" t="s">
        <v>1099</v>
      </c>
      <c r="B625" t="s">
        <v>1120</v>
      </c>
      <c r="D625">
        <v>80</v>
      </c>
      <c r="E625" t="s">
        <v>1113</v>
      </c>
    </row>
    <row r="626" spans="1:5" x14ac:dyDescent="0.25">
      <c r="A626" t="s">
        <v>1099</v>
      </c>
      <c r="B626" t="s">
        <v>1120</v>
      </c>
      <c r="D626">
        <v>81</v>
      </c>
      <c r="E626" t="s">
        <v>1114</v>
      </c>
    </row>
    <row r="627" spans="1:5" x14ac:dyDescent="0.25">
      <c r="A627" t="s">
        <v>1099</v>
      </c>
      <c r="B627" t="s">
        <v>1120</v>
      </c>
      <c r="D627">
        <v>82</v>
      </c>
      <c r="E627" t="s">
        <v>1113</v>
      </c>
    </row>
    <row r="628" spans="1:5" x14ac:dyDescent="0.25">
      <c r="A628" t="s">
        <v>1099</v>
      </c>
      <c r="B628" t="s">
        <v>1120</v>
      </c>
      <c r="D628">
        <v>83</v>
      </c>
      <c r="E628" t="s">
        <v>1159</v>
      </c>
    </row>
    <row r="629" spans="1:5" x14ac:dyDescent="0.25">
      <c r="A629" t="s">
        <v>1099</v>
      </c>
      <c r="B629" t="s">
        <v>1120</v>
      </c>
      <c r="D629">
        <v>84</v>
      </c>
      <c r="E629" t="s">
        <v>1113</v>
      </c>
    </row>
    <row r="630" spans="1:5" x14ac:dyDescent="0.25">
      <c r="A630" t="s">
        <v>1099</v>
      </c>
      <c r="B630" t="s">
        <v>1120</v>
      </c>
      <c r="D630">
        <v>85</v>
      </c>
      <c r="E630" t="s">
        <v>1113</v>
      </c>
    </row>
    <row r="631" spans="1:5" x14ac:dyDescent="0.25">
      <c r="A631" t="s">
        <v>1099</v>
      </c>
      <c r="B631" t="s">
        <v>1120</v>
      </c>
      <c r="D631">
        <v>86</v>
      </c>
      <c r="E631" t="s">
        <v>1113</v>
      </c>
    </row>
    <row r="632" spans="1:5" x14ac:dyDescent="0.25">
      <c r="A632" t="s">
        <v>1099</v>
      </c>
      <c r="B632" t="s">
        <v>1120</v>
      </c>
      <c r="D632">
        <v>87</v>
      </c>
      <c r="E632" t="s">
        <v>1175</v>
      </c>
    </row>
    <row r="633" spans="1:5" x14ac:dyDescent="0.25">
      <c r="A633" t="s">
        <v>1099</v>
      </c>
      <c r="B633" t="s">
        <v>1120</v>
      </c>
      <c r="D633">
        <v>9</v>
      </c>
      <c r="E633" t="s">
        <v>1114</v>
      </c>
    </row>
    <row r="634" spans="1:5" x14ac:dyDescent="0.25">
      <c r="A634" t="s">
        <v>913</v>
      </c>
      <c r="B634">
        <v>1</v>
      </c>
      <c r="C634" t="s">
        <v>1240</v>
      </c>
      <c r="D634" t="s">
        <v>972</v>
      </c>
      <c r="E634" t="s">
        <v>1113</v>
      </c>
    </row>
    <row r="635" spans="1:5" x14ac:dyDescent="0.25">
      <c r="A635" t="s">
        <v>913</v>
      </c>
      <c r="B635">
        <v>1</v>
      </c>
      <c r="C635" t="s">
        <v>1240</v>
      </c>
      <c r="D635" t="s">
        <v>982</v>
      </c>
      <c r="E635" t="s">
        <v>1113</v>
      </c>
    </row>
    <row r="636" spans="1:5" x14ac:dyDescent="0.25">
      <c r="A636" t="s">
        <v>913</v>
      </c>
      <c r="B636">
        <v>1</v>
      </c>
      <c r="C636" t="s">
        <v>1240</v>
      </c>
      <c r="D636" t="s">
        <v>981</v>
      </c>
      <c r="E636" t="s">
        <v>1113</v>
      </c>
    </row>
    <row r="637" spans="1:5" x14ac:dyDescent="0.25">
      <c r="A637" t="s">
        <v>913</v>
      </c>
      <c r="B637">
        <v>1</v>
      </c>
      <c r="C637" t="s">
        <v>1240</v>
      </c>
      <c r="D637" t="s">
        <v>963</v>
      </c>
      <c r="E637" t="s">
        <v>1113</v>
      </c>
    </row>
    <row r="638" spans="1:5" x14ac:dyDescent="0.25">
      <c r="A638" t="s">
        <v>913</v>
      </c>
      <c r="B638">
        <v>1</v>
      </c>
      <c r="C638" t="s">
        <v>1240</v>
      </c>
      <c r="D638" t="s">
        <v>979</v>
      </c>
      <c r="E638" t="s">
        <v>1113</v>
      </c>
    </row>
    <row r="639" spans="1:5" x14ac:dyDescent="0.25">
      <c r="A639" t="s">
        <v>913</v>
      </c>
      <c r="B639">
        <v>1</v>
      </c>
      <c r="C639" t="s">
        <v>1240</v>
      </c>
      <c r="D639" t="s">
        <v>974</v>
      </c>
      <c r="E639" t="s">
        <v>1113</v>
      </c>
    </row>
    <row r="640" spans="1:5" x14ac:dyDescent="0.25">
      <c r="A640" t="s">
        <v>913</v>
      </c>
      <c r="B640">
        <v>1</v>
      </c>
      <c r="C640" t="s">
        <v>1240</v>
      </c>
      <c r="D640" t="s">
        <v>980</v>
      </c>
      <c r="E640" t="s">
        <v>1113</v>
      </c>
    </row>
    <row r="641" spans="1:5" x14ac:dyDescent="0.25">
      <c r="A641" t="s">
        <v>913</v>
      </c>
      <c r="B641">
        <v>1</v>
      </c>
      <c r="C641" t="s">
        <v>1240</v>
      </c>
      <c r="D641" t="s">
        <v>970</v>
      </c>
      <c r="E641" t="s">
        <v>1113</v>
      </c>
    </row>
    <row r="642" spans="1:5" x14ac:dyDescent="0.25">
      <c r="A642" t="s">
        <v>913</v>
      </c>
      <c r="B642">
        <v>1</v>
      </c>
      <c r="C642" t="s">
        <v>1241</v>
      </c>
      <c r="D642" t="s">
        <v>983</v>
      </c>
      <c r="E642" t="s">
        <v>1113</v>
      </c>
    </row>
    <row r="643" spans="1:5" x14ac:dyDescent="0.25">
      <c r="A643" t="s">
        <v>913</v>
      </c>
      <c r="B643">
        <v>1</v>
      </c>
      <c r="C643" t="s">
        <v>1241</v>
      </c>
      <c r="D643" t="s">
        <v>969</v>
      </c>
      <c r="E643" t="s">
        <v>1113</v>
      </c>
    </row>
    <row r="644" spans="1:5" x14ac:dyDescent="0.25">
      <c r="A644" t="s">
        <v>913</v>
      </c>
      <c r="B644">
        <v>1</v>
      </c>
      <c r="C644" t="s">
        <v>1241</v>
      </c>
      <c r="D644" t="s">
        <v>975</v>
      </c>
      <c r="E644" t="s">
        <v>1113</v>
      </c>
    </row>
    <row r="645" spans="1:5" x14ac:dyDescent="0.25">
      <c r="A645" t="s">
        <v>913</v>
      </c>
      <c r="B645">
        <v>1</v>
      </c>
      <c r="C645" t="s">
        <v>1241</v>
      </c>
      <c r="D645" t="s">
        <v>967</v>
      </c>
      <c r="E645" t="s">
        <v>1113</v>
      </c>
    </row>
    <row r="646" spans="1:5" x14ac:dyDescent="0.25">
      <c r="A646" t="s">
        <v>913</v>
      </c>
      <c r="B646">
        <v>1</v>
      </c>
      <c r="C646" t="s">
        <v>1241</v>
      </c>
      <c r="D646" t="s">
        <v>964</v>
      </c>
      <c r="E646" t="s">
        <v>1113</v>
      </c>
    </row>
    <row r="647" spans="1:5" x14ac:dyDescent="0.25">
      <c r="A647" t="s">
        <v>913</v>
      </c>
      <c r="B647">
        <v>1</v>
      </c>
      <c r="C647" t="s">
        <v>1241</v>
      </c>
      <c r="D647" t="s">
        <v>962</v>
      </c>
      <c r="E647" t="s">
        <v>1113</v>
      </c>
    </row>
    <row r="648" spans="1:5" x14ac:dyDescent="0.25">
      <c r="A648" t="s">
        <v>913</v>
      </c>
      <c r="B648">
        <v>1</v>
      </c>
      <c r="C648" t="s">
        <v>1241</v>
      </c>
      <c r="D648" t="s">
        <v>978</v>
      </c>
      <c r="E648" t="s">
        <v>1113</v>
      </c>
    </row>
    <row r="649" spans="1:5" x14ac:dyDescent="0.25">
      <c r="A649" t="s">
        <v>913</v>
      </c>
      <c r="B649">
        <v>1</v>
      </c>
      <c r="C649" t="s">
        <v>1242</v>
      </c>
      <c r="D649" t="s">
        <v>968</v>
      </c>
      <c r="E649" t="s">
        <v>1113</v>
      </c>
    </row>
    <row r="650" spans="1:5" x14ac:dyDescent="0.25">
      <c r="A650" t="s">
        <v>913</v>
      </c>
      <c r="B650">
        <v>1</v>
      </c>
      <c r="C650" t="s">
        <v>1242</v>
      </c>
      <c r="D650" t="s">
        <v>971</v>
      </c>
      <c r="E650" t="s">
        <v>1113</v>
      </c>
    </row>
    <row r="651" spans="1:5" x14ac:dyDescent="0.25">
      <c r="A651" t="s">
        <v>913</v>
      </c>
      <c r="B651">
        <v>1</v>
      </c>
      <c r="C651" t="s">
        <v>1242</v>
      </c>
      <c r="D651" t="s">
        <v>965</v>
      </c>
      <c r="E651" t="s">
        <v>1113</v>
      </c>
    </row>
    <row r="652" spans="1:5" x14ac:dyDescent="0.25">
      <c r="A652" t="s">
        <v>913</v>
      </c>
      <c r="B652">
        <v>1</v>
      </c>
      <c r="C652" t="s">
        <v>1242</v>
      </c>
      <c r="D652" t="s">
        <v>977</v>
      </c>
      <c r="E652" t="s">
        <v>1113</v>
      </c>
    </row>
    <row r="653" spans="1:5" x14ac:dyDescent="0.25">
      <c r="A653" t="s">
        <v>913</v>
      </c>
      <c r="B653">
        <v>1</v>
      </c>
      <c r="C653" t="s">
        <v>1242</v>
      </c>
      <c r="D653" t="s">
        <v>966</v>
      </c>
      <c r="E653" t="s">
        <v>1113</v>
      </c>
    </row>
    <row r="654" spans="1:5" x14ac:dyDescent="0.25">
      <c r="A654" t="s">
        <v>913</v>
      </c>
      <c r="B654">
        <v>1</v>
      </c>
      <c r="C654" t="s">
        <v>1242</v>
      </c>
      <c r="D654" t="s">
        <v>976</v>
      </c>
      <c r="E654" t="s">
        <v>1113</v>
      </c>
    </row>
    <row r="655" spans="1:5" x14ac:dyDescent="0.25">
      <c r="A655" t="s">
        <v>913</v>
      </c>
      <c r="B655">
        <v>1</v>
      </c>
      <c r="C655" t="s">
        <v>1242</v>
      </c>
      <c r="D655" t="s">
        <v>973</v>
      </c>
      <c r="E655" t="s">
        <v>1113</v>
      </c>
    </row>
    <row r="656" spans="1:5" x14ac:dyDescent="0.25">
      <c r="A656" t="s">
        <v>913</v>
      </c>
      <c r="B656">
        <v>1</v>
      </c>
      <c r="C656" t="s">
        <v>1242</v>
      </c>
      <c r="D656" t="s">
        <v>984</v>
      </c>
      <c r="E656" t="s">
        <v>1113</v>
      </c>
    </row>
    <row r="657" spans="1:5" x14ac:dyDescent="0.25">
      <c r="A657" t="s">
        <v>913</v>
      </c>
      <c r="B657">
        <v>2</v>
      </c>
      <c r="C657" t="s">
        <v>1243</v>
      </c>
      <c r="D657" t="s">
        <v>960</v>
      </c>
      <c r="E657" t="s">
        <v>1113</v>
      </c>
    </row>
    <row r="658" spans="1:5" x14ac:dyDescent="0.25">
      <c r="A658" t="s">
        <v>913</v>
      </c>
      <c r="B658">
        <v>2</v>
      </c>
      <c r="C658" t="s">
        <v>1243</v>
      </c>
      <c r="D658" t="s">
        <v>951</v>
      </c>
      <c r="E658" t="s">
        <v>1113</v>
      </c>
    </row>
    <row r="659" spans="1:5" x14ac:dyDescent="0.25">
      <c r="A659" t="s">
        <v>913</v>
      </c>
      <c r="B659">
        <v>2</v>
      </c>
      <c r="C659" t="s">
        <v>1243</v>
      </c>
      <c r="D659" t="s">
        <v>955</v>
      </c>
      <c r="E659" t="s">
        <v>1113</v>
      </c>
    </row>
    <row r="660" spans="1:5" x14ac:dyDescent="0.25">
      <c r="A660" t="s">
        <v>913</v>
      </c>
      <c r="B660">
        <v>2</v>
      </c>
      <c r="C660" t="s">
        <v>1243</v>
      </c>
      <c r="D660" t="s">
        <v>942</v>
      </c>
      <c r="E660" t="s">
        <v>1113</v>
      </c>
    </row>
    <row r="661" spans="1:5" x14ac:dyDescent="0.25">
      <c r="A661" t="s">
        <v>913</v>
      </c>
      <c r="B661">
        <v>2</v>
      </c>
      <c r="C661" t="s">
        <v>1243</v>
      </c>
      <c r="D661" t="s">
        <v>943</v>
      </c>
      <c r="E661" t="s">
        <v>1113</v>
      </c>
    </row>
    <row r="662" spans="1:5" x14ac:dyDescent="0.25">
      <c r="A662" t="s">
        <v>913</v>
      </c>
      <c r="B662">
        <v>2</v>
      </c>
      <c r="C662" t="s">
        <v>1243</v>
      </c>
      <c r="D662" t="s">
        <v>956</v>
      </c>
      <c r="E662" t="s">
        <v>1113</v>
      </c>
    </row>
    <row r="663" spans="1:5" x14ac:dyDescent="0.25">
      <c r="A663" t="s">
        <v>913</v>
      </c>
      <c r="B663">
        <v>2</v>
      </c>
      <c r="C663" t="s">
        <v>1243</v>
      </c>
      <c r="D663" t="s">
        <v>947</v>
      </c>
      <c r="E663" t="s">
        <v>1113</v>
      </c>
    </row>
    <row r="664" spans="1:5" x14ac:dyDescent="0.25">
      <c r="A664" t="s">
        <v>913</v>
      </c>
      <c r="B664">
        <v>2</v>
      </c>
      <c r="C664" t="s">
        <v>1243</v>
      </c>
      <c r="D664" t="s">
        <v>941</v>
      </c>
      <c r="E664" t="s">
        <v>1113</v>
      </c>
    </row>
    <row r="665" spans="1:5" x14ac:dyDescent="0.25">
      <c r="A665" t="s">
        <v>913</v>
      </c>
      <c r="B665">
        <v>2</v>
      </c>
      <c r="C665" t="s">
        <v>1244</v>
      </c>
      <c r="D665" t="s">
        <v>946</v>
      </c>
      <c r="E665" t="s">
        <v>1113</v>
      </c>
    </row>
    <row r="666" spans="1:5" x14ac:dyDescent="0.25">
      <c r="A666" t="s">
        <v>913</v>
      </c>
      <c r="B666">
        <v>2</v>
      </c>
      <c r="C666" t="s">
        <v>1244</v>
      </c>
      <c r="D666" t="s">
        <v>961</v>
      </c>
      <c r="E666" t="s">
        <v>1113</v>
      </c>
    </row>
    <row r="667" spans="1:5" x14ac:dyDescent="0.25">
      <c r="A667" t="s">
        <v>913</v>
      </c>
      <c r="B667">
        <v>2</v>
      </c>
      <c r="C667" t="s">
        <v>1244</v>
      </c>
      <c r="D667" t="s">
        <v>953</v>
      </c>
      <c r="E667" t="s">
        <v>1113</v>
      </c>
    </row>
    <row r="668" spans="1:5" x14ac:dyDescent="0.25">
      <c r="A668" t="s">
        <v>913</v>
      </c>
      <c r="B668">
        <v>2</v>
      </c>
      <c r="C668" t="s">
        <v>1244</v>
      </c>
      <c r="D668" t="s">
        <v>945</v>
      </c>
      <c r="E668" t="s">
        <v>1113</v>
      </c>
    </row>
    <row r="669" spans="1:5" x14ac:dyDescent="0.25">
      <c r="A669" t="s">
        <v>913</v>
      </c>
      <c r="B669">
        <v>2</v>
      </c>
      <c r="C669" t="s">
        <v>1244</v>
      </c>
      <c r="D669" t="s">
        <v>944</v>
      </c>
      <c r="E669" t="s">
        <v>1113</v>
      </c>
    </row>
    <row r="670" spans="1:5" x14ac:dyDescent="0.25">
      <c r="A670" t="s">
        <v>913</v>
      </c>
      <c r="B670">
        <v>2</v>
      </c>
      <c r="C670" t="s">
        <v>1244</v>
      </c>
      <c r="D670" t="s">
        <v>958</v>
      </c>
      <c r="E670" t="s">
        <v>1113</v>
      </c>
    </row>
    <row r="671" spans="1:5" x14ac:dyDescent="0.25">
      <c r="A671" t="s">
        <v>913</v>
      </c>
      <c r="B671">
        <v>2</v>
      </c>
      <c r="C671" t="s">
        <v>1244</v>
      </c>
      <c r="D671" t="s">
        <v>950</v>
      </c>
      <c r="E671" t="s">
        <v>1113</v>
      </c>
    </row>
    <row r="672" spans="1:5" x14ac:dyDescent="0.25">
      <c r="A672" t="s">
        <v>913</v>
      </c>
      <c r="B672">
        <v>2</v>
      </c>
      <c r="C672" t="s">
        <v>1244</v>
      </c>
      <c r="D672" t="s">
        <v>952</v>
      </c>
      <c r="E672" t="s">
        <v>1113</v>
      </c>
    </row>
    <row r="673" spans="1:5" x14ac:dyDescent="0.25">
      <c r="A673" t="s">
        <v>913</v>
      </c>
      <c r="B673">
        <v>2</v>
      </c>
      <c r="C673" t="s">
        <v>1245</v>
      </c>
      <c r="D673" t="s">
        <v>957</v>
      </c>
      <c r="E673" t="s">
        <v>1113</v>
      </c>
    </row>
    <row r="674" spans="1:5" x14ac:dyDescent="0.25">
      <c r="A674" t="s">
        <v>913</v>
      </c>
      <c r="B674">
        <v>2</v>
      </c>
      <c r="C674" t="s">
        <v>1245</v>
      </c>
      <c r="D674" t="s">
        <v>940</v>
      </c>
      <c r="E674" t="s">
        <v>1113</v>
      </c>
    </row>
    <row r="675" spans="1:5" x14ac:dyDescent="0.25">
      <c r="A675" t="s">
        <v>913</v>
      </c>
      <c r="B675">
        <v>2</v>
      </c>
      <c r="C675" t="s">
        <v>1245</v>
      </c>
      <c r="D675" t="s">
        <v>938</v>
      </c>
      <c r="E675" t="s">
        <v>1113</v>
      </c>
    </row>
    <row r="676" spans="1:5" x14ac:dyDescent="0.25">
      <c r="A676" t="s">
        <v>913</v>
      </c>
      <c r="B676">
        <v>2</v>
      </c>
      <c r="C676" t="s">
        <v>1245</v>
      </c>
      <c r="D676" t="s">
        <v>949</v>
      </c>
      <c r="E676" t="s">
        <v>1113</v>
      </c>
    </row>
    <row r="677" spans="1:5" x14ac:dyDescent="0.25">
      <c r="A677" t="s">
        <v>913</v>
      </c>
      <c r="B677">
        <v>2</v>
      </c>
      <c r="C677" t="s">
        <v>1245</v>
      </c>
      <c r="D677" t="s">
        <v>954</v>
      </c>
      <c r="E677" t="s">
        <v>1113</v>
      </c>
    </row>
    <row r="678" spans="1:5" x14ac:dyDescent="0.25">
      <c r="A678" t="s">
        <v>913</v>
      </c>
      <c r="B678">
        <v>2</v>
      </c>
      <c r="C678" t="s">
        <v>1245</v>
      </c>
      <c r="D678" t="s">
        <v>948</v>
      </c>
      <c r="E678" t="s">
        <v>1113</v>
      </c>
    </row>
    <row r="679" spans="1:5" x14ac:dyDescent="0.25">
      <c r="A679" t="s">
        <v>913</v>
      </c>
      <c r="B679">
        <v>2</v>
      </c>
      <c r="C679" t="s">
        <v>1245</v>
      </c>
      <c r="D679" t="s">
        <v>959</v>
      </c>
      <c r="E679" t="s">
        <v>1113</v>
      </c>
    </row>
    <row r="680" spans="1:5" x14ac:dyDescent="0.25">
      <c r="A680" t="s">
        <v>913</v>
      </c>
      <c r="B680">
        <v>2</v>
      </c>
      <c r="C680" t="s">
        <v>1245</v>
      </c>
      <c r="D680" t="s">
        <v>939</v>
      </c>
      <c r="E680" t="s">
        <v>1113</v>
      </c>
    </row>
    <row r="681" spans="1:5" x14ac:dyDescent="0.25">
      <c r="A681" t="s">
        <v>913</v>
      </c>
      <c r="B681">
        <v>3</v>
      </c>
      <c r="C681" t="s">
        <v>1246</v>
      </c>
      <c r="D681" t="s">
        <v>920</v>
      </c>
      <c r="E681" t="s">
        <v>1113</v>
      </c>
    </row>
    <row r="682" spans="1:5" x14ac:dyDescent="0.25">
      <c r="A682" t="s">
        <v>913</v>
      </c>
      <c r="B682">
        <v>3</v>
      </c>
      <c r="C682" t="s">
        <v>1246</v>
      </c>
      <c r="D682" t="s">
        <v>928</v>
      </c>
      <c r="E682" t="s">
        <v>1113</v>
      </c>
    </row>
    <row r="683" spans="1:5" x14ac:dyDescent="0.25">
      <c r="A683" t="s">
        <v>913</v>
      </c>
      <c r="B683">
        <v>3</v>
      </c>
      <c r="C683" t="s">
        <v>1246</v>
      </c>
      <c r="D683" t="s">
        <v>932</v>
      </c>
      <c r="E683" t="s">
        <v>1113</v>
      </c>
    </row>
    <row r="684" spans="1:5" x14ac:dyDescent="0.25">
      <c r="A684" t="s">
        <v>913</v>
      </c>
      <c r="B684">
        <v>3</v>
      </c>
      <c r="C684" t="s">
        <v>1246</v>
      </c>
      <c r="D684" t="s">
        <v>929</v>
      </c>
      <c r="E684" t="s">
        <v>1113</v>
      </c>
    </row>
    <row r="685" spans="1:5" x14ac:dyDescent="0.25">
      <c r="A685" t="s">
        <v>913</v>
      </c>
      <c r="B685">
        <v>3</v>
      </c>
      <c r="C685" t="s">
        <v>1246</v>
      </c>
      <c r="D685" t="s">
        <v>935</v>
      </c>
      <c r="E685" t="s">
        <v>1113</v>
      </c>
    </row>
    <row r="686" spans="1:5" x14ac:dyDescent="0.25">
      <c r="A686" t="s">
        <v>913</v>
      </c>
      <c r="B686">
        <v>3</v>
      </c>
      <c r="C686" t="s">
        <v>1246</v>
      </c>
      <c r="D686" t="s">
        <v>922</v>
      </c>
      <c r="E686" t="s">
        <v>1113</v>
      </c>
    </row>
    <row r="687" spans="1:5" x14ac:dyDescent="0.25">
      <c r="A687" t="s">
        <v>913</v>
      </c>
      <c r="B687">
        <v>3</v>
      </c>
      <c r="C687" t="s">
        <v>1246</v>
      </c>
      <c r="D687" t="s">
        <v>933</v>
      </c>
      <c r="E687" t="s">
        <v>1113</v>
      </c>
    </row>
    <row r="688" spans="1:5" x14ac:dyDescent="0.25">
      <c r="A688" t="s">
        <v>913</v>
      </c>
      <c r="B688">
        <v>3</v>
      </c>
      <c r="C688" t="s">
        <v>1246</v>
      </c>
      <c r="D688" t="s">
        <v>916</v>
      </c>
      <c r="E688" t="s">
        <v>1113</v>
      </c>
    </row>
    <row r="689" spans="1:5" x14ac:dyDescent="0.25">
      <c r="A689" t="s">
        <v>913</v>
      </c>
      <c r="B689">
        <v>3</v>
      </c>
      <c r="C689" t="s">
        <v>1247</v>
      </c>
      <c r="D689" t="s">
        <v>923</v>
      </c>
      <c r="E689" t="s">
        <v>1113</v>
      </c>
    </row>
    <row r="690" spans="1:5" x14ac:dyDescent="0.25">
      <c r="A690" t="s">
        <v>913</v>
      </c>
      <c r="B690">
        <v>3</v>
      </c>
      <c r="C690" t="s">
        <v>1247</v>
      </c>
      <c r="D690" t="s">
        <v>930</v>
      </c>
      <c r="E690" t="s">
        <v>1113</v>
      </c>
    </row>
    <row r="691" spans="1:5" x14ac:dyDescent="0.25">
      <c r="A691" t="s">
        <v>913</v>
      </c>
      <c r="B691">
        <v>3</v>
      </c>
      <c r="C691" t="s">
        <v>1247</v>
      </c>
      <c r="D691" t="s">
        <v>915</v>
      </c>
      <c r="E691" t="s">
        <v>1113</v>
      </c>
    </row>
    <row r="692" spans="1:5" x14ac:dyDescent="0.25">
      <c r="A692" t="s">
        <v>913</v>
      </c>
      <c r="B692">
        <v>3</v>
      </c>
      <c r="C692" t="s">
        <v>1247</v>
      </c>
      <c r="D692" t="s">
        <v>927</v>
      </c>
      <c r="E692" t="s">
        <v>1113</v>
      </c>
    </row>
    <row r="693" spans="1:5" x14ac:dyDescent="0.25">
      <c r="A693" t="s">
        <v>913</v>
      </c>
      <c r="B693">
        <v>3</v>
      </c>
      <c r="C693" t="s">
        <v>1247</v>
      </c>
      <c r="D693" t="s">
        <v>925</v>
      </c>
      <c r="E693" t="s">
        <v>1113</v>
      </c>
    </row>
    <row r="694" spans="1:5" x14ac:dyDescent="0.25">
      <c r="A694" t="s">
        <v>913</v>
      </c>
      <c r="B694">
        <v>3</v>
      </c>
      <c r="C694" t="s">
        <v>1247</v>
      </c>
      <c r="D694" t="s">
        <v>936</v>
      </c>
      <c r="E694" t="s">
        <v>1113</v>
      </c>
    </row>
    <row r="695" spans="1:5" x14ac:dyDescent="0.25">
      <c r="A695" t="s">
        <v>913</v>
      </c>
      <c r="B695">
        <v>3</v>
      </c>
      <c r="C695" t="s">
        <v>1247</v>
      </c>
      <c r="D695" t="s">
        <v>926</v>
      </c>
      <c r="E695" t="s">
        <v>1113</v>
      </c>
    </row>
    <row r="696" spans="1:5" x14ac:dyDescent="0.25">
      <c r="A696" t="s">
        <v>913</v>
      </c>
      <c r="B696">
        <v>3</v>
      </c>
      <c r="C696" t="s">
        <v>1247</v>
      </c>
      <c r="D696" t="s">
        <v>931</v>
      </c>
      <c r="E696" t="s">
        <v>1113</v>
      </c>
    </row>
    <row r="697" spans="1:5" x14ac:dyDescent="0.25">
      <c r="A697" t="s">
        <v>913</v>
      </c>
      <c r="B697">
        <v>3</v>
      </c>
      <c r="C697" t="s">
        <v>1248</v>
      </c>
      <c r="D697" t="s">
        <v>919</v>
      </c>
      <c r="E697" t="s">
        <v>1113</v>
      </c>
    </row>
    <row r="698" spans="1:5" x14ac:dyDescent="0.25">
      <c r="A698" t="s">
        <v>913</v>
      </c>
      <c r="B698">
        <v>3</v>
      </c>
      <c r="C698" t="s">
        <v>1248</v>
      </c>
      <c r="D698" t="s">
        <v>934</v>
      </c>
      <c r="E698" t="s">
        <v>1113</v>
      </c>
    </row>
    <row r="699" spans="1:5" x14ac:dyDescent="0.25">
      <c r="A699" t="s">
        <v>913</v>
      </c>
      <c r="B699">
        <v>3</v>
      </c>
      <c r="C699" t="s">
        <v>1248</v>
      </c>
      <c r="D699" t="s">
        <v>917</v>
      </c>
      <c r="E699" t="s">
        <v>1113</v>
      </c>
    </row>
    <row r="700" spans="1:5" x14ac:dyDescent="0.25">
      <c r="A700" t="s">
        <v>913</v>
      </c>
      <c r="B700">
        <v>3</v>
      </c>
      <c r="C700" t="s">
        <v>1248</v>
      </c>
      <c r="D700" t="s">
        <v>924</v>
      </c>
      <c r="E700" t="s">
        <v>1113</v>
      </c>
    </row>
    <row r="701" spans="1:5" x14ac:dyDescent="0.25">
      <c r="A701" t="s">
        <v>913</v>
      </c>
      <c r="B701">
        <v>3</v>
      </c>
      <c r="C701" t="s">
        <v>1248</v>
      </c>
      <c r="D701" t="s">
        <v>937</v>
      </c>
      <c r="E701" t="s">
        <v>1113</v>
      </c>
    </row>
    <row r="702" spans="1:5" x14ac:dyDescent="0.25">
      <c r="A702" t="s">
        <v>913</v>
      </c>
      <c r="B702">
        <v>3</v>
      </c>
      <c r="C702" t="s">
        <v>1248</v>
      </c>
      <c r="D702" t="s">
        <v>921</v>
      </c>
      <c r="E702" t="s">
        <v>1113</v>
      </c>
    </row>
    <row r="703" spans="1:5" x14ac:dyDescent="0.25">
      <c r="A703" t="s">
        <v>913</v>
      </c>
      <c r="B703">
        <v>3</v>
      </c>
      <c r="C703" t="s">
        <v>1248</v>
      </c>
      <c r="D703" t="s">
        <v>918</v>
      </c>
      <c r="E703" t="s">
        <v>1113</v>
      </c>
    </row>
    <row r="704" spans="1:5" x14ac:dyDescent="0.25">
      <c r="A704" t="s">
        <v>913</v>
      </c>
      <c r="B704">
        <v>3</v>
      </c>
      <c r="C704" t="s">
        <v>1248</v>
      </c>
      <c r="D704" t="s">
        <v>914</v>
      </c>
      <c r="E704" t="s">
        <v>1113</v>
      </c>
    </row>
    <row r="705" spans="1:5" x14ac:dyDescent="0.25">
      <c r="A705" t="s">
        <v>1096</v>
      </c>
      <c r="B705">
        <v>1</v>
      </c>
      <c r="D705">
        <v>107</v>
      </c>
      <c r="E705" t="s">
        <v>1175</v>
      </c>
    </row>
    <row r="706" spans="1:5" x14ac:dyDescent="0.25">
      <c r="A706" t="s">
        <v>1096</v>
      </c>
      <c r="B706">
        <v>1</v>
      </c>
      <c r="D706">
        <v>108</v>
      </c>
      <c r="E706" t="s">
        <v>1115</v>
      </c>
    </row>
    <row r="707" spans="1:5" x14ac:dyDescent="0.25">
      <c r="A707" t="s">
        <v>1096</v>
      </c>
      <c r="B707">
        <v>1</v>
      </c>
      <c r="D707">
        <v>109</v>
      </c>
      <c r="E707" t="s">
        <v>1175</v>
      </c>
    </row>
    <row r="708" spans="1:5" x14ac:dyDescent="0.25">
      <c r="A708" t="s">
        <v>1096</v>
      </c>
      <c r="B708">
        <v>1</v>
      </c>
      <c r="D708">
        <v>110</v>
      </c>
      <c r="E708" t="s">
        <v>1114</v>
      </c>
    </row>
    <row r="709" spans="1:5" x14ac:dyDescent="0.25">
      <c r="A709" t="s">
        <v>1096</v>
      </c>
      <c r="B709">
        <v>1</v>
      </c>
      <c r="D709">
        <v>111</v>
      </c>
      <c r="E709" t="s">
        <v>1159</v>
      </c>
    </row>
    <row r="710" spans="1:5" x14ac:dyDescent="0.25">
      <c r="A710" t="s">
        <v>1096</v>
      </c>
      <c r="B710">
        <v>1</v>
      </c>
      <c r="D710">
        <v>112</v>
      </c>
      <c r="E710" t="s">
        <v>1115</v>
      </c>
    </row>
    <row r="711" spans="1:5" x14ac:dyDescent="0.25">
      <c r="A711" t="s">
        <v>1096</v>
      </c>
      <c r="B711">
        <v>1</v>
      </c>
      <c r="D711">
        <v>113</v>
      </c>
      <c r="E711" t="s">
        <v>1115</v>
      </c>
    </row>
    <row r="712" spans="1:5" x14ac:dyDescent="0.25">
      <c r="A712" t="s">
        <v>1096</v>
      </c>
      <c r="B712">
        <v>1</v>
      </c>
      <c r="D712">
        <v>114</v>
      </c>
      <c r="E712" t="s">
        <v>1175</v>
      </c>
    </row>
    <row r="713" spans="1:5" x14ac:dyDescent="0.25">
      <c r="A713" t="s">
        <v>1096</v>
      </c>
      <c r="B713">
        <v>1</v>
      </c>
      <c r="D713">
        <v>115</v>
      </c>
      <c r="E713" t="s">
        <v>1175</v>
      </c>
    </row>
    <row r="714" spans="1:5" x14ac:dyDescent="0.25">
      <c r="A714" t="s">
        <v>1096</v>
      </c>
      <c r="B714">
        <v>1</v>
      </c>
      <c r="D714">
        <v>116</v>
      </c>
      <c r="E714" t="s">
        <v>1114</v>
      </c>
    </row>
    <row r="715" spans="1:5" x14ac:dyDescent="0.25">
      <c r="A715" t="s">
        <v>1096</v>
      </c>
      <c r="B715">
        <v>1</v>
      </c>
      <c r="D715">
        <v>117</v>
      </c>
      <c r="E715" t="s">
        <v>1159</v>
      </c>
    </row>
    <row r="716" spans="1:5" x14ac:dyDescent="0.25">
      <c r="A716" t="s">
        <v>1096</v>
      </c>
      <c r="B716">
        <v>1</v>
      </c>
      <c r="D716">
        <v>118</v>
      </c>
      <c r="E716" t="s">
        <v>1175</v>
      </c>
    </row>
    <row r="717" spans="1:5" x14ac:dyDescent="0.25">
      <c r="A717" t="s">
        <v>1096</v>
      </c>
      <c r="B717">
        <v>1</v>
      </c>
      <c r="D717">
        <v>119</v>
      </c>
      <c r="E717" t="s">
        <v>1175</v>
      </c>
    </row>
    <row r="718" spans="1:5" x14ac:dyDescent="0.25">
      <c r="A718" t="s">
        <v>1096</v>
      </c>
      <c r="B718">
        <v>1</v>
      </c>
      <c r="D718">
        <v>120</v>
      </c>
      <c r="E718" t="s">
        <v>1114</v>
      </c>
    </row>
    <row r="719" spans="1:5" x14ac:dyDescent="0.25">
      <c r="A719" t="s">
        <v>1096</v>
      </c>
      <c r="B719">
        <v>1</v>
      </c>
      <c r="D719">
        <v>121</v>
      </c>
      <c r="E719" t="s">
        <v>1175</v>
      </c>
    </row>
    <row r="720" spans="1:5" x14ac:dyDescent="0.25">
      <c r="A720" t="s">
        <v>1096</v>
      </c>
      <c r="B720">
        <v>1</v>
      </c>
      <c r="D720">
        <v>122</v>
      </c>
      <c r="E720" t="s">
        <v>1175</v>
      </c>
    </row>
    <row r="721" spans="1:5" x14ac:dyDescent="0.25">
      <c r="A721" t="s">
        <v>1096</v>
      </c>
      <c r="B721">
        <v>1</v>
      </c>
      <c r="D721">
        <v>123</v>
      </c>
      <c r="E721" t="s">
        <v>1114</v>
      </c>
    </row>
    <row r="722" spans="1:5" x14ac:dyDescent="0.25">
      <c r="A722" t="s">
        <v>1096</v>
      </c>
      <c r="B722">
        <v>1</v>
      </c>
      <c r="D722">
        <v>124</v>
      </c>
      <c r="E722" t="s">
        <v>1115</v>
      </c>
    </row>
    <row r="723" spans="1:5" x14ac:dyDescent="0.25">
      <c r="A723" t="s">
        <v>1096</v>
      </c>
      <c r="B723">
        <v>1</v>
      </c>
      <c r="D723">
        <v>125</v>
      </c>
      <c r="E723" t="s">
        <v>1175</v>
      </c>
    </row>
    <row r="724" spans="1:5" x14ac:dyDescent="0.25">
      <c r="A724" t="s">
        <v>1096</v>
      </c>
      <c r="B724">
        <v>1</v>
      </c>
      <c r="D724" t="s">
        <v>1097</v>
      </c>
      <c r="E724" t="s">
        <v>1113</v>
      </c>
    </row>
    <row r="725" spans="1:5" x14ac:dyDescent="0.25">
      <c r="A725" t="s">
        <v>1096</v>
      </c>
      <c r="B725">
        <v>2</v>
      </c>
      <c r="D725">
        <v>201</v>
      </c>
      <c r="E725" t="s">
        <v>1175</v>
      </c>
    </row>
    <row r="726" spans="1:5" x14ac:dyDescent="0.25">
      <c r="A726" t="s">
        <v>1096</v>
      </c>
      <c r="B726">
        <v>2</v>
      </c>
      <c r="D726">
        <v>202</v>
      </c>
      <c r="E726" t="s">
        <v>1175</v>
      </c>
    </row>
    <row r="727" spans="1:5" x14ac:dyDescent="0.25">
      <c r="A727" t="s">
        <v>1096</v>
      </c>
      <c r="B727">
        <v>2</v>
      </c>
      <c r="D727">
        <v>203</v>
      </c>
      <c r="E727" t="s">
        <v>1249</v>
      </c>
    </row>
    <row r="728" spans="1:5" x14ac:dyDescent="0.25">
      <c r="A728" t="s">
        <v>1096</v>
      </c>
      <c r="B728">
        <v>2</v>
      </c>
      <c r="D728">
        <v>204</v>
      </c>
      <c r="E728" t="s">
        <v>1175</v>
      </c>
    </row>
    <row r="729" spans="1:5" x14ac:dyDescent="0.25">
      <c r="A729" t="s">
        <v>1096</v>
      </c>
      <c r="B729">
        <v>2</v>
      </c>
      <c r="D729">
        <v>205</v>
      </c>
      <c r="E729" t="s">
        <v>1175</v>
      </c>
    </row>
    <row r="730" spans="1:5" x14ac:dyDescent="0.25">
      <c r="A730" t="s">
        <v>1096</v>
      </c>
      <c r="B730">
        <v>2</v>
      </c>
      <c r="D730">
        <v>206</v>
      </c>
      <c r="E730" t="s">
        <v>1175</v>
      </c>
    </row>
    <row r="731" spans="1:5" x14ac:dyDescent="0.25">
      <c r="A731" t="s">
        <v>1096</v>
      </c>
      <c r="B731">
        <v>2</v>
      </c>
      <c r="D731">
        <v>207</v>
      </c>
      <c r="E731" t="s">
        <v>1175</v>
      </c>
    </row>
    <row r="732" spans="1:5" x14ac:dyDescent="0.25">
      <c r="A732" t="s">
        <v>1096</v>
      </c>
      <c r="B732">
        <v>2</v>
      </c>
      <c r="D732">
        <v>208</v>
      </c>
      <c r="E732" t="s">
        <v>1175</v>
      </c>
    </row>
    <row r="733" spans="1:5" x14ac:dyDescent="0.25">
      <c r="A733" t="s">
        <v>1096</v>
      </c>
      <c r="B733">
        <v>2</v>
      </c>
      <c r="D733">
        <v>209</v>
      </c>
      <c r="E733" t="s">
        <v>1175</v>
      </c>
    </row>
    <row r="734" spans="1:5" x14ac:dyDescent="0.25">
      <c r="A734" t="s">
        <v>1096</v>
      </c>
      <c r="B734">
        <v>2</v>
      </c>
      <c r="D734">
        <v>210</v>
      </c>
      <c r="E734" t="s">
        <v>1175</v>
      </c>
    </row>
    <row r="735" spans="1:5" x14ac:dyDescent="0.25">
      <c r="A735" t="s">
        <v>1096</v>
      </c>
      <c r="B735">
        <v>2</v>
      </c>
      <c r="D735">
        <v>211</v>
      </c>
      <c r="E735" t="s">
        <v>1175</v>
      </c>
    </row>
    <row r="736" spans="1:5" x14ac:dyDescent="0.25">
      <c r="A736" t="s">
        <v>1096</v>
      </c>
      <c r="B736">
        <v>2</v>
      </c>
      <c r="D736">
        <v>212</v>
      </c>
      <c r="E736" t="s">
        <v>1175</v>
      </c>
    </row>
    <row r="737" spans="1:5" x14ac:dyDescent="0.25">
      <c r="A737" t="s">
        <v>1096</v>
      </c>
      <c r="B737">
        <v>2</v>
      </c>
      <c r="D737">
        <v>213</v>
      </c>
      <c r="E737" t="s">
        <v>1175</v>
      </c>
    </row>
    <row r="738" spans="1:5" x14ac:dyDescent="0.25">
      <c r="A738" t="s">
        <v>1096</v>
      </c>
      <c r="B738">
        <v>2</v>
      </c>
      <c r="D738">
        <v>214</v>
      </c>
      <c r="E738" t="s">
        <v>1249</v>
      </c>
    </row>
    <row r="739" spans="1:5" x14ac:dyDescent="0.25">
      <c r="A739" t="s">
        <v>1096</v>
      </c>
      <c r="B739">
        <v>2</v>
      </c>
      <c r="D739">
        <v>215</v>
      </c>
      <c r="E739" t="s">
        <v>1175</v>
      </c>
    </row>
    <row r="740" spans="1:5" x14ac:dyDescent="0.25">
      <c r="A740" t="s">
        <v>1096</v>
      </c>
      <c r="B740">
        <v>2</v>
      </c>
      <c r="D740">
        <v>216</v>
      </c>
      <c r="E740" t="s">
        <v>1114</v>
      </c>
    </row>
    <row r="741" spans="1:5" x14ac:dyDescent="0.25">
      <c r="A741" t="s">
        <v>1096</v>
      </c>
      <c r="B741">
        <v>2</v>
      </c>
      <c r="D741">
        <v>217</v>
      </c>
      <c r="E741" t="s">
        <v>1175</v>
      </c>
    </row>
    <row r="742" spans="1:5" x14ac:dyDescent="0.25">
      <c r="A742" t="s">
        <v>1096</v>
      </c>
      <c r="B742">
        <v>2</v>
      </c>
      <c r="D742">
        <v>218</v>
      </c>
      <c r="E742" t="s">
        <v>1175</v>
      </c>
    </row>
    <row r="743" spans="1:5" x14ac:dyDescent="0.25">
      <c r="A743" t="s">
        <v>1096</v>
      </c>
      <c r="B743">
        <v>2</v>
      </c>
      <c r="D743">
        <v>219</v>
      </c>
      <c r="E743" t="s">
        <v>1175</v>
      </c>
    </row>
    <row r="744" spans="1:5" x14ac:dyDescent="0.25">
      <c r="A744" t="s">
        <v>1096</v>
      </c>
      <c r="B744">
        <v>2</v>
      </c>
      <c r="D744">
        <v>220</v>
      </c>
      <c r="E744" t="s">
        <v>1175</v>
      </c>
    </row>
    <row r="745" spans="1:5" x14ac:dyDescent="0.25">
      <c r="A745" t="s">
        <v>1096</v>
      </c>
      <c r="B745">
        <v>2</v>
      </c>
      <c r="D745">
        <v>221</v>
      </c>
      <c r="E745" t="s">
        <v>1175</v>
      </c>
    </row>
    <row r="746" spans="1:5" x14ac:dyDescent="0.25">
      <c r="A746" t="s">
        <v>1096</v>
      </c>
      <c r="B746">
        <v>2</v>
      </c>
      <c r="D746">
        <v>222</v>
      </c>
      <c r="E746" t="s">
        <v>1159</v>
      </c>
    </row>
    <row r="747" spans="1:5" x14ac:dyDescent="0.25">
      <c r="A747" t="s">
        <v>1096</v>
      </c>
      <c r="B747">
        <v>2</v>
      </c>
      <c r="D747">
        <v>223</v>
      </c>
      <c r="E747" t="s">
        <v>1175</v>
      </c>
    </row>
    <row r="748" spans="1:5" x14ac:dyDescent="0.25">
      <c r="A748" t="s">
        <v>1096</v>
      </c>
      <c r="B748">
        <v>2</v>
      </c>
      <c r="D748">
        <v>224</v>
      </c>
      <c r="E748" t="s">
        <v>1114</v>
      </c>
    </row>
    <row r="749" spans="1:5" x14ac:dyDescent="0.25">
      <c r="A749" t="s">
        <v>1096</v>
      </c>
      <c r="B749">
        <v>2</v>
      </c>
      <c r="D749">
        <v>225</v>
      </c>
      <c r="E749" t="s">
        <v>1114</v>
      </c>
    </row>
    <row r="750" spans="1:5" x14ac:dyDescent="0.25">
      <c r="A750" t="s">
        <v>910</v>
      </c>
      <c r="B750">
        <v>1</v>
      </c>
      <c r="D750">
        <v>150</v>
      </c>
      <c r="E750" t="s">
        <v>1113</v>
      </c>
    </row>
    <row r="751" spans="1:5" x14ac:dyDescent="0.25">
      <c r="A751" t="s">
        <v>910</v>
      </c>
      <c r="B751">
        <v>1</v>
      </c>
      <c r="D751">
        <v>151</v>
      </c>
      <c r="E751" t="s">
        <v>1113</v>
      </c>
    </row>
    <row r="752" spans="1:5" x14ac:dyDescent="0.25">
      <c r="A752" t="s">
        <v>910</v>
      </c>
      <c r="B752">
        <v>1</v>
      </c>
      <c r="D752">
        <v>152</v>
      </c>
      <c r="E752" t="s">
        <v>1113</v>
      </c>
    </row>
    <row r="753" spans="1:5" x14ac:dyDescent="0.25">
      <c r="A753" t="s">
        <v>910</v>
      </c>
      <c r="B753">
        <v>1</v>
      </c>
      <c r="D753">
        <v>153</v>
      </c>
      <c r="E753" t="s">
        <v>1113</v>
      </c>
    </row>
    <row r="754" spans="1:5" x14ac:dyDescent="0.25">
      <c r="A754" t="s">
        <v>910</v>
      </c>
      <c r="B754">
        <v>1</v>
      </c>
      <c r="D754">
        <v>154</v>
      </c>
      <c r="E754" t="s">
        <v>1113</v>
      </c>
    </row>
    <row r="755" spans="1:5" x14ac:dyDescent="0.25">
      <c r="A755" t="s">
        <v>910</v>
      </c>
      <c r="B755">
        <v>1</v>
      </c>
      <c r="D755">
        <v>155</v>
      </c>
      <c r="E755" t="s">
        <v>1113</v>
      </c>
    </row>
    <row r="756" spans="1:5" x14ac:dyDescent="0.25">
      <c r="A756" t="s">
        <v>910</v>
      </c>
      <c r="B756">
        <v>1</v>
      </c>
      <c r="D756">
        <v>156</v>
      </c>
      <c r="E756" t="s">
        <v>1113</v>
      </c>
    </row>
    <row r="757" spans="1:5" x14ac:dyDescent="0.25">
      <c r="A757" t="s">
        <v>910</v>
      </c>
      <c r="B757">
        <v>1</v>
      </c>
      <c r="D757">
        <v>157</v>
      </c>
      <c r="E757" t="s">
        <v>1113</v>
      </c>
    </row>
    <row r="758" spans="1:5" x14ac:dyDescent="0.25">
      <c r="A758" t="s">
        <v>910</v>
      </c>
      <c r="B758">
        <v>1</v>
      </c>
      <c r="D758">
        <v>158</v>
      </c>
      <c r="E758" t="s">
        <v>1113</v>
      </c>
    </row>
    <row r="759" spans="1:5" x14ac:dyDescent="0.25">
      <c r="A759" t="s">
        <v>910</v>
      </c>
      <c r="B759">
        <v>1</v>
      </c>
      <c r="D759">
        <v>159</v>
      </c>
      <c r="E759" t="s">
        <v>1113</v>
      </c>
    </row>
    <row r="760" spans="1:5" x14ac:dyDescent="0.25">
      <c r="A760" t="s">
        <v>910</v>
      </c>
      <c r="B760">
        <v>1</v>
      </c>
      <c r="D760">
        <v>160</v>
      </c>
      <c r="E760" t="s">
        <v>1113</v>
      </c>
    </row>
    <row r="761" spans="1:5" x14ac:dyDescent="0.25">
      <c r="A761" t="s">
        <v>910</v>
      </c>
      <c r="B761">
        <v>1</v>
      </c>
      <c r="D761">
        <v>161</v>
      </c>
      <c r="E761" t="s">
        <v>1113</v>
      </c>
    </row>
    <row r="762" spans="1:5" x14ac:dyDescent="0.25">
      <c r="A762" t="s">
        <v>910</v>
      </c>
      <c r="B762">
        <v>1</v>
      </c>
      <c r="D762">
        <v>162</v>
      </c>
      <c r="E762" t="s">
        <v>1113</v>
      </c>
    </row>
    <row r="763" spans="1:5" x14ac:dyDescent="0.25">
      <c r="A763" t="s">
        <v>910</v>
      </c>
      <c r="B763">
        <v>1</v>
      </c>
      <c r="D763">
        <v>163</v>
      </c>
      <c r="E763" t="s">
        <v>1113</v>
      </c>
    </row>
    <row r="764" spans="1:5" x14ac:dyDescent="0.25">
      <c r="A764" t="s">
        <v>910</v>
      </c>
      <c r="B764">
        <v>1</v>
      </c>
      <c r="D764">
        <v>164</v>
      </c>
      <c r="E764" t="s">
        <v>1113</v>
      </c>
    </row>
    <row r="765" spans="1:5" x14ac:dyDescent="0.25">
      <c r="A765" t="s">
        <v>910</v>
      </c>
      <c r="B765">
        <v>1</v>
      </c>
      <c r="D765">
        <v>165</v>
      </c>
      <c r="E765" t="s">
        <v>1113</v>
      </c>
    </row>
    <row r="766" spans="1:5" x14ac:dyDescent="0.25">
      <c r="A766" t="s">
        <v>910</v>
      </c>
      <c r="B766">
        <v>1</v>
      </c>
      <c r="D766">
        <v>166</v>
      </c>
      <c r="E766" t="s">
        <v>1113</v>
      </c>
    </row>
    <row r="767" spans="1:5" x14ac:dyDescent="0.25">
      <c r="A767" t="s">
        <v>910</v>
      </c>
      <c r="B767">
        <v>1</v>
      </c>
      <c r="D767">
        <v>167</v>
      </c>
      <c r="E767" t="s">
        <v>1113</v>
      </c>
    </row>
    <row r="768" spans="1:5" x14ac:dyDescent="0.25">
      <c r="A768" t="s">
        <v>910</v>
      </c>
      <c r="B768">
        <v>1</v>
      </c>
      <c r="D768">
        <v>168</v>
      </c>
      <c r="E768" t="s">
        <v>1115</v>
      </c>
    </row>
    <row r="769" spans="1:5" x14ac:dyDescent="0.25">
      <c r="A769" t="s">
        <v>910</v>
      </c>
      <c r="B769">
        <v>1</v>
      </c>
      <c r="D769">
        <v>169</v>
      </c>
      <c r="E769" t="s">
        <v>1113</v>
      </c>
    </row>
    <row r="770" spans="1:5" x14ac:dyDescent="0.25">
      <c r="A770" t="s">
        <v>910</v>
      </c>
      <c r="B770">
        <v>1</v>
      </c>
      <c r="D770">
        <v>170</v>
      </c>
      <c r="E770" t="s">
        <v>1114</v>
      </c>
    </row>
    <row r="771" spans="1:5" x14ac:dyDescent="0.25">
      <c r="A771" t="s">
        <v>910</v>
      </c>
      <c r="B771">
        <v>1</v>
      </c>
      <c r="D771">
        <v>171</v>
      </c>
      <c r="E771" t="s">
        <v>1114</v>
      </c>
    </row>
    <row r="772" spans="1:5" x14ac:dyDescent="0.25">
      <c r="A772" t="s">
        <v>910</v>
      </c>
      <c r="B772">
        <v>1</v>
      </c>
      <c r="D772">
        <v>172</v>
      </c>
      <c r="E772" t="s">
        <v>1113</v>
      </c>
    </row>
    <row r="773" spans="1:5" x14ac:dyDescent="0.25">
      <c r="A773" t="s">
        <v>910</v>
      </c>
      <c r="B773">
        <v>1</v>
      </c>
      <c r="D773">
        <v>173</v>
      </c>
      <c r="E773" t="s">
        <v>1113</v>
      </c>
    </row>
    <row r="774" spans="1:5" x14ac:dyDescent="0.25">
      <c r="A774" t="s">
        <v>910</v>
      </c>
      <c r="B774">
        <v>1</v>
      </c>
      <c r="D774">
        <v>174</v>
      </c>
      <c r="E774" t="s">
        <v>1113</v>
      </c>
    </row>
    <row r="775" spans="1:5" x14ac:dyDescent="0.25">
      <c r="A775" t="s">
        <v>910</v>
      </c>
      <c r="B775">
        <v>1</v>
      </c>
      <c r="D775">
        <v>175</v>
      </c>
      <c r="E775" t="s">
        <v>1113</v>
      </c>
    </row>
    <row r="776" spans="1:5" x14ac:dyDescent="0.25">
      <c r="A776" t="s">
        <v>910</v>
      </c>
      <c r="B776">
        <v>1</v>
      </c>
      <c r="D776">
        <v>176</v>
      </c>
      <c r="E776" t="s">
        <v>1115</v>
      </c>
    </row>
    <row r="777" spans="1:5" x14ac:dyDescent="0.25">
      <c r="A777" t="s">
        <v>910</v>
      </c>
      <c r="B777">
        <v>1</v>
      </c>
      <c r="D777">
        <v>177</v>
      </c>
      <c r="E777" t="s">
        <v>1113</v>
      </c>
    </row>
    <row r="778" spans="1:5" x14ac:dyDescent="0.25">
      <c r="A778" t="s">
        <v>910</v>
      </c>
      <c r="B778">
        <v>1</v>
      </c>
      <c r="D778">
        <v>179</v>
      </c>
      <c r="E778" t="s">
        <v>1113</v>
      </c>
    </row>
    <row r="779" spans="1:5" x14ac:dyDescent="0.25">
      <c r="A779" t="s">
        <v>910</v>
      </c>
      <c r="B779">
        <v>1</v>
      </c>
      <c r="D779">
        <v>180</v>
      </c>
      <c r="E779" t="s">
        <v>1113</v>
      </c>
    </row>
    <row r="780" spans="1:5" x14ac:dyDescent="0.25">
      <c r="A780" t="s">
        <v>910</v>
      </c>
      <c r="B780">
        <v>1</v>
      </c>
      <c r="D780">
        <v>181</v>
      </c>
      <c r="E780" t="s">
        <v>1113</v>
      </c>
    </row>
    <row r="781" spans="1:5" x14ac:dyDescent="0.25">
      <c r="A781" t="s">
        <v>910</v>
      </c>
      <c r="B781">
        <v>1</v>
      </c>
      <c r="D781">
        <v>182</v>
      </c>
      <c r="E781" t="s">
        <v>1113</v>
      </c>
    </row>
    <row r="782" spans="1:5" x14ac:dyDescent="0.25">
      <c r="A782" t="s">
        <v>910</v>
      </c>
      <c r="B782">
        <v>1</v>
      </c>
      <c r="D782">
        <v>183</v>
      </c>
      <c r="E782" t="s">
        <v>1113</v>
      </c>
    </row>
    <row r="783" spans="1:5" x14ac:dyDescent="0.25">
      <c r="A783" t="s">
        <v>910</v>
      </c>
      <c r="B783">
        <v>1</v>
      </c>
      <c r="D783">
        <v>184</v>
      </c>
      <c r="E783" t="s">
        <v>1113</v>
      </c>
    </row>
    <row r="784" spans="1:5" x14ac:dyDescent="0.25">
      <c r="A784" t="s">
        <v>910</v>
      </c>
      <c r="B784">
        <v>1</v>
      </c>
      <c r="D784">
        <v>185</v>
      </c>
      <c r="E784" t="s">
        <v>1113</v>
      </c>
    </row>
    <row r="785" spans="1:5" x14ac:dyDescent="0.25">
      <c r="A785" t="s">
        <v>910</v>
      </c>
      <c r="B785">
        <v>1</v>
      </c>
      <c r="D785">
        <v>186</v>
      </c>
      <c r="E785" t="s">
        <v>1113</v>
      </c>
    </row>
    <row r="786" spans="1:5" x14ac:dyDescent="0.25">
      <c r="A786" t="s">
        <v>910</v>
      </c>
      <c r="B786">
        <v>2</v>
      </c>
      <c r="D786">
        <v>250</v>
      </c>
      <c r="E786" t="s">
        <v>1113</v>
      </c>
    </row>
    <row r="787" spans="1:5" x14ac:dyDescent="0.25">
      <c r="A787" t="s">
        <v>910</v>
      </c>
      <c r="B787">
        <v>2</v>
      </c>
      <c r="D787">
        <v>251</v>
      </c>
      <c r="E787" t="s">
        <v>1113</v>
      </c>
    </row>
    <row r="788" spans="1:5" x14ac:dyDescent="0.25">
      <c r="A788" t="s">
        <v>910</v>
      </c>
      <c r="B788">
        <v>2</v>
      </c>
      <c r="D788">
        <v>252</v>
      </c>
      <c r="E788" t="s">
        <v>1113</v>
      </c>
    </row>
    <row r="789" spans="1:5" x14ac:dyDescent="0.25">
      <c r="A789" t="s">
        <v>910</v>
      </c>
      <c r="B789">
        <v>2</v>
      </c>
      <c r="D789">
        <v>253</v>
      </c>
      <c r="E789" t="s">
        <v>1113</v>
      </c>
    </row>
    <row r="790" spans="1:5" x14ac:dyDescent="0.25">
      <c r="A790" t="s">
        <v>910</v>
      </c>
      <c r="B790">
        <v>2</v>
      </c>
      <c r="D790">
        <v>254</v>
      </c>
      <c r="E790" t="s">
        <v>1113</v>
      </c>
    </row>
    <row r="791" spans="1:5" x14ac:dyDescent="0.25">
      <c r="A791" t="s">
        <v>910</v>
      </c>
      <c r="B791">
        <v>2</v>
      </c>
      <c r="D791">
        <v>255</v>
      </c>
      <c r="E791" t="s">
        <v>1113</v>
      </c>
    </row>
    <row r="792" spans="1:5" x14ac:dyDescent="0.25">
      <c r="A792" t="s">
        <v>910</v>
      </c>
      <c r="B792">
        <v>2</v>
      </c>
      <c r="D792">
        <v>256</v>
      </c>
      <c r="E792" t="s">
        <v>1113</v>
      </c>
    </row>
    <row r="793" spans="1:5" x14ac:dyDescent="0.25">
      <c r="A793" t="s">
        <v>910</v>
      </c>
      <c r="B793">
        <v>2</v>
      </c>
      <c r="D793">
        <v>257</v>
      </c>
      <c r="E793" t="s">
        <v>1113</v>
      </c>
    </row>
    <row r="794" spans="1:5" x14ac:dyDescent="0.25">
      <c r="A794" t="s">
        <v>910</v>
      </c>
      <c r="B794">
        <v>2</v>
      </c>
      <c r="D794">
        <v>258</v>
      </c>
      <c r="E794" t="s">
        <v>1113</v>
      </c>
    </row>
    <row r="795" spans="1:5" x14ac:dyDescent="0.25">
      <c r="A795" t="s">
        <v>910</v>
      </c>
      <c r="B795">
        <v>2</v>
      </c>
      <c r="D795">
        <v>259</v>
      </c>
      <c r="E795" t="s">
        <v>1113</v>
      </c>
    </row>
    <row r="796" spans="1:5" x14ac:dyDescent="0.25">
      <c r="A796" t="s">
        <v>910</v>
      </c>
      <c r="B796">
        <v>2</v>
      </c>
      <c r="D796">
        <v>260</v>
      </c>
      <c r="E796" t="s">
        <v>1113</v>
      </c>
    </row>
    <row r="797" spans="1:5" x14ac:dyDescent="0.25">
      <c r="A797" t="s">
        <v>910</v>
      </c>
      <c r="B797">
        <v>2</v>
      </c>
      <c r="D797">
        <v>261</v>
      </c>
      <c r="E797" t="s">
        <v>1113</v>
      </c>
    </row>
    <row r="798" spans="1:5" x14ac:dyDescent="0.25">
      <c r="A798" t="s">
        <v>910</v>
      </c>
      <c r="B798">
        <v>2</v>
      </c>
      <c r="D798">
        <v>262</v>
      </c>
      <c r="E798" t="s">
        <v>1113</v>
      </c>
    </row>
    <row r="799" spans="1:5" x14ac:dyDescent="0.25">
      <c r="A799" t="s">
        <v>910</v>
      </c>
      <c r="B799">
        <v>2</v>
      </c>
      <c r="D799">
        <v>263</v>
      </c>
      <c r="E799" t="s">
        <v>1113</v>
      </c>
    </row>
    <row r="800" spans="1:5" x14ac:dyDescent="0.25">
      <c r="A800" t="s">
        <v>910</v>
      </c>
      <c r="B800">
        <v>2</v>
      </c>
      <c r="D800">
        <v>264</v>
      </c>
      <c r="E800" t="s">
        <v>1113</v>
      </c>
    </row>
    <row r="801" spans="1:5" x14ac:dyDescent="0.25">
      <c r="A801" t="s">
        <v>910</v>
      </c>
      <c r="B801">
        <v>2</v>
      </c>
      <c r="D801">
        <v>265</v>
      </c>
      <c r="E801" t="s">
        <v>1113</v>
      </c>
    </row>
    <row r="802" spans="1:5" x14ac:dyDescent="0.25">
      <c r="A802" t="s">
        <v>910</v>
      </c>
      <c r="B802">
        <v>2</v>
      </c>
      <c r="D802">
        <v>266</v>
      </c>
      <c r="E802" t="s">
        <v>1114</v>
      </c>
    </row>
    <row r="803" spans="1:5" x14ac:dyDescent="0.25">
      <c r="A803" t="s">
        <v>910</v>
      </c>
      <c r="B803">
        <v>2</v>
      </c>
      <c r="D803">
        <v>267</v>
      </c>
      <c r="E803" t="s">
        <v>1113</v>
      </c>
    </row>
    <row r="804" spans="1:5" x14ac:dyDescent="0.25">
      <c r="A804" t="s">
        <v>910</v>
      </c>
      <c r="B804">
        <v>2</v>
      </c>
      <c r="D804">
        <v>268</v>
      </c>
      <c r="E804" t="s">
        <v>1113</v>
      </c>
    </row>
    <row r="805" spans="1:5" x14ac:dyDescent="0.25">
      <c r="A805" t="s">
        <v>910</v>
      </c>
      <c r="B805">
        <v>2</v>
      </c>
      <c r="D805">
        <v>269</v>
      </c>
      <c r="E805" t="s">
        <v>1113</v>
      </c>
    </row>
    <row r="806" spans="1:5" x14ac:dyDescent="0.25">
      <c r="A806" t="s">
        <v>910</v>
      </c>
      <c r="B806">
        <v>2</v>
      </c>
      <c r="D806" t="s">
        <v>911</v>
      </c>
      <c r="E806" t="s">
        <v>1115</v>
      </c>
    </row>
    <row r="807" spans="1:5" x14ac:dyDescent="0.25">
      <c r="A807" t="s">
        <v>910</v>
      </c>
      <c r="B807">
        <v>2</v>
      </c>
      <c r="D807">
        <v>270</v>
      </c>
      <c r="E807" t="s">
        <v>1113</v>
      </c>
    </row>
    <row r="808" spans="1:5" x14ac:dyDescent="0.25">
      <c r="A808" t="s">
        <v>910</v>
      </c>
      <c r="B808">
        <v>2</v>
      </c>
      <c r="D808">
        <v>271</v>
      </c>
      <c r="E808" t="s">
        <v>1113</v>
      </c>
    </row>
    <row r="809" spans="1:5" x14ac:dyDescent="0.25">
      <c r="A809" t="s">
        <v>910</v>
      </c>
      <c r="B809">
        <v>2</v>
      </c>
      <c r="D809">
        <v>272</v>
      </c>
      <c r="E809" t="s">
        <v>1113</v>
      </c>
    </row>
    <row r="810" spans="1:5" x14ac:dyDescent="0.25">
      <c r="A810" t="s">
        <v>910</v>
      </c>
      <c r="B810">
        <v>2</v>
      </c>
      <c r="D810">
        <v>273</v>
      </c>
      <c r="E810" t="s">
        <v>1113</v>
      </c>
    </row>
    <row r="811" spans="1:5" x14ac:dyDescent="0.25">
      <c r="A811" t="s">
        <v>910</v>
      </c>
      <c r="B811">
        <v>2</v>
      </c>
      <c r="D811">
        <v>274</v>
      </c>
      <c r="E811" t="s">
        <v>1113</v>
      </c>
    </row>
    <row r="812" spans="1:5" x14ac:dyDescent="0.25">
      <c r="A812" t="s">
        <v>910</v>
      </c>
      <c r="B812">
        <v>2</v>
      </c>
      <c r="D812">
        <v>275</v>
      </c>
      <c r="E812" t="s">
        <v>1113</v>
      </c>
    </row>
    <row r="813" spans="1:5" x14ac:dyDescent="0.25">
      <c r="A813" t="s">
        <v>910</v>
      </c>
      <c r="B813">
        <v>2</v>
      </c>
      <c r="D813">
        <v>276</v>
      </c>
      <c r="E813" t="s">
        <v>1115</v>
      </c>
    </row>
    <row r="814" spans="1:5" x14ac:dyDescent="0.25">
      <c r="A814" t="s">
        <v>910</v>
      </c>
      <c r="B814">
        <v>2</v>
      </c>
      <c r="D814">
        <v>277</v>
      </c>
      <c r="E814" t="s">
        <v>1115</v>
      </c>
    </row>
    <row r="815" spans="1:5" x14ac:dyDescent="0.25">
      <c r="A815" t="s">
        <v>910</v>
      </c>
      <c r="B815">
        <v>2</v>
      </c>
      <c r="D815">
        <v>278</v>
      </c>
      <c r="E815" t="s">
        <v>1115</v>
      </c>
    </row>
    <row r="816" spans="1:5" x14ac:dyDescent="0.25">
      <c r="A816" t="s">
        <v>910</v>
      </c>
      <c r="B816">
        <v>2</v>
      </c>
      <c r="D816">
        <v>279</v>
      </c>
      <c r="E816" t="s">
        <v>1113</v>
      </c>
    </row>
    <row r="817" spans="1:5" x14ac:dyDescent="0.25">
      <c r="A817" t="s">
        <v>910</v>
      </c>
      <c r="B817">
        <v>2</v>
      </c>
      <c r="D817">
        <v>280</v>
      </c>
      <c r="E817" t="s">
        <v>1113</v>
      </c>
    </row>
    <row r="818" spans="1:5" x14ac:dyDescent="0.25">
      <c r="A818" t="s">
        <v>910</v>
      </c>
      <c r="B818">
        <v>2</v>
      </c>
      <c r="D818">
        <v>281</v>
      </c>
      <c r="E818" t="s">
        <v>1113</v>
      </c>
    </row>
    <row r="819" spans="1:5" x14ac:dyDescent="0.25">
      <c r="A819" t="s">
        <v>910</v>
      </c>
      <c r="B819">
        <v>2</v>
      </c>
      <c r="D819">
        <v>282</v>
      </c>
      <c r="E819" t="s">
        <v>1113</v>
      </c>
    </row>
    <row r="820" spans="1:5" x14ac:dyDescent="0.25">
      <c r="A820" t="s">
        <v>910</v>
      </c>
      <c r="B820">
        <v>2</v>
      </c>
      <c r="D820">
        <v>283</v>
      </c>
      <c r="E820" t="s">
        <v>1113</v>
      </c>
    </row>
    <row r="821" spans="1:5" x14ac:dyDescent="0.25">
      <c r="A821" t="s">
        <v>910</v>
      </c>
      <c r="B821">
        <v>2</v>
      </c>
      <c r="D821">
        <v>284</v>
      </c>
      <c r="E821" t="s">
        <v>1113</v>
      </c>
    </row>
    <row r="822" spans="1:5" x14ac:dyDescent="0.25">
      <c r="A822" t="s">
        <v>910</v>
      </c>
      <c r="B822">
        <v>2</v>
      </c>
      <c r="D822">
        <v>285</v>
      </c>
      <c r="E822" t="s">
        <v>1113</v>
      </c>
    </row>
    <row r="823" spans="1:5" x14ac:dyDescent="0.25">
      <c r="A823" t="s">
        <v>910</v>
      </c>
      <c r="B823">
        <v>2</v>
      </c>
      <c r="D823">
        <v>286</v>
      </c>
      <c r="E823" t="s">
        <v>1113</v>
      </c>
    </row>
    <row r="824" spans="1:5" x14ac:dyDescent="0.25">
      <c r="A824" t="s">
        <v>910</v>
      </c>
      <c r="B824">
        <v>2</v>
      </c>
      <c r="D824">
        <v>287</v>
      </c>
      <c r="E824" t="s">
        <v>1113</v>
      </c>
    </row>
    <row r="825" spans="1:5" x14ac:dyDescent="0.25">
      <c r="A825" t="s">
        <v>910</v>
      </c>
      <c r="B825">
        <v>2</v>
      </c>
      <c r="D825">
        <v>288</v>
      </c>
      <c r="E825" t="s">
        <v>1113</v>
      </c>
    </row>
    <row r="826" spans="1:5" x14ac:dyDescent="0.25">
      <c r="A826" t="s">
        <v>910</v>
      </c>
      <c r="B826">
        <v>2</v>
      </c>
      <c r="D826">
        <v>289</v>
      </c>
      <c r="E826" t="s">
        <v>1113</v>
      </c>
    </row>
    <row r="827" spans="1:5" x14ac:dyDescent="0.25">
      <c r="A827" t="s">
        <v>910</v>
      </c>
      <c r="B827">
        <v>2</v>
      </c>
      <c r="D827">
        <v>290</v>
      </c>
      <c r="E827" t="s">
        <v>1114</v>
      </c>
    </row>
    <row r="828" spans="1:5" x14ac:dyDescent="0.25">
      <c r="A828" t="s">
        <v>910</v>
      </c>
      <c r="B828">
        <v>2</v>
      </c>
      <c r="D828">
        <v>291</v>
      </c>
      <c r="E828" t="s">
        <v>1114</v>
      </c>
    </row>
    <row r="829" spans="1:5" x14ac:dyDescent="0.25">
      <c r="A829" t="s">
        <v>910</v>
      </c>
      <c r="B829">
        <v>2</v>
      </c>
      <c r="D829" t="s">
        <v>912</v>
      </c>
      <c r="E829" t="s">
        <v>1113</v>
      </c>
    </row>
    <row r="830" spans="1:5" x14ac:dyDescent="0.25">
      <c r="A830" t="s">
        <v>910</v>
      </c>
      <c r="B830">
        <v>2</v>
      </c>
      <c r="D830">
        <v>292</v>
      </c>
      <c r="E830" t="s">
        <v>1113</v>
      </c>
    </row>
    <row r="831" spans="1:5" x14ac:dyDescent="0.25">
      <c r="A831" t="s">
        <v>910</v>
      </c>
      <c r="B831">
        <v>2</v>
      </c>
      <c r="D831">
        <v>293</v>
      </c>
      <c r="E831" t="s">
        <v>1115</v>
      </c>
    </row>
    <row r="832" spans="1:5" x14ac:dyDescent="0.25">
      <c r="A832" t="s">
        <v>910</v>
      </c>
      <c r="B832">
        <v>2</v>
      </c>
      <c r="D832">
        <v>294</v>
      </c>
      <c r="E832" t="s">
        <v>1115</v>
      </c>
    </row>
    <row r="833" spans="1:5" x14ac:dyDescent="0.25">
      <c r="A833" t="s">
        <v>910</v>
      </c>
      <c r="B833">
        <v>3</v>
      </c>
      <c r="C833" t="s">
        <v>1250</v>
      </c>
      <c r="D833">
        <v>310</v>
      </c>
      <c r="E833" t="s">
        <v>1113</v>
      </c>
    </row>
    <row r="834" spans="1:5" x14ac:dyDescent="0.25">
      <c r="A834" t="s">
        <v>910</v>
      </c>
      <c r="B834">
        <v>3</v>
      </c>
      <c r="C834" t="s">
        <v>1250</v>
      </c>
      <c r="D834">
        <v>311</v>
      </c>
      <c r="E834" t="s">
        <v>1113</v>
      </c>
    </row>
    <row r="835" spans="1:5" x14ac:dyDescent="0.25">
      <c r="A835" t="s">
        <v>910</v>
      </c>
      <c r="B835">
        <v>3</v>
      </c>
      <c r="C835" t="s">
        <v>1250</v>
      </c>
      <c r="D835">
        <v>312</v>
      </c>
      <c r="E835" t="s">
        <v>1113</v>
      </c>
    </row>
    <row r="836" spans="1:5" x14ac:dyDescent="0.25">
      <c r="A836" t="s">
        <v>910</v>
      </c>
      <c r="B836">
        <v>3</v>
      </c>
      <c r="C836" t="s">
        <v>1250</v>
      </c>
      <c r="D836">
        <v>313</v>
      </c>
      <c r="E836" t="s">
        <v>1113</v>
      </c>
    </row>
    <row r="837" spans="1:5" x14ac:dyDescent="0.25">
      <c r="A837" t="s">
        <v>910</v>
      </c>
      <c r="B837">
        <v>3</v>
      </c>
      <c r="C837" t="s">
        <v>1250</v>
      </c>
      <c r="D837">
        <v>314</v>
      </c>
      <c r="E837" t="s">
        <v>1113</v>
      </c>
    </row>
    <row r="838" spans="1:5" x14ac:dyDescent="0.25">
      <c r="A838" t="s">
        <v>910</v>
      </c>
      <c r="B838" t="s">
        <v>1120</v>
      </c>
      <c r="D838">
        <v>51</v>
      </c>
      <c r="E838" t="s">
        <v>1114</v>
      </c>
    </row>
    <row r="839" spans="1:5" x14ac:dyDescent="0.25">
      <c r="A839" t="s">
        <v>910</v>
      </c>
      <c r="B839" t="s">
        <v>1120</v>
      </c>
      <c r="D839">
        <v>53</v>
      </c>
      <c r="E839" t="s">
        <v>1114</v>
      </c>
    </row>
    <row r="840" spans="1:5" x14ac:dyDescent="0.25">
      <c r="A840" t="s">
        <v>910</v>
      </c>
      <c r="B840" t="s">
        <v>1120</v>
      </c>
      <c r="D840">
        <v>55</v>
      </c>
      <c r="E840" t="s">
        <v>1113</v>
      </c>
    </row>
    <row r="841" spans="1:5" x14ac:dyDescent="0.25">
      <c r="A841" t="s">
        <v>910</v>
      </c>
      <c r="B841" t="s">
        <v>1120</v>
      </c>
      <c r="D841">
        <v>57</v>
      </c>
      <c r="E841" t="s">
        <v>1114</v>
      </c>
    </row>
    <row r="842" spans="1:5" x14ac:dyDescent="0.25">
      <c r="A842" t="s">
        <v>910</v>
      </c>
      <c r="B842" t="s">
        <v>1120</v>
      </c>
      <c r="D842">
        <v>59</v>
      </c>
      <c r="E842" t="s">
        <v>1114</v>
      </c>
    </row>
    <row r="843" spans="1:5" x14ac:dyDescent="0.25">
      <c r="A843" t="s">
        <v>910</v>
      </c>
      <c r="B843" t="s">
        <v>1120</v>
      </c>
      <c r="D843">
        <v>61</v>
      </c>
      <c r="E843" t="s">
        <v>1114</v>
      </c>
    </row>
    <row r="844" spans="1:5" x14ac:dyDescent="0.25">
      <c r="A844" t="s">
        <v>910</v>
      </c>
      <c r="B844" t="s">
        <v>1120</v>
      </c>
      <c r="D844">
        <v>62</v>
      </c>
      <c r="E844" t="s">
        <v>1114</v>
      </c>
    </row>
    <row r="845" spans="1:5" x14ac:dyDescent="0.25">
      <c r="A845" t="s">
        <v>910</v>
      </c>
      <c r="B845" t="s">
        <v>1120</v>
      </c>
      <c r="D845">
        <v>63</v>
      </c>
      <c r="E845" t="s">
        <v>1114</v>
      </c>
    </row>
    <row r="846" spans="1:5" x14ac:dyDescent="0.25">
      <c r="A846" t="s">
        <v>910</v>
      </c>
      <c r="B846" t="s">
        <v>1120</v>
      </c>
      <c r="D846">
        <v>64</v>
      </c>
      <c r="E846" t="s">
        <v>1114</v>
      </c>
    </row>
    <row r="847" spans="1:5" x14ac:dyDescent="0.25">
      <c r="A847" t="s">
        <v>910</v>
      </c>
      <c r="B847" t="s">
        <v>1120</v>
      </c>
      <c r="D847">
        <v>65</v>
      </c>
      <c r="E847" t="s">
        <v>1114</v>
      </c>
    </row>
    <row r="848" spans="1:5" x14ac:dyDescent="0.25">
      <c r="A848" t="s">
        <v>910</v>
      </c>
      <c r="B848" t="s">
        <v>1120</v>
      </c>
      <c r="D848">
        <v>66</v>
      </c>
      <c r="E848" t="s">
        <v>1114</v>
      </c>
    </row>
    <row r="849" spans="1:5" x14ac:dyDescent="0.25">
      <c r="A849" t="s">
        <v>1098</v>
      </c>
      <c r="B849">
        <v>1</v>
      </c>
      <c r="D849">
        <v>1</v>
      </c>
      <c r="E849" t="s">
        <v>1113</v>
      </c>
    </row>
    <row r="850" spans="1:5" x14ac:dyDescent="0.25">
      <c r="A850" t="s">
        <v>1098</v>
      </c>
      <c r="B850">
        <v>1</v>
      </c>
      <c r="D850">
        <v>10</v>
      </c>
      <c r="E850" t="s">
        <v>1113</v>
      </c>
    </row>
    <row r="851" spans="1:5" x14ac:dyDescent="0.25">
      <c r="A851" t="s">
        <v>1098</v>
      </c>
      <c r="B851">
        <v>1</v>
      </c>
      <c r="D851">
        <v>11</v>
      </c>
      <c r="E851" t="s">
        <v>1113</v>
      </c>
    </row>
    <row r="852" spans="1:5" x14ac:dyDescent="0.25">
      <c r="A852" t="s">
        <v>1098</v>
      </c>
      <c r="B852">
        <v>1</v>
      </c>
      <c r="D852">
        <v>12</v>
      </c>
      <c r="E852" t="s">
        <v>1113</v>
      </c>
    </row>
    <row r="853" spans="1:5" x14ac:dyDescent="0.25">
      <c r="A853" t="s">
        <v>1098</v>
      </c>
      <c r="B853">
        <v>1</v>
      </c>
      <c r="D853">
        <v>13</v>
      </c>
      <c r="E853" t="s">
        <v>1113</v>
      </c>
    </row>
    <row r="854" spans="1:5" x14ac:dyDescent="0.25">
      <c r="A854" t="s">
        <v>1098</v>
      </c>
      <c r="B854">
        <v>1</v>
      </c>
      <c r="D854">
        <v>14</v>
      </c>
      <c r="E854" t="s">
        <v>1113</v>
      </c>
    </row>
    <row r="855" spans="1:5" x14ac:dyDescent="0.25">
      <c r="A855" t="s">
        <v>1098</v>
      </c>
      <c r="B855">
        <v>1</v>
      </c>
      <c r="D855">
        <v>15</v>
      </c>
      <c r="E855" t="s">
        <v>1113</v>
      </c>
    </row>
    <row r="856" spans="1:5" x14ac:dyDescent="0.25">
      <c r="A856" t="s">
        <v>1098</v>
      </c>
      <c r="B856">
        <v>1</v>
      </c>
      <c r="D856">
        <v>16</v>
      </c>
      <c r="E856" t="s">
        <v>1113</v>
      </c>
    </row>
    <row r="857" spans="1:5" x14ac:dyDescent="0.25">
      <c r="A857" t="s">
        <v>1098</v>
      </c>
      <c r="B857">
        <v>1</v>
      </c>
      <c r="D857">
        <v>17</v>
      </c>
      <c r="E857" t="s">
        <v>1113</v>
      </c>
    </row>
    <row r="858" spans="1:5" x14ac:dyDescent="0.25">
      <c r="A858" t="s">
        <v>1098</v>
      </c>
      <c r="B858">
        <v>1</v>
      </c>
      <c r="D858">
        <v>18</v>
      </c>
      <c r="E858" t="s">
        <v>1113</v>
      </c>
    </row>
    <row r="859" spans="1:5" x14ac:dyDescent="0.25">
      <c r="A859" t="s">
        <v>1098</v>
      </c>
      <c r="B859">
        <v>1</v>
      </c>
      <c r="D859">
        <v>19</v>
      </c>
      <c r="E859" t="s">
        <v>1113</v>
      </c>
    </row>
    <row r="860" spans="1:5" x14ac:dyDescent="0.25">
      <c r="A860" t="s">
        <v>1098</v>
      </c>
      <c r="B860">
        <v>1</v>
      </c>
      <c r="D860">
        <v>2</v>
      </c>
      <c r="E860" t="s">
        <v>1113</v>
      </c>
    </row>
    <row r="861" spans="1:5" x14ac:dyDescent="0.25">
      <c r="A861" t="s">
        <v>1098</v>
      </c>
      <c r="B861">
        <v>1</v>
      </c>
      <c r="D861">
        <v>20</v>
      </c>
      <c r="E861" t="s">
        <v>1113</v>
      </c>
    </row>
    <row r="862" spans="1:5" x14ac:dyDescent="0.25">
      <c r="A862" t="s">
        <v>1098</v>
      </c>
      <c r="B862">
        <v>1</v>
      </c>
      <c r="D862">
        <v>21</v>
      </c>
      <c r="E862" t="s">
        <v>1113</v>
      </c>
    </row>
    <row r="863" spans="1:5" x14ac:dyDescent="0.25">
      <c r="A863" t="s">
        <v>1098</v>
      </c>
      <c r="B863">
        <v>1</v>
      </c>
      <c r="D863">
        <v>22</v>
      </c>
      <c r="E863" t="s">
        <v>1113</v>
      </c>
    </row>
    <row r="864" spans="1:5" x14ac:dyDescent="0.25">
      <c r="A864" t="s">
        <v>1098</v>
      </c>
      <c r="B864">
        <v>1</v>
      </c>
      <c r="D864">
        <v>23</v>
      </c>
      <c r="E864" t="s">
        <v>1113</v>
      </c>
    </row>
    <row r="865" spans="1:5" x14ac:dyDescent="0.25">
      <c r="A865" t="s">
        <v>1098</v>
      </c>
      <c r="B865">
        <v>1</v>
      </c>
      <c r="D865">
        <v>3</v>
      </c>
      <c r="E865" t="s">
        <v>1113</v>
      </c>
    </row>
    <row r="866" spans="1:5" x14ac:dyDescent="0.25">
      <c r="A866" t="s">
        <v>1098</v>
      </c>
      <c r="B866">
        <v>1</v>
      </c>
      <c r="D866">
        <v>4</v>
      </c>
      <c r="E866" t="s">
        <v>1113</v>
      </c>
    </row>
    <row r="867" spans="1:5" x14ac:dyDescent="0.25">
      <c r="A867" t="s">
        <v>1098</v>
      </c>
      <c r="B867">
        <v>1</v>
      </c>
      <c r="D867">
        <v>5</v>
      </c>
      <c r="E867" t="s">
        <v>1113</v>
      </c>
    </row>
    <row r="868" spans="1:5" x14ac:dyDescent="0.25">
      <c r="A868" t="s">
        <v>1098</v>
      </c>
      <c r="B868">
        <v>1</v>
      </c>
      <c r="D868">
        <v>6</v>
      </c>
      <c r="E868" t="s">
        <v>1113</v>
      </c>
    </row>
    <row r="869" spans="1:5" x14ac:dyDescent="0.25">
      <c r="A869" t="s">
        <v>1098</v>
      </c>
      <c r="B869">
        <v>1</v>
      </c>
      <c r="D869">
        <v>7</v>
      </c>
      <c r="E869" t="s">
        <v>1113</v>
      </c>
    </row>
    <row r="870" spans="1:5" x14ac:dyDescent="0.25">
      <c r="A870" t="s">
        <v>1098</v>
      </c>
      <c r="B870">
        <v>1</v>
      </c>
      <c r="D870">
        <v>8</v>
      </c>
      <c r="E870" t="s">
        <v>1113</v>
      </c>
    </row>
    <row r="871" spans="1:5" x14ac:dyDescent="0.25">
      <c r="A871" t="s">
        <v>1098</v>
      </c>
      <c r="B871">
        <v>1</v>
      </c>
      <c r="D871">
        <v>9</v>
      </c>
      <c r="E871" t="s">
        <v>1113</v>
      </c>
    </row>
    <row r="872" spans="1:5" x14ac:dyDescent="0.25">
      <c r="A872" t="s">
        <v>1098</v>
      </c>
      <c r="B872">
        <v>2</v>
      </c>
      <c r="D872">
        <v>24</v>
      </c>
      <c r="E872" t="s">
        <v>1113</v>
      </c>
    </row>
    <row r="873" spans="1:5" x14ac:dyDescent="0.25">
      <c r="A873" t="s">
        <v>1098</v>
      </c>
      <c r="B873">
        <v>2</v>
      </c>
      <c r="D873">
        <v>25</v>
      </c>
      <c r="E873" t="s">
        <v>1113</v>
      </c>
    </row>
    <row r="874" spans="1:5" x14ac:dyDescent="0.25">
      <c r="A874" t="s">
        <v>1098</v>
      </c>
      <c r="B874">
        <v>2</v>
      </c>
      <c r="D874">
        <v>26</v>
      </c>
      <c r="E874" t="s">
        <v>1113</v>
      </c>
    </row>
    <row r="875" spans="1:5" x14ac:dyDescent="0.25">
      <c r="A875" t="s">
        <v>1098</v>
      </c>
      <c r="B875">
        <v>2</v>
      </c>
      <c r="D875">
        <v>27</v>
      </c>
      <c r="E875" t="s">
        <v>1113</v>
      </c>
    </row>
    <row r="876" spans="1:5" x14ac:dyDescent="0.25">
      <c r="A876" t="s">
        <v>1098</v>
      </c>
      <c r="B876">
        <v>2</v>
      </c>
      <c r="D876">
        <v>28</v>
      </c>
      <c r="E876" t="s">
        <v>1113</v>
      </c>
    </row>
    <row r="877" spans="1:5" x14ac:dyDescent="0.25">
      <c r="A877" t="s">
        <v>1098</v>
      </c>
      <c r="B877">
        <v>2</v>
      </c>
      <c r="D877">
        <v>29</v>
      </c>
      <c r="E877" t="s">
        <v>1113</v>
      </c>
    </row>
    <row r="878" spans="1:5" x14ac:dyDescent="0.25">
      <c r="A878" t="s">
        <v>1098</v>
      </c>
      <c r="B878">
        <v>2</v>
      </c>
      <c r="D878">
        <v>30</v>
      </c>
      <c r="E878" t="s">
        <v>1113</v>
      </c>
    </row>
    <row r="879" spans="1:5" x14ac:dyDescent="0.25">
      <c r="A879" t="s">
        <v>1098</v>
      </c>
      <c r="B879">
        <v>2</v>
      </c>
      <c r="D879">
        <v>31</v>
      </c>
      <c r="E879" t="s">
        <v>1113</v>
      </c>
    </row>
    <row r="880" spans="1:5" x14ac:dyDescent="0.25">
      <c r="A880" t="s">
        <v>1098</v>
      </c>
      <c r="B880">
        <v>2</v>
      </c>
      <c r="D880">
        <v>32</v>
      </c>
      <c r="E880" t="s">
        <v>1113</v>
      </c>
    </row>
    <row r="881" spans="1:5" x14ac:dyDescent="0.25">
      <c r="A881" t="s">
        <v>1098</v>
      </c>
      <c r="B881">
        <v>2</v>
      </c>
      <c r="D881">
        <v>33</v>
      </c>
      <c r="E881" t="s">
        <v>1113</v>
      </c>
    </row>
    <row r="882" spans="1:5" x14ac:dyDescent="0.25">
      <c r="A882" t="s">
        <v>1098</v>
      </c>
      <c r="B882">
        <v>2</v>
      </c>
      <c r="D882">
        <v>34</v>
      </c>
      <c r="E882" t="s">
        <v>1113</v>
      </c>
    </row>
    <row r="883" spans="1:5" x14ac:dyDescent="0.25">
      <c r="A883" t="s">
        <v>1092</v>
      </c>
      <c r="B883">
        <v>1</v>
      </c>
      <c r="C883" t="s">
        <v>1251</v>
      </c>
      <c r="D883">
        <v>101</v>
      </c>
      <c r="E883" t="s">
        <v>1114</v>
      </c>
    </row>
    <row r="884" spans="1:5" x14ac:dyDescent="0.25">
      <c r="A884" t="s">
        <v>1092</v>
      </c>
      <c r="B884">
        <v>1</v>
      </c>
      <c r="C884" t="s">
        <v>1251</v>
      </c>
      <c r="D884">
        <v>102</v>
      </c>
      <c r="E884" t="s">
        <v>1114</v>
      </c>
    </row>
    <row r="885" spans="1:5" x14ac:dyDescent="0.25">
      <c r="A885" t="s">
        <v>1092</v>
      </c>
      <c r="B885">
        <v>1</v>
      </c>
      <c r="C885" t="s">
        <v>1252</v>
      </c>
      <c r="D885">
        <v>103</v>
      </c>
      <c r="E885" t="s">
        <v>1113</v>
      </c>
    </row>
    <row r="886" spans="1:5" x14ac:dyDescent="0.25">
      <c r="A886" t="s">
        <v>1092</v>
      </c>
      <c r="B886">
        <v>1</v>
      </c>
      <c r="C886" t="s">
        <v>1253</v>
      </c>
      <c r="D886">
        <v>104</v>
      </c>
      <c r="E886" t="s">
        <v>1113</v>
      </c>
    </row>
    <row r="887" spans="1:5" x14ac:dyDescent="0.25">
      <c r="A887" t="s">
        <v>1092</v>
      </c>
      <c r="B887">
        <v>1</v>
      </c>
      <c r="C887" t="s">
        <v>1252</v>
      </c>
      <c r="D887">
        <v>105</v>
      </c>
      <c r="E887" t="s">
        <v>1113</v>
      </c>
    </row>
    <row r="888" spans="1:5" x14ac:dyDescent="0.25">
      <c r="A888" t="s">
        <v>1092</v>
      </c>
      <c r="B888">
        <v>1</v>
      </c>
      <c r="C888" t="s">
        <v>1253</v>
      </c>
      <c r="D888">
        <v>106</v>
      </c>
      <c r="E888" t="s">
        <v>1113</v>
      </c>
    </row>
    <row r="889" spans="1:5" x14ac:dyDescent="0.25">
      <c r="A889" t="s">
        <v>1092</v>
      </c>
      <c r="B889">
        <v>1</v>
      </c>
      <c r="C889" t="s">
        <v>1254</v>
      </c>
      <c r="D889">
        <v>107</v>
      </c>
      <c r="E889" t="s">
        <v>1113</v>
      </c>
    </row>
    <row r="890" spans="1:5" x14ac:dyDescent="0.25">
      <c r="A890" t="s">
        <v>1092</v>
      </c>
      <c r="B890">
        <v>1</v>
      </c>
      <c r="C890" t="s">
        <v>1255</v>
      </c>
      <c r="D890">
        <v>108</v>
      </c>
      <c r="E890" t="s">
        <v>1113</v>
      </c>
    </row>
    <row r="891" spans="1:5" x14ac:dyDescent="0.25">
      <c r="A891" t="s">
        <v>1092</v>
      </c>
      <c r="B891">
        <v>1</v>
      </c>
      <c r="C891" t="s">
        <v>1254</v>
      </c>
      <c r="D891">
        <v>109</v>
      </c>
      <c r="E891" t="s">
        <v>1113</v>
      </c>
    </row>
    <row r="892" spans="1:5" x14ac:dyDescent="0.25">
      <c r="A892" t="s">
        <v>1092</v>
      </c>
      <c r="B892">
        <v>1</v>
      </c>
      <c r="C892" t="s">
        <v>1255</v>
      </c>
      <c r="D892">
        <v>110</v>
      </c>
      <c r="E892" t="s">
        <v>1113</v>
      </c>
    </row>
    <row r="893" spans="1:5" x14ac:dyDescent="0.25">
      <c r="A893" t="s">
        <v>1092</v>
      </c>
      <c r="B893">
        <v>1</v>
      </c>
      <c r="C893" t="s">
        <v>1256</v>
      </c>
      <c r="D893">
        <v>111</v>
      </c>
      <c r="E893" t="s">
        <v>1113</v>
      </c>
    </row>
    <row r="894" spans="1:5" x14ac:dyDescent="0.25">
      <c r="A894" t="s">
        <v>1092</v>
      </c>
      <c r="B894">
        <v>1</v>
      </c>
      <c r="C894" t="s">
        <v>1256</v>
      </c>
      <c r="D894">
        <v>113</v>
      </c>
      <c r="E894" t="s">
        <v>1113</v>
      </c>
    </row>
    <row r="895" spans="1:5" x14ac:dyDescent="0.25">
      <c r="A895" t="s">
        <v>1092</v>
      </c>
      <c r="B895">
        <v>1</v>
      </c>
      <c r="C895" t="s">
        <v>1257</v>
      </c>
      <c r="D895">
        <v>115</v>
      </c>
      <c r="E895" t="s">
        <v>1113</v>
      </c>
    </row>
    <row r="896" spans="1:5" x14ac:dyDescent="0.25">
      <c r="A896" t="s">
        <v>1092</v>
      </c>
      <c r="B896">
        <v>1</v>
      </c>
      <c r="C896" t="s">
        <v>1257</v>
      </c>
      <c r="D896">
        <v>117</v>
      </c>
      <c r="E896" t="s">
        <v>1113</v>
      </c>
    </row>
    <row r="897" spans="1:5" x14ac:dyDescent="0.25">
      <c r="A897" t="s">
        <v>1092</v>
      </c>
      <c r="B897">
        <v>1</v>
      </c>
      <c r="C897" t="s">
        <v>1258</v>
      </c>
      <c r="D897">
        <v>122</v>
      </c>
      <c r="E897" t="s">
        <v>1113</v>
      </c>
    </row>
    <row r="898" spans="1:5" x14ac:dyDescent="0.25">
      <c r="A898" t="s">
        <v>1092</v>
      </c>
      <c r="B898">
        <v>1</v>
      </c>
      <c r="C898" t="s">
        <v>1259</v>
      </c>
      <c r="D898">
        <v>123</v>
      </c>
      <c r="E898" t="s">
        <v>1113</v>
      </c>
    </row>
    <row r="899" spans="1:5" x14ac:dyDescent="0.25">
      <c r="A899" t="s">
        <v>1092</v>
      </c>
      <c r="B899">
        <v>1</v>
      </c>
      <c r="C899" t="s">
        <v>1258</v>
      </c>
      <c r="D899">
        <v>124</v>
      </c>
      <c r="E899" t="s">
        <v>1113</v>
      </c>
    </row>
    <row r="900" spans="1:5" x14ac:dyDescent="0.25">
      <c r="A900" t="s">
        <v>1092</v>
      </c>
      <c r="B900">
        <v>1</v>
      </c>
      <c r="C900" t="s">
        <v>1259</v>
      </c>
      <c r="D900">
        <v>125</v>
      </c>
      <c r="E900" t="s">
        <v>1113</v>
      </c>
    </row>
    <row r="901" spans="1:5" x14ac:dyDescent="0.25">
      <c r="A901" t="s">
        <v>1092</v>
      </c>
      <c r="B901">
        <v>1</v>
      </c>
      <c r="C901" t="s">
        <v>1260</v>
      </c>
      <c r="D901">
        <v>126</v>
      </c>
      <c r="E901" t="s">
        <v>1113</v>
      </c>
    </row>
    <row r="902" spans="1:5" x14ac:dyDescent="0.25">
      <c r="A902" t="s">
        <v>1092</v>
      </c>
      <c r="B902">
        <v>1</v>
      </c>
      <c r="C902" t="s">
        <v>1261</v>
      </c>
      <c r="D902">
        <v>127</v>
      </c>
      <c r="E902" t="s">
        <v>1113</v>
      </c>
    </row>
    <row r="903" spans="1:5" x14ac:dyDescent="0.25">
      <c r="A903" t="s">
        <v>1092</v>
      </c>
      <c r="B903">
        <v>1</v>
      </c>
      <c r="C903" t="s">
        <v>1260</v>
      </c>
      <c r="D903">
        <v>128</v>
      </c>
      <c r="E903" t="s">
        <v>1113</v>
      </c>
    </row>
    <row r="904" spans="1:5" x14ac:dyDescent="0.25">
      <c r="A904" t="s">
        <v>1092</v>
      </c>
      <c r="B904">
        <v>1</v>
      </c>
      <c r="C904" t="s">
        <v>1261</v>
      </c>
      <c r="D904">
        <v>129</v>
      </c>
      <c r="E904" t="s">
        <v>1113</v>
      </c>
    </row>
    <row r="905" spans="1:5" x14ac:dyDescent="0.25">
      <c r="A905" t="s">
        <v>1092</v>
      </c>
      <c r="B905">
        <v>1</v>
      </c>
      <c r="C905" t="s">
        <v>1262</v>
      </c>
      <c r="D905">
        <v>138</v>
      </c>
      <c r="E905" t="s">
        <v>1113</v>
      </c>
    </row>
    <row r="906" spans="1:5" x14ac:dyDescent="0.25">
      <c r="A906" t="s">
        <v>1092</v>
      </c>
      <c r="B906">
        <v>1</v>
      </c>
      <c r="C906" t="s">
        <v>1263</v>
      </c>
      <c r="D906">
        <v>139</v>
      </c>
      <c r="E906" t="s">
        <v>1113</v>
      </c>
    </row>
    <row r="907" spans="1:5" x14ac:dyDescent="0.25">
      <c r="A907" t="s">
        <v>1092</v>
      </c>
      <c r="B907">
        <v>1</v>
      </c>
      <c r="C907" t="s">
        <v>1262</v>
      </c>
      <c r="D907">
        <v>140</v>
      </c>
      <c r="E907" t="s">
        <v>1113</v>
      </c>
    </row>
    <row r="908" spans="1:5" x14ac:dyDescent="0.25">
      <c r="A908" t="s">
        <v>1092</v>
      </c>
      <c r="B908">
        <v>1</v>
      </c>
      <c r="C908" t="s">
        <v>1263</v>
      </c>
      <c r="D908">
        <v>141</v>
      </c>
      <c r="E908" t="s">
        <v>1113</v>
      </c>
    </row>
    <row r="909" spans="1:5" x14ac:dyDescent="0.25">
      <c r="A909" t="s">
        <v>1092</v>
      </c>
      <c r="B909">
        <v>1</v>
      </c>
      <c r="C909" t="s">
        <v>1264</v>
      </c>
      <c r="D909">
        <v>142</v>
      </c>
      <c r="E909" t="s">
        <v>1113</v>
      </c>
    </row>
    <row r="910" spans="1:5" x14ac:dyDescent="0.25">
      <c r="A910" t="s">
        <v>1092</v>
      </c>
      <c r="B910">
        <v>1</v>
      </c>
      <c r="C910" t="s">
        <v>1265</v>
      </c>
      <c r="D910">
        <v>143</v>
      </c>
      <c r="E910" t="s">
        <v>1113</v>
      </c>
    </row>
    <row r="911" spans="1:5" x14ac:dyDescent="0.25">
      <c r="A911" t="s">
        <v>1092</v>
      </c>
      <c r="B911">
        <v>1</v>
      </c>
      <c r="C911" t="s">
        <v>1264</v>
      </c>
      <c r="D911">
        <v>144</v>
      </c>
      <c r="E911" t="s">
        <v>1113</v>
      </c>
    </row>
    <row r="912" spans="1:5" x14ac:dyDescent="0.25">
      <c r="A912" t="s">
        <v>1092</v>
      </c>
      <c r="B912">
        <v>1</v>
      </c>
      <c r="C912" t="s">
        <v>1265</v>
      </c>
      <c r="D912">
        <v>145</v>
      </c>
      <c r="E912" t="s">
        <v>1113</v>
      </c>
    </row>
    <row r="913" spans="1:5" x14ac:dyDescent="0.25">
      <c r="A913" t="s">
        <v>1092</v>
      </c>
      <c r="B913">
        <v>1</v>
      </c>
      <c r="C913" t="s">
        <v>1266</v>
      </c>
      <c r="D913">
        <v>147</v>
      </c>
      <c r="E913" t="s">
        <v>1114</v>
      </c>
    </row>
    <row r="914" spans="1:5" x14ac:dyDescent="0.25">
      <c r="A914" t="s">
        <v>1092</v>
      </c>
      <c r="B914">
        <v>1</v>
      </c>
      <c r="C914" t="s">
        <v>1266</v>
      </c>
      <c r="D914">
        <v>149</v>
      </c>
      <c r="E914" t="s">
        <v>1114</v>
      </c>
    </row>
    <row r="915" spans="1:5" x14ac:dyDescent="0.25">
      <c r="A915" t="s">
        <v>1092</v>
      </c>
      <c r="B915">
        <v>1</v>
      </c>
      <c r="C915" t="s">
        <v>1267</v>
      </c>
      <c r="D915">
        <v>151</v>
      </c>
      <c r="E915" t="s">
        <v>1113</v>
      </c>
    </row>
    <row r="916" spans="1:5" x14ac:dyDescent="0.25">
      <c r="A916" t="s">
        <v>1092</v>
      </c>
      <c r="B916">
        <v>1</v>
      </c>
      <c r="C916" t="s">
        <v>1267</v>
      </c>
      <c r="D916">
        <v>153</v>
      </c>
      <c r="E916" t="s">
        <v>1113</v>
      </c>
    </row>
    <row r="917" spans="1:5" x14ac:dyDescent="0.25">
      <c r="A917" t="s">
        <v>1092</v>
      </c>
      <c r="B917">
        <v>1</v>
      </c>
      <c r="C917" t="s">
        <v>1268</v>
      </c>
      <c r="D917">
        <v>155</v>
      </c>
      <c r="E917" t="s">
        <v>1113</v>
      </c>
    </row>
    <row r="918" spans="1:5" x14ac:dyDescent="0.25">
      <c r="A918" t="s">
        <v>1092</v>
      </c>
      <c r="B918">
        <v>1</v>
      </c>
      <c r="C918" t="s">
        <v>1268</v>
      </c>
      <c r="D918">
        <v>157</v>
      </c>
      <c r="E918" t="s">
        <v>1113</v>
      </c>
    </row>
    <row r="919" spans="1:5" x14ac:dyDescent="0.25">
      <c r="A919" t="s">
        <v>1092</v>
      </c>
      <c r="B919">
        <v>1</v>
      </c>
      <c r="C919" t="s">
        <v>1269</v>
      </c>
      <c r="D919">
        <v>159</v>
      </c>
      <c r="E919" t="s">
        <v>1113</v>
      </c>
    </row>
    <row r="920" spans="1:5" x14ac:dyDescent="0.25">
      <c r="A920" t="s">
        <v>1092</v>
      </c>
      <c r="B920">
        <v>1</v>
      </c>
      <c r="C920" t="s">
        <v>1270</v>
      </c>
      <c r="D920">
        <v>160</v>
      </c>
      <c r="E920" t="s">
        <v>1113</v>
      </c>
    </row>
    <row r="921" spans="1:5" x14ac:dyDescent="0.25">
      <c r="A921" t="s">
        <v>1092</v>
      </c>
      <c r="B921">
        <v>1</v>
      </c>
      <c r="C921" t="s">
        <v>1269</v>
      </c>
      <c r="D921">
        <v>161</v>
      </c>
      <c r="E921" t="s">
        <v>1113</v>
      </c>
    </row>
    <row r="922" spans="1:5" x14ac:dyDescent="0.25">
      <c r="A922" t="s">
        <v>1092</v>
      </c>
      <c r="B922">
        <v>1</v>
      </c>
      <c r="C922" t="s">
        <v>1270</v>
      </c>
      <c r="D922">
        <v>162</v>
      </c>
      <c r="E922" t="s">
        <v>1113</v>
      </c>
    </row>
    <row r="923" spans="1:5" x14ac:dyDescent="0.25">
      <c r="A923" t="s">
        <v>1092</v>
      </c>
      <c r="B923">
        <v>1</v>
      </c>
      <c r="C923" t="s">
        <v>1271</v>
      </c>
      <c r="D923">
        <v>163</v>
      </c>
      <c r="E923" t="s">
        <v>1113</v>
      </c>
    </row>
    <row r="924" spans="1:5" x14ac:dyDescent="0.25">
      <c r="A924" t="s">
        <v>1092</v>
      </c>
      <c r="B924">
        <v>1</v>
      </c>
      <c r="C924" t="s">
        <v>1272</v>
      </c>
      <c r="D924">
        <v>164</v>
      </c>
      <c r="E924" t="s">
        <v>1113</v>
      </c>
    </row>
    <row r="925" spans="1:5" x14ac:dyDescent="0.25">
      <c r="A925" t="s">
        <v>1092</v>
      </c>
      <c r="B925">
        <v>1</v>
      </c>
      <c r="C925" t="s">
        <v>1271</v>
      </c>
      <c r="D925">
        <v>165</v>
      </c>
      <c r="E925" t="s">
        <v>1113</v>
      </c>
    </row>
    <row r="926" spans="1:5" x14ac:dyDescent="0.25">
      <c r="A926" t="s">
        <v>1092</v>
      </c>
      <c r="B926">
        <v>1</v>
      </c>
      <c r="C926" t="s">
        <v>1272</v>
      </c>
      <c r="D926">
        <v>166</v>
      </c>
      <c r="E926" t="s">
        <v>1113</v>
      </c>
    </row>
    <row r="927" spans="1:5" x14ac:dyDescent="0.25">
      <c r="A927" t="s">
        <v>1092</v>
      </c>
      <c r="B927">
        <v>1</v>
      </c>
      <c r="C927" t="s">
        <v>1273</v>
      </c>
      <c r="D927">
        <v>167</v>
      </c>
      <c r="E927" t="s">
        <v>1114</v>
      </c>
    </row>
    <row r="928" spans="1:5" x14ac:dyDescent="0.25">
      <c r="A928" t="s">
        <v>1092</v>
      </c>
      <c r="B928">
        <v>1</v>
      </c>
      <c r="C928" t="s">
        <v>1273</v>
      </c>
      <c r="D928">
        <v>168</v>
      </c>
      <c r="E928" t="s">
        <v>1114</v>
      </c>
    </row>
    <row r="929" spans="1:5" x14ac:dyDescent="0.25">
      <c r="A929" t="s">
        <v>1092</v>
      </c>
      <c r="B929">
        <v>1</v>
      </c>
      <c r="D929">
        <v>71</v>
      </c>
      <c r="E929" t="s">
        <v>1230</v>
      </c>
    </row>
    <row r="930" spans="1:5" x14ac:dyDescent="0.25">
      <c r="A930" t="s">
        <v>1092</v>
      </c>
      <c r="B930">
        <v>2</v>
      </c>
      <c r="C930" t="s">
        <v>1274</v>
      </c>
      <c r="D930">
        <v>201</v>
      </c>
      <c r="E930" t="s">
        <v>1114</v>
      </c>
    </row>
    <row r="931" spans="1:5" x14ac:dyDescent="0.25">
      <c r="A931" t="s">
        <v>1092</v>
      </c>
      <c r="B931">
        <v>2</v>
      </c>
      <c r="C931" t="s">
        <v>1274</v>
      </c>
      <c r="D931">
        <v>202</v>
      </c>
      <c r="E931" t="s">
        <v>1114</v>
      </c>
    </row>
    <row r="932" spans="1:5" x14ac:dyDescent="0.25">
      <c r="A932" t="s">
        <v>1092</v>
      </c>
      <c r="B932">
        <v>2</v>
      </c>
      <c r="C932" t="s">
        <v>1275</v>
      </c>
      <c r="D932">
        <v>203</v>
      </c>
      <c r="E932" t="s">
        <v>1113</v>
      </c>
    </row>
    <row r="933" spans="1:5" x14ac:dyDescent="0.25">
      <c r="A933" t="s">
        <v>1092</v>
      </c>
      <c r="B933">
        <v>2</v>
      </c>
      <c r="C933" t="s">
        <v>1276</v>
      </c>
      <c r="D933">
        <v>204</v>
      </c>
      <c r="E933" t="s">
        <v>1113</v>
      </c>
    </row>
    <row r="934" spans="1:5" x14ac:dyDescent="0.25">
      <c r="A934" t="s">
        <v>1092</v>
      </c>
      <c r="B934">
        <v>2</v>
      </c>
      <c r="C934" t="s">
        <v>1275</v>
      </c>
      <c r="D934">
        <v>205</v>
      </c>
      <c r="E934" t="s">
        <v>1113</v>
      </c>
    </row>
    <row r="935" spans="1:5" x14ac:dyDescent="0.25">
      <c r="A935" t="s">
        <v>1092</v>
      </c>
      <c r="B935">
        <v>2</v>
      </c>
      <c r="C935" t="s">
        <v>1276</v>
      </c>
      <c r="D935">
        <v>206</v>
      </c>
      <c r="E935" t="s">
        <v>1113</v>
      </c>
    </row>
    <row r="936" spans="1:5" x14ac:dyDescent="0.25">
      <c r="A936" t="s">
        <v>1092</v>
      </c>
      <c r="B936">
        <v>2</v>
      </c>
      <c r="C936" t="s">
        <v>1277</v>
      </c>
      <c r="D936">
        <v>207</v>
      </c>
      <c r="E936" t="s">
        <v>1113</v>
      </c>
    </row>
    <row r="937" spans="1:5" x14ac:dyDescent="0.25">
      <c r="A937" t="s">
        <v>1092</v>
      </c>
      <c r="B937">
        <v>2</v>
      </c>
      <c r="C937" t="s">
        <v>1278</v>
      </c>
      <c r="D937">
        <v>208</v>
      </c>
      <c r="E937" t="s">
        <v>1113</v>
      </c>
    </row>
    <row r="938" spans="1:5" x14ac:dyDescent="0.25">
      <c r="A938" t="s">
        <v>1092</v>
      </c>
      <c r="B938">
        <v>2</v>
      </c>
      <c r="C938" t="s">
        <v>1277</v>
      </c>
      <c r="D938">
        <v>209</v>
      </c>
      <c r="E938" t="s">
        <v>1113</v>
      </c>
    </row>
    <row r="939" spans="1:5" x14ac:dyDescent="0.25">
      <c r="A939" t="s">
        <v>1092</v>
      </c>
      <c r="B939">
        <v>2</v>
      </c>
      <c r="C939" t="s">
        <v>1278</v>
      </c>
      <c r="D939">
        <v>210</v>
      </c>
      <c r="E939" t="s">
        <v>1113</v>
      </c>
    </row>
    <row r="940" spans="1:5" x14ac:dyDescent="0.25">
      <c r="A940" t="s">
        <v>1092</v>
      </c>
      <c r="B940">
        <v>2</v>
      </c>
      <c r="C940" t="s">
        <v>1279</v>
      </c>
      <c r="D940">
        <v>211</v>
      </c>
      <c r="E940" t="s">
        <v>1113</v>
      </c>
    </row>
    <row r="941" spans="1:5" x14ac:dyDescent="0.25">
      <c r="A941" t="s">
        <v>1092</v>
      </c>
      <c r="B941">
        <v>2</v>
      </c>
      <c r="C941" t="s">
        <v>1279</v>
      </c>
      <c r="D941">
        <v>213</v>
      </c>
      <c r="E941" t="s">
        <v>1113</v>
      </c>
    </row>
    <row r="942" spans="1:5" x14ac:dyDescent="0.25">
      <c r="A942" t="s">
        <v>1092</v>
      </c>
      <c r="B942">
        <v>2</v>
      </c>
      <c r="C942" t="s">
        <v>1280</v>
      </c>
      <c r="D942">
        <v>215</v>
      </c>
      <c r="E942" t="s">
        <v>1113</v>
      </c>
    </row>
    <row r="943" spans="1:5" x14ac:dyDescent="0.25">
      <c r="A943" t="s">
        <v>1092</v>
      </c>
      <c r="B943">
        <v>2</v>
      </c>
      <c r="C943" t="s">
        <v>1280</v>
      </c>
      <c r="D943">
        <v>217</v>
      </c>
      <c r="E943" t="s">
        <v>1113</v>
      </c>
    </row>
    <row r="944" spans="1:5" x14ac:dyDescent="0.25">
      <c r="A944" t="s">
        <v>1092</v>
      </c>
      <c r="B944">
        <v>2</v>
      </c>
      <c r="C944" t="s">
        <v>1281</v>
      </c>
      <c r="D944">
        <v>222</v>
      </c>
      <c r="E944" t="s">
        <v>1113</v>
      </c>
    </row>
    <row r="945" spans="1:5" x14ac:dyDescent="0.25">
      <c r="A945" t="s">
        <v>1092</v>
      </c>
      <c r="B945">
        <v>2</v>
      </c>
      <c r="C945" t="s">
        <v>1282</v>
      </c>
      <c r="D945">
        <v>223</v>
      </c>
      <c r="E945" t="s">
        <v>1113</v>
      </c>
    </row>
    <row r="946" spans="1:5" x14ac:dyDescent="0.25">
      <c r="A946" t="s">
        <v>1092</v>
      </c>
      <c r="B946">
        <v>2</v>
      </c>
      <c r="C946" t="s">
        <v>1281</v>
      </c>
      <c r="D946">
        <v>224</v>
      </c>
      <c r="E946" t="s">
        <v>1113</v>
      </c>
    </row>
    <row r="947" spans="1:5" x14ac:dyDescent="0.25">
      <c r="A947" t="s">
        <v>1092</v>
      </c>
      <c r="B947">
        <v>2</v>
      </c>
      <c r="C947" t="s">
        <v>1282</v>
      </c>
      <c r="D947">
        <v>225</v>
      </c>
      <c r="E947" t="s">
        <v>1113</v>
      </c>
    </row>
    <row r="948" spans="1:5" x14ac:dyDescent="0.25">
      <c r="A948" t="s">
        <v>1092</v>
      </c>
      <c r="B948">
        <v>2</v>
      </c>
      <c r="C948" t="s">
        <v>1283</v>
      </c>
      <c r="D948">
        <v>226</v>
      </c>
      <c r="E948" t="s">
        <v>1113</v>
      </c>
    </row>
    <row r="949" spans="1:5" x14ac:dyDescent="0.25">
      <c r="A949" t="s">
        <v>1092</v>
      </c>
      <c r="B949">
        <v>2</v>
      </c>
      <c r="C949" t="s">
        <v>1284</v>
      </c>
      <c r="D949">
        <v>227</v>
      </c>
      <c r="E949" t="s">
        <v>1113</v>
      </c>
    </row>
    <row r="950" spans="1:5" x14ac:dyDescent="0.25">
      <c r="A950" t="s">
        <v>1092</v>
      </c>
      <c r="B950">
        <v>2</v>
      </c>
      <c r="C950" t="s">
        <v>1283</v>
      </c>
      <c r="D950">
        <v>228</v>
      </c>
      <c r="E950" t="s">
        <v>1113</v>
      </c>
    </row>
    <row r="951" spans="1:5" x14ac:dyDescent="0.25">
      <c r="A951" t="s">
        <v>1092</v>
      </c>
      <c r="B951">
        <v>2</v>
      </c>
      <c r="C951" t="s">
        <v>1284</v>
      </c>
      <c r="D951">
        <v>229</v>
      </c>
      <c r="E951" t="s">
        <v>1113</v>
      </c>
    </row>
    <row r="952" spans="1:5" x14ac:dyDescent="0.25">
      <c r="A952" t="s">
        <v>1092</v>
      </c>
      <c r="B952">
        <v>2</v>
      </c>
      <c r="D952">
        <v>230</v>
      </c>
      <c r="E952" t="s">
        <v>1113</v>
      </c>
    </row>
    <row r="953" spans="1:5" x14ac:dyDescent="0.25">
      <c r="A953" t="s">
        <v>1092</v>
      </c>
      <c r="B953">
        <v>2</v>
      </c>
      <c r="D953">
        <v>231</v>
      </c>
      <c r="E953" t="s">
        <v>1113</v>
      </c>
    </row>
    <row r="954" spans="1:5" x14ac:dyDescent="0.25">
      <c r="A954" t="s">
        <v>1092</v>
      </c>
      <c r="B954">
        <v>2</v>
      </c>
      <c r="D954">
        <v>232</v>
      </c>
      <c r="E954" t="s">
        <v>1113</v>
      </c>
    </row>
    <row r="955" spans="1:5" x14ac:dyDescent="0.25">
      <c r="A955" t="s">
        <v>1092</v>
      </c>
      <c r="B955">
        <v>2</v>
      </c>
      <c r="D955">
        <v>234</v>
      </c>
      <c r="E955" t="s">
        <v>1113</v>
      </c>
    </row>
    <row r="956" spans="1:5" x14ac:dyDescent="0.25">
      <c r="A956" t="s">
        <v>1092</v>
      </c>
      <c r="B956">
        <v>2</v>
      </c>
      <c r="D956">
        <v>236</v>
      </c>
      <c r="E956" t="s">
        <v>1113</v>
      </c>
    </row>
    <row r="957" spans="1:5" x14ac:dyDescent="0.25">
      <c r="A957" t="s">
        <v>1092</v>
      </c>
      <c r="B957">
        <v>2</v>
      </c>
      <c r="D957">
        <v>237</v>
      </c>
      <c r="E957" t="s">
        <v>1113</v>
      </c>
    </row>
    <row r="958" spans="1:5" x14ac:dyDescent="0.25">
      <c r="A958" t="s">
        <v>1092</v>
      </c>
      <c r="B958">
        <v>2</v>
      </c>
      <c r="C958" t="s">
        <v>1285</v>
      </c>
      <c r="D958">
        <v>238</v>
      </c>
      <c r="E958" t="s">
        <v>1113</v>
      </c>
    </row>
    <row r="959" spans="1:5" x14ac:dyDescent="0.25">
      <c r="A959" t="s">
        <v>1092</v>
      </c>
      <c r="B959">
        <v>2</v>
      </c>
      <c r="C959" t="s">
        <v>1286</v>
      </c>
      <c r="D959">
        <v>239</v>
      </c>
      <c r="E959" t="s">
        <v>1113</v>
      </c>
    </row>
    <row r="960" spans="1:5" x14ac:dyDescent="0.25">
      <c r="A960" t="s">
        <v>1092</v>
      </c>
      <c r="B960">
        <v>2</v>
      </c>
      <c r="C960" t="s">
        <v>1285</v>
      </c>
      <c r="D960">
        <v>240</v>
      </c>
      <c r="E960" t="s">
        <v>1113</v>
      </c>
    </row>
    <row r="961" spans="1:5" x14ac:dyDescent="0.25">
      <c r="A961" t="s">
        <v>1092</v>
      </c>
      <c r="B961">
        <v>2</v>
      </c>
      <c r="C961" t="s">
        <v>1286</v>
      </c>
      <c r="D961">
        <v>241</v>
      </c>
      <c r="E961" t="s">
        <v>1113</v>
      </c>
    </row>
    <row r="962" spans="1:5" x14ac:dyDescent="0.25">
      <c r="A962" t="s">
        <v>1092</v>
      </c>
      <c r="B962">
        <v>2</v>
      </c>
      <c r="C962" t="s">
        <v>1287</v>
      </c>
      <c r="D962">
        <v>242</v>
      </c>
      <c r="E962" t="s">
        <v>1113</v>
      </c>
    </row>
    <row r="963" spans="1:5" x14ac:dyDescent="0.25">
      <c r="A963" t="s">
        <v>1092</v>
      </c>
      <c r="B963">
        <v>2</v>
      </c>
      <c r="C963" t="s">
        <v>1288</v>
      </c>
      <c r="D963">
        <v>243</v>
      </c>
      <c r="E963" t="s">
        <v>1113</v>
      </c>
    </row>
    <row r="964" spans="1:5" x14ac:dyDescent="0.25">
      <c r="A964" t="s">
        <v>1092</v>
      </c>
      <c r="B964">
        <v>2</v>
      </c>
      <c r="C964" t="s">
        <v>1287</v>
      </c>
      <c r="D964">
        <v>244</v>
      </c>
      <c r="E964" t="s">
        <v>1113</v>
      </c>
    </row>
    <row r="965" spans="1:5" x14ac:dyDescent="0.25">
      <c r="A965" t="s">
        <v>1092</v>
      </c>
      <c r="B965">
        <v>2</v>
      </c>
      <c r="C965" t="s">
        <v>1288</v>
      </c>
      <c r="D965">
        <v>245</v>
      </c>
      <c r="E965" t="s">
        <v>1113</v>
      </c>
    </row>
    <row r="966" spans="1:5" x14ac:dyDescent="0.25">
      <c r="A966" t="s">
        <v>1092</v>
      </c>
      <c r="B966">
        <v>2</v>
      </c>
      <c r="C966" t="s">
        <v>1289</v>
      </c>
      <c r="D966">
        <v>251</v>
      </c>
      <c r="E966" t="s">
        <v>1113</v>
      </c>
    </row>
    <row r="967" spans="1:5" x14ac:dyDescent="0.25">
      <c r="A967" t="s">
        <v>1092</v>
      </c>
      <c r="B967">
        <v>2</v>
      </c>
      <c r="C967" t="s">
        <v>1289</v>
      </c>
      <c r="D967">
        <v>253</v>
      </c>
      <c r="E967" t="s">
        <v>1113</v>
      </c>
    </row>
    <row r="968" spans="1:5" x14ac:dyDescent="0.25">
      <c r="A968" t="s">
        <v>1092</v>
      </c>
      <c r="B968">
        <v>2</v>
      </c>
      <c r="C968" t="s">
        <v>1290</v>
      </c>
      <c r="D968">
        <v>255</v>
      </c>
      <c r="E968" t="s">
        <v>1113</v>
      </c>
    </row>
    <row r="969" spans="1:5" x14ac:dyDescent="0.25">
      <c r="A969" t="s">
        <v>1092</v>
      </c>
      <c r="B969">
        <v>2</v>
      </c>
      <c r="C969" t="s">
        <v>1290</v>
      </c>
      <c r="D969">
        <v>257</v>
      </c>
      <c r="E969" t="s">
        <v>1113</v>
      </c>
    </row>
    <row r="970" spans="1:5" x14ac:dyDescent="0.25">
      <c r="A970" t="s">
        <v>1092</v>
      </c>
      <c r="B970">
        <v>2</v>
      </c>
      <c r="C970" t="s">
        <v>1291</v>
      </c>
      <c r="D970">
        <v>259</v>
      </c>
      <c r="E970" t="s">
        <v>1113</v>
      </c>
    </row>
    <row r="971" spans="1:5" x14ac:dyDescent="0.25">
      <c r="A971" t="s">
        <v>1092</v>
      </c>
      <c r="B971">
        <v>2</v>
      </c>
      <c r="C971" t="s">
        <v>1292</v>
      </c>
      <c r="D971">
        <v>260</v>
      </c>
      <c r="E971" t="s">
        <v>1113</v>
      </c>
    </row>
    <row r="972" spans="1:5" x14ac:dyDescent="0.25">
      <c r="A972" t="s">
        <v>1092</v>
      </c>
      <c r="B972">
        <v>2</v>
      </c>
      <c r="C972" t="s">
        <v>1291</v>
      </c>
      <c r="D972">
        <v>261</v>
      </c>
      <c r="E972" t="s">
        <v>1113</v>
      </c>
    </row>
    <row r="973" spans="1:5" x14ac:dyDescent="0.25">
      <c r="A973" t="s">
        <v>1092</v>
      </c>
      <c r="B973">
        <v>2</v>
      </c>
      <c r="C973" t="s">
        <v>1292</v>
      </c>
      <c r="D973">
        <v>262</v>
      </c>
      <c r="E973" t="s">
        <v>1113</v>
      </c>
    </row>
    <row r="974" spans="1:5" x14ac:dyDescent="0.25">
      <c r="A974" t="s">
        <v>1092</v>
      </c>
      <c r="B974">
        <v>2</v>
      </c>
      <c r="C974" t="s">
        <v>1293</v>
      </c>
      <c r="D974">
        <v>263</v>
      </c>
      <c r="E974" t="s">
        <v>1113</v>
      </c>
    </row>
    <row r="975" spans="1:5" x14ac:dyDescent="0.25">
      <c r="A975" t="s">
        <v>1092</v>
      </c>
      <c r="B975">
        <v>2</v>
      </c>
      <c r="C975" t="s">
        <v>1294</v>
      </c>
      <c r="D975">
        <v>264</v>
      </c>
      <c r="E975" t="s">
        <v>1113</v>
      </c>
    </row>
    <row r="976" spans="1:5" x14ac:dyDescent="0.25">
      <c r="A976" t="s">
        <v>1092</v>
      </c>
      <c r="B976">
        <v>2</v>
      </c>
      <c r="C976" t="s">
        <v>1293</v>
      </c>
      <c r="D976">
        <v>265</v>
      </c>
      <c r="E976" t="s">
        <v>1113</v>
      </c>
    </row>
    <row r="977" spans="1:5" x14ac:dyDescent="0.25">
      <c r="A977" t="s">
        <v>1092</v>
      </c>
      <c r="B977">
        <v>2</v>
      </c>
      <c r="C977" t="s">
        <v>1294</v>
      </c>
      <c r="D977">
        <v>266</v>
      </c>
      <c r="E977" t="s">
        <v>1113</v>
      </c>
    </row>
    <row r="978" spans="1:5" x14ac:dyDescent="0.25">
      <c r="A978" t="s">
        <v>1092</v>
      </c>
      <c r="B978">
        <v>2</v>
      </c>
      <c r="C978" t="s">
        <v>1295</v>
      </c>
      <c r="D978">
        <v>267</v>
      </c>
      <c r="E978" t="s">
        <v>1114</v>
      </c>
    </row>
    <row r="979" spans="1:5" x14ac:dyDescent="0.25">
      <c r="A979" t="s">
        <v>1092</v>
      </c>
      <c r="B979">
        <v>2</v>
      </c>
      <c r="C979" t="s">
        <v>1295</v>
      </c>
      <c r="D979">
        <v>268</v>
      </c>
      <c r="E979" t="s">
        <v>1114</v>
      </c>
    </row>
    <row r="980" spans="1:5" x14ac:dyDescent="0.25">
      <c r="A980" t="s">
        <v>1092</v>
      </c>
      <c r="B980">
        <v>3</v>
      </c>
      <c r="C980" t="s">
        <v>1296</v>
      </c>
      <c r="D980">
        <v>301</v>
      </c>
      <c r="E980" t="s">
        <v>1114</v>
      </c>
    </row>
    <row r="981" spans="1:5" x14ac:dyDescent="0.25">
      <c r="A981" t="s">
        <v>1092</v>
      </c>
      <c r="B981">
        <v>3</v>
      </c>
      <c r="C981" t="s">
        <v>1296</v>
      </c>
      <c r="D981">
        <v>302</v>
      </c>
      <c r="E981" t="s">
        <v>1114</v>
      </c>
    </row>
    <row r="982" spans="1:5" x14ac:dyDescent="0.25">
      <c r="A982" t="s">
        <v>1092</v>
      </c>
      <c r="B982">
        <v>3</v>
      </c>
      <c r="C982" t="s">
        <v>1297</v>
      </c>
      <c r="D982">
        <v>303</v>
      </c>
      <c r="E982" t="s">
        <v>1114</v>
      </c>
    </row>
    <row r="983" spans="1:5" x14ac:dyDescent="0.25">
      <c r="A983" t="s">
        <v>1092</v>
      </c>
      <c r="B983">
        <v>3</v>
      </c>
      <c r="C983" t="s">
        <v>1297</v>
      </c>
      <c r="D983">
        <v>305</v>
      </c>
      <c r="E983" t="s">
        <v>1114</v>
      </c>
    </row>
    <row r="984" spans="1:5" x14ac:dyDescent="0.25">
      <c r="A984" t="s">
        <v>1092</v>
      </c>
      <c r="B984">
        <v>3</v>
      </c>
      <c r="C984" t="s">
        <v>1298</v>
      </c>
      <c r="D984">
        <v>307</v>
      </c>
      <c r="E984" t="s">
        <v>1114</v>
      </c>
    </row>
    <row r="985" spans="1:5" x14ac:dyDescent="0.25">
      <c r="A985" t="s">
        <v>1092</v>
      </c>
      <c r="B985">
        <v>3</v>
      </c>
      <c r="C985" t="s">
        <v>1298</v>
      </c>
      <c r="D985">
        <v>309</v>
      </c>
      <c r="E985" t="s">
        <v>1114</v>
      </c>
    </row>
    <row r="986" spans="1:5" x14ac:dyDescent="0.25">
      <c r="A986" t="s">
        <v>1092</v>
      </c>
      <c r="B986">
        <v>3</v>
      </c>
      <c r="D986">
        <v>356</v>
      </c>
      <c r="E986" t="s">
        <v>1113</v>
      </c>
    </row>
    <row r="987" spans="1:5" x14ac:dyDescent="0.25">
      <c r="A987" t="s">
        <v>1092</v>
      </c>
      <c r="B987">
        <v>3</v>
      </c>
      <c r="D987">
        <v>358</v>
      </c>
      <c r="E987" t="s">
        <v>1113</v>
      </c>
    </row>
    <row r="988" spans="1:5" x14ac:dyDescent="0.25">
      <c r="A988" t="s">
        <v>1092</v>
      </c>
      <c r="B988">
        <v>3</v>
      </c>
      <c r="C988" t="s">
        <v>1299</v>
      </c>
      <c r="D988">
        <v>359</v>
      </c>
      <c r="E988" t="s">
        <v>1113</v>
      </c>
    </row>
    <row r="989" spans="1:5" x14ac:dyDescent="0.25">
      <c r="A989" t="s">
        <v>1092</v>
      </c>
      <c r="B989">
        <v>3</v>
      </c>
      <c r="D989">
        <v>360</v>
      </c>
      <c r="E989" t="s">
        <v>1113</v>
      </c>
    </row>
    <row r="990" spans="1:5" x14ac:dyDescent="0.25">
      <c r="A990" t="s">
        <v>1092</v>
      </c>
      <c r="B990">
        <v>3</v>
      </c>
      <c r="C990" t="s">
        <v>1299</v>
      </c>
      <c r="D990">
        <v>361</v>
      </c>
      <c r="E990" t="s">
        <v>1113</v>
      </c>
    </row>
    <row r="991" spans="1:5" x14ac:dyDescent="0.25">
      <c r="A991" t="s">
        <v>1092</v>
      </c>
      <c r="B991">
        <v>3</v>
      </c>
      <c r="D991">
        <v>362</v>
      </c>
      <c r="E991" t="s">
        <v>1113</v>
      </c>
    </row>
    <row r="992" spans="1:5" x14ac:dyDescent="0.25">
      <c r="A992" t="s">
        <v>1092</v>
      </c>
      <c r="B992">
        <v>3</v>
      </c>
      <c r="C992" t="s">
        <v>1300</v>
      </c>
      <c r="D992">
        <v>363</v>
      </c>
      <c r="E992" t="s">
        <v>1113</v>
      </c>
    </row>
    <row r="993" spans="1:5" x14ac:dyDescent="0.25">
      <c r="A993" t="s">
        <v>1092</v>
      </c>
      <c r="B993">
        <v>3</v>
      </c>
      <c r="D993">
        <v>364</v>
      </c>
      <c r="E993" t="s">
        <v>1113</v>
      </c>
    </row>
    <row r="994" spans="1:5" x14ac:dyDescent="0.25">
      <c r="A994" t="s">
        <v>1092</v>
      </c>
      <c r="B994">
        <v>3</v>
      </c>
      <c r="C994" t="s">
        <v>1300</v>
      </c>
      <c r="D994">
        <v>365</v>
      </c>
      <c r="E994" t="s">
        <v>1113</v>
      </c>
    </row>
    <row r="995" spans="1:5" x14ac:dyDescent="0.25">
      <c r="A995" t="s">
        <v>1092</v>
      </c>
      <c r="B995">
        <v>3</v>
      </c>
      <c r="D995">
        <v>366</v>
      </c>
      <c r="E995" t="s">
        <v>1113</v>
      </c>
    </row>
    <row r="996" spans="1:5" x14ac:dyDescent="0.25">
      <c r="A996" t="s">
        <v>1092</v>
      </c>
      <c r="B996">
        <v>3</v>
      </c>
      <c r="C996" t="s">
        <v>1301</v>
      </c>
      <c r="D996">
        <v>367</v>
      </c>
      <c r="E996" t="s">
        <v>1114</v>
      </c>
    </row>
    <row r="997" spans="1:5" x14ac:dyDescent="0.25">
      <c r="A997" t="s">
        <v>1092</v>
      </c>
      <c r="B997">
        <v>3</v>
      </c>
      <c r="C997" t="s">
        <v>1301</v>
      </c>
      <c r="D997">
        <v>368</v>
      </c>
      <c r="E997" t="s">
        <v>1114</v>
      </c>
    </row>
    <row r="998" spans="1:5" x14ac:dyDescent="0.25">
      <c r="A998" t="s">
        <v>1100</v>
      </c>
      <c r="B998">
        <v>1</v>
      </c>
      <c r="D998">
        <v>101</v>
      </c>
      <c r="E998" t="s">
        <v>1113</v>
      </c>
    </row>
    <row r="999" spans="1:5" x14ac:dyDescent="0.25">
      <c r="A999" t="s">
        <v>1100</v>
      </c>
      <c r="B999">
        <v>1</v>
      </c>
      <c r="D999">
        <v>102</v>
      </c>
      <c r="E999" t="s">
        <v>1113</v>
      </c>
    </row>
    <row r="1000" spans="1:5" x14ac:dyDescent="0.25">
      <c r="A1000" t="s">
        <v>1100</v>
      </c>
      <c r="B1000">
        <v>1</v>
      </c>
      <c r="D1000">
        <v>103</v>
      </c>
      <c r="E1000" t="s">
        <v>1113</v>
      </c>
    </row>
    <row r="1001" spans="1:5" x14ac:dyDescent="0.25">
      <c r="A1001" t="s">
        <v>1100</v>
      </c>
      <c r="B1001">
        <v>1</v>
      </c>
      <c r="D1001">
        <v>104</v>
      </c>
      <c r="E1001" t="s">
        <v>1113</v>
      </c>
    </row>
    <row r="1002" spans="1:5" x14ac:dyDescent="0.25">
      <c r="A1002" t="s">
        <v>1100</v>
      </c>
      <c r="B1002">
        <v>1</v>
      </c>
      <c r="D1002">
        <v>105</v>
      </c>
      <c r="E1002" t="s">
        <v>1113</v>
      </c>
    </row>
    <row r="1003" spans="1:5" x14ac:dyDescent="0.25">
      <c r="A1003" t="s">
        <v>1100</v>
      </c>
      <c r="B1003">
        <v>1</v>
      </c>
      <c r="D1003">
        <v>106</v>
      </c>
      <c r="E1003" t="s">
        <v>1113</v>
      </c>
    </row>
    <row r="1004" spans="1:5" x14ac:dyDescent="0.25">
      <c r="A1004" t="s">
        <v>1100</v>
      </c>
      <c r="B1004">
        <v>1</v>
      </c>
      <c r="D1004">
        <v>107</v>
      </c>
      <c r="E1004" t="s">
        <v>1113</v>
      </c>
    </row>
    <row r="1005" spans="1:5" x14ac:dyDescent="0.25">
      <c r="A1005" t="s">
        <v>1100</v>
      </c>
      <c r="B1005">
        <v>1</v>
      </c>
      <c r="D1005">
        <v>108</v>
      </c>
      <c r="E1005" t="s">
        <v>1113</v>
      </c>
    </row>
    <row r="1006" spans="1:5" x14ac:dyDescent="0.25">
      <c r="A1006" t="s">
        <v>1100</v>
      </c>
      <c r="B1006">
        <v>1</v>
      </c>
      <c r="D1006">
        <v>109</v>
      </c>
      <c r="E1006" t="s">
        <v>1113</v>
      </c>
    </row>
    <row r="1007" spans="1:5" x14ac:dyDescent="0.25">
      <c r="A1007" t="s">
        <v>1100</v>
      </c>
      <c r="B1007">
        <v>1</v>
      </c>
      <c r="D1007">
        <v>110</v>
      </c>
      <c r="E1007" t="s">
        <v>1113</v>
      </c>
    </row>
    <row r="1008" spans="1:5" x14ac:dyDescent="0.25">
      <c r="A1008" t="s">
        <v>1100</v>
      </c>
      <c r="B1008">
        <v>1</v>
      </c>
      <c r="D1008">
        <v>111</v>
      </c>
      <c r="E1008" t="s">
        <v>1113</v>
      </c>
    </row>
    <row r="1009" spans="1:5" x14ac:dyDescent="0.25">
      <c r="A1009" t="s">
        <v>1100</v>
      </c>
      <c r="B1009">
        <v>1</v>
      </c>
      <c r="D1009">
        <v>112</v>
      </c>
      <c r="E1009" t="s">
        <v>1113</v>
      </c>
    </row>
    <row r="1010" spans="1:5" x14ac:dyDescent="0.25">
      <c r="A1010" t="s">
        <v>1100</v>
      </c>
      <c r="B1010">
        <v>1</v>
      </c>
      <c r="D1010">
        <v>113</v>
      </c>
      <c r="E1010" t="s">
        <v>1113</v>
      </c>
    </row>
    <row r="1011" spans="1:5" x14ac:dyDescent="0.25">
      <c r="A1011" t="s">
        <v>1100</v>
      </c>
      <c r="B1011">
        <v>1</v>
      </c>
      <c r="D1011">
        <v>114</v>
      </c>
      <c r="E1011" t="s">
        <v>1113</v>
      </c>
    </row>
    <row r="1012" spans="1:5" x14ac:dyDescent="0.25">
      <c r="A1012" t="s">
        <v>1100</v>
      </c>
      <c r="B1012">
        <v>1</v>
      </c>
      <c r="D1012">
        <v>115</v>
      </c>
      <c r="E1012" t="s">
        <v>1113</v>
      </c>
    </row>
    <row r="1013" spans="1:5" x14ac:dyDescent="0.25">
      <c r="A1013" t="s">
        <v>1100</v>
      </c>
      <c r="B1013">
        <v>1</v>
      </c>
      <c r="D1013" t="s">
        <v>1101</v>
      </c>
      <c r="E1013" t="s">
        <v>1114</v>
      </c>
    </row>
    <row r="1014" spans="1:5" x14ac:dyDescent="0.25">
      <c r="A1014" t="s">
        <v>1100</v>
      </c>
      <c r="B1014">
        <v>2</v>
      </c>
      <c r="D1014">
        <v>201</v>
      </c>
      <c r="E1014" t="s">
        <v>1113</v>
      </c>
    </row>
    <row r="1015" spans="1:5" x14ac:dyDescent="0.25">
      <c r="A1015" t="s">
        <v>1100</v>
      </c>
      <c r="B1015">
        <v>2</v>
      </c>
      <c r="D1015">
        <v>202</v>
      </c>
      <c r="E1015" t="s">
        <v>1113</v>
      </c>
    </row>
    <row r="1016" spans="1:5" x14ac:dyDescent="0.25">
      <c r="A1016" t="s">
        <v>1100</v>
      </c>
      <c r="B1016">
        <v>2</v>
      </c>
      <c r="D1016">
        <v>203</v>
      </c>
      <c r="E1016" t="s">
        <v>1113</v>
      </c>
    </row>
    <row r="1017" spans="1:5" x14ac:dyDescent="0.25">
      <c r="A1017" t="s">
        <v>1100</v>
      </c>
      <c r="B1017">
        <v>2</v>
      </c>
      <c r="D1017">
        <v>204</v>
      </c>
      <c r="E1017" t="s">
        <v>1113</v>
      </c>
    </row>
    <row r="1018" spans="1:5" x14ac:dyDescent="0.25">
      <c r="A1018" t="s">
        <v>1100</v>
      </c>
      <c r="B1018">
        <v>2</v>
      </c>
      <c r="D1018">
        <v>205</v>
      </c>
      <c r="E1018" t="s">
        <v>1113</v>
      </c>
    </row>
    <row r="1019" spans="1:5" x14ac:dyDescent="0.25">
      <c r="A1019" t="s">
        <v>1100</v>
      </c>
      <c r="B1019">
        <v>2</v>
      </c>
      <c r="D1019">
        <v>206</v>
      </c>
      <c r="E1019" t="s">
        <v>1113</v>
      </c>
    </row>
    <row r="1020" spans="1:5" x14ac:dyDescent="0.25">
      <c r="A1020" t="s">
        <v>1100</v>
      </c>
      <c r="B1020">
        <v>2</v>
      </c>
      <c r="D1020">
        <v>207</v>
      </c>
      <c r="E1020" t="s">
        <v>1113</v>
      </c>
    </row>
    <row r="1021" spans="1:5" x14ac:dyDescent="0.25">
      <c r="A1021" t="s">
        <v>1100</v>
      </c>
      <c r="B1021">
        <v>2</v>
      </c>
      <c r="D1021">
        <v>208</v>
      </c>
      <c r="E1021" t="s">
        <v>1113</v>
      </c>
    </row>
    <row r="1022" spans="1:5" x14ac:dyDescent="0.25">
      <c r="A1022" t="s">
        <v>1100</v>
      </c>
      <c r="B1022">
        <v>2</v>
      </c>
      <c r="D1022">
        <v>209</v>
      </c>
      <c r="E1022" t="s">
        <v>1113</v>
      </c>
    </row>
    <row r="1023" spans="1:5" x14ac:dyDescent="0.25">
      <c r="A1023" t="s">
        <v>1100</v>
      </c>
      <c r="B1023">
        <v>2</v>
      </c>
      <c r="D1023">
        <v>210</v>
      </c>
      <c r="E1023" t="s">
        <v>1113</v>
      </c>
    </row>
    <row r="1024" spans="1:5" x14ac:dyDescent="0.25">
      <c r="A1024" t="s">
        <v>1100</v>
      </c>
      <c r="B1024">
        <v>2</v>
      </c>
      <c r="D1024">
        <v>211</v>
      </c>
      <c r="E1024" t="s">
        <v>1113</v>
      </c>
    </row>
    <row r="1025" spans="1:5" x14ac:dyDescent="0.25">
      <c r="A1025" t="s">
        <v>1100</v>
      </c>
      <c r="B1025">
        <v>2</v>
      </c>
      <c r="D1025">
        <v>212</v>
      </c>
      <c r="E1025" t="s">
        <v>1113</v>
      </c>
    </row>
    <row r="1026" spans="1:5" x14ac:dyDescent="0.25">
      <c r="A1026" t="s">
        <v>1100</v>
      </c>
      <c r="B1026">
        <v>2</v>
      </c>
      <c r="D1026">
        <v>213</v>
      </c>
      <c r="E1026" t="s">
        <v>1113</v>
      </c>
    </row>
    <row r="1027" spans="1:5" x14ac:dyDescent="0.25">
      <c r="A1027" t="s">
        <v>1100</v>
      </c>
      <c r="B1027">
        <v>2</v>
      </c>
      <c r="D1027">
        <v>214</v>
      </c>
      <c r="E1027" t="s">
        <v>1113</v>
      </c>
    </row>
    <row r="1028" spans="1:5" x14ac:dyDescent="0.25">
      <c r="A1028" t="s">
        <v>1100</v>
      </c>
      <c r="B1028">
        <v>2</v>
      </c>
      <c r="D1028">
        <v>215</v>
      </c>
      <c r="E1028" t="s">
        <v>1113</v>
      </c>
    </row>
    <row r="1029" spans="1:5" x14ac:dyDescent="0.25">
      <c r="A1029" t="s">
        <v>1100</v>
      </c>
      <c r="B1029">
        <v>2</v>
      </c>
      <c r="D1029">
        <v>216</v>
      </c>
      <c r="E1029" t="s">
        <v>1113</v>
      </c>
    </row>
    <row r="1030" spans="1:5" x14ac:dyDescent="0.25">
      <c r="A1030" t="s">
        <v>1100</v>
      </c>
      <c r="B1030">
        <v>2</v>
      </c>
      <c r="D1030">
        <v>217</v>
      </c>
      <c r="E1030" t="s">
        <v>1113</v>
      </c>
    </row>
    <row r="1031" spans="1:5" x14ac:dyDescent="0.25">
      <c r="A1031" t="s">
        <v>1100</v>
      </c>
      <c r="B1031">
        <v>2</v>
      </c>
      <c r="D1031">
        <v>218</v>
      </c>
      <c r="E1031" t="s">
        <v>1113</v>
      </c>
    </row>
    <row r="1032" spans="1:5" x14ac:dyDescent="0.25">
      <c r="A1032" t="s">
        <v>1100</v>
      </c>
      <c r="B1032">
        <v>2</v>
      </c>
      <c r="D1032">
        <v>219</v>
      </c>
      <c r="E1032" t="s">
        <v>1113</v>
      </c>
    </row>
    <row r="1033" spans="1:5" x14ac:dyDescent="0.25">
      <c r="A1033" t="s">
        <v>1100</v>
      </c>
      <c r="B1033">
        <v>2</v>
      </c>
      <c r="D1033">
        <v>220</v>
      </c>
      <c r="E1033" t="s">
        <v>1113</v>
      </c>
    </row>
    <row r="1034" spans="1:5" x14ac:dyDescent="0.25">
      <c r="A1034" t="s">
        <v>1100</v>
      </c>
      <c r="B1034">
        <v>2</v>
      </c>
      <c r="D1034">
        <v>221</v>
      </c>
      <c r="E1034" t="s">
        <v>1113</v>
      </c>
    </row>
    <row r="1035" spans="1:5" x14ac:dyDescent="0.25">
      <c r="A1035" t="s">
        <v>1100</v>
      </c>
      <c r="B1035">
        <v>2</v>
      </c>
      <c r="D1035">
        <v>222</v>
      </c>
      <c r="E1035" t="s">
        <v>1114</v>
      </c>
    </row>
    <row r="1036" spans="1:5" x14ac:dyDescent="0.25">
      <c r="A1036" t="s">
        <v>1100</v>
      </c>
      <c r="B1036">
        <v>3</v>
      </c>
      <c r="D1036">
        <v>301</v>
      </c>
      <c r="E1036" t="s">
        <v>1113</v>
      </c>
    </row>
    <row r="1037" spans="1:5" x14ac:dyDescent="0.25">
      <c r="A1037" t="s">
        <v>1100</v>
      </c>
      <c r="B1037">
        <v>3</v>
      </c>
      <c r="D1037">
        <v>302</v>
      </c>
      <c r="E1037" t="s">
        <v>1113</v>
      </c>
    </row>
    <row r="1038" spans="1:5" x14ac:dyDescent="0.25">
      <c r="A1038" t="s">
        <v>1100</v>
      </c>
      <c r="B1038">
        <v>3</v>
      </c>
      <c r="D1038">
        <v>303</v>
      </c>
      <c r="E1038" t="s">
        <v>1113</v>
      </c>
    </row>
    <row r="1039" spans="1:5" x14ac:dyDescent="0.25">
      <c r="A1039" t="s">
        <v>1100</v>
      </c>
      <c r="B1039">
        <v>3</v>
      </c>
      <c r="D1039">
        <v>304</v>
      </c>
      <c r="E1039" t="s">
        <v>1113</v>
      </c>
    </row>
    <row r="1040" spans="1:5" x14ac:dyDescent="0.25">
      <c r="A1040" t="s">
        <v>1100</v>
      </c>
      <c r="B1040">
        <v>3</v>
      </c>
      <c r="D1040">
        <v>305</v>
      </c>
      <c r="E1040" t="s">
        <v>1113</v>
      </c>
    </row>
    <row r="1041" spans="1:5" x14ac:dyDescent="0.25">
      <c r="A1041" t="s">
        <v>1100</v>
      </c>
      <c r="B1041">
        <v>3</v>
      </c>
      <c r="D1041">
        <v>306</v>
      </c>
      <c r="E1041" t="s">
        <v>1113</v>
      </c>
    </row>
    <row r="1042" spans="1:5" x14ac:dyDescent="0.25">
      <c r="A1042" t="s">
        <v>1100</v>
      </c>
      <c r="B1042">
        <v>3</v>
      </c>
      <c r="D1042">
        <v>307</v>
      </c>
      <c r="E1042" t="s">
        <v>1113</v>
      </c>
    </row>
    <row r="1043" spans="1:5" x14ac:dyDescent="0.25">
      <c r="A1043" t="s">
        <v>1100</v>
      </c>
      <c r="B1043">
        <v>3</v>
      </c>
      <c r="D1043">
        <v>308</v>
      </c>
      <c r="E1043" t="s">
        <v>1113</v>
      </c>
    </row>
    <row r="1044" spans="1:5" x14ac:dyDescent="0.25">
      <c r="A1044" t="s">
        <v>1100</v>
      </c>
      <c r="B1044">
        <v>3</v>
      </c>
      <c r="D1044">
        <v>309</v>
      </c>
      <c r="E1044" t="s">
        <v>1113</v>
      </c>
    </row>
    <row r="1045" spans="1:5" x14ac:dyDescent="0.25">
      <c r="A1045" t="s">
        <v>1100</v>
      </c>
      <c r="B1045">
        <v>3</v>
      </c>
      <c r="D1045">
        <v>310</v>
      </c>
      <c r="E1045" t="s">
        <v>1113</v>
      </c>
    </row>
    <row r="1046" spans="1:5" x14ac:dyDescent="0.25">
      <c r="A1046" t="s">
        <v>1100</v>
      </c>
      <c r="B1046">
        <v>3</v>
      </c>
      <c r="D1046">
        <v>311</v>
      </c>
      <c r="E1046" t="s">
        <v>1113</v>
      </c>
    </row>
    <row r="1047" spans="1:5" x14ac:dyDescent="0.25">
      <c r="A1047" t="s">
        <v>1100</v>
      </c>
      <c r="B1047">
        <v>3</v>
      </c>
      <c r="D1047">
        <v>312</v>
      </c>
      <c r="E1047" t="s">
        <v>1113</v>
      </c>
    </row>
    <row r="1048" spans="1:5" x14ac:dyDescent="0.25">
      <c r="A1048" t="s">
        <v>1100</v>
      </c>
      <c r="B1048">
        <v>3</v>
      </c>
      <c r="D1048">
        <v>313</v>
      </c>
      <c r="E1048" t="s">
        <v>1113</v>
      </c>
    </row>
    <row r="1049" spans="1:5" x14ac:dyDescent="0.25">
      <c r="A1049" t="s">
        <v>1100</v>
      </c>
      <c r="B1049">
        <v>3</v>
      </c>
      <c r="D1049">
        <v>314</v>
      </c>
      <c r="E1049" t="s">
        <v>1113</v>
      </c>
    </row>
    <row r="1050" spans="1:5" x14ac:dyDescent="0.25">
      <c r="A1050" t="s">
        <v>1100</v>
      </c>
      <c r="B1050">
        <v>3</v>
      </c>
      <c r="D1050">
        <v>315</v>
      </c>
      <c r="E1050" t="s">
        <v>1113</v>
      </c>
    </row>
    <row r="1051" spans="1:5" x14ac:dyDescent="0.25">
      <c r="A1051" t="s">
        <v>1100</v>
      </c>
      <c r="B1051">
        <v>3</v>
      </c>
      <c r="D1051">
        <v>316</v>
      </c>
      <c r="E1051" t="s">
        <v>1113</v>
      </c>
    </row>
    <row r="1052" spans="1:5" x14ac:dyDescent="0.25">
      <c r="A1052" t="s">
        <v>1100</v>
      </c>
      <c r="B1052">
        <v>3</v>
      </c>
      <c r="D1052">
        <v>317</v>
      </c>
      <c r="E1052" t="s">
        <v>1113</v>
      </c>
    </row>
    <row r="1053" spans="1:5" x14ac:dyDescent="0.25">
      <c r="A1053" t="s">
        <v>1100</v>
      </c>
      <c r="B1053">
        <v>3</v>
      </c>
      <c r="D1053">
        <v>318</v>
      </c>
      <c r="E1053" t="s">
        <v>1113</v>
      </c>
    </row>
    <row r="1054" spans="1:5" x14ac:dyDescent="0.25">
      <c r="A1054" t="s">
        <v>1100</v>
      </c>
      <c r="B1054">
        <v>3</v>
      </c>
      <c r="D1054">
        <v>319</v>
      </c>
      <c r="E1054" t="s">
        <v>1113</v>
      </c>
    </row>
    <row r="1055" spans="1:5" x14ac:dyDescent="0.25">
      <c r="A1055" t="s">
        <v>1100</v>
      </c>
      <c r="B1055">
        <v>3</v>
      </c>
      <c r="D1055">
        <v>320</v>
      </c>
      <c r="E1055" t="s">
        <v>1113</v>
      </c>
    </row>
    <row r="1056" spans="1:5" x14ac:dyDescent="0.25">
      <c r="A1056" t="s">
        <v>1100</v>
      </c>
      <c r="B1056">
        <v>3</v>
      </c>
      <c r="D1056">
        <v>321</v>
      </c>
      <c r="E1056" t="s">
        <v>1113</v>
      </c>
    </row>
    <row r="1057" spans="1:5" x14ac:dyDescent="0.25">
      <c r="A1057" t="s">
        <v>1100</v>
      </c>
      <c r="B1057">
        <v>3</v>
      </c>
      <c r="D1057">
        <v>322</v>
      </c>
      <c r="E1057" t="s">
        <v>1113</v>
      </c>
    </row>
    <row r="1058" spans="1:5" x14ac:dyDescent="0.25">
      <c r="A1058" t="s">
        <v>1100</v>
      </c>
      <c r="B1058">
        <v>3</v>
      </c>
      <c r="D1058">
        <v>323</v>
      </c>
      <c r="E1058" t="s">
        <v>1113</v>
      </c>
    </row>
    <row r="1059" spans="1:5" x14ac:dyDescent="0.25">
      <c r="A1059" t="s">
        <v>875</v>
      </c>
      <c r="B1059">
        <v>1</v>
      </c>
      <c r="C1059" t="s">
        <v>1302</v>
      </c>
      <c r="D1059">
        <v>111</v>
      </c>
      <c r="E1059" t="s">
        <v>1113</v>
      </c>
    </row>
    <row r="1060" spans="1:5" x14ac:dyDescent="0.25">
      <c r="A1060" t="s">
        <v>875</v>
      </c>
      <c r="B1060">
        <v>1</v>
      </c>
      <c r="C1060" t="s">
        <v>1302</v>
      </c>
      <c r="D1060">
        <v>112</v>
      </c>
      <c r="E1060" t="s">
        <v>1113</v>
      </c>
    </row>
    <row r="1061" spans="1:5" x14ac:dyDescent="0.25">
      <c r="A1061" t="s">
        <v>875</v>
      </c>
      <c r="B1061">
        <v>1</v>
      </c>
      <c r="C1061" t="s">
        <v>1302</v>
      </c>
      <c r="D1061">
        <v>113</v>
      </c>
      <c r="E1061" t="s">
        <v>1113</v>
      </c>
    </row>
    <row r="1062" spans="1:5" x14ac:dyDescent="0.25">
      <c r="A1062" t="s">
        <v>875</v>
      </c>
      <c r="B1062">
        <v>1</v>
      </c>
      <c r="C1062" t="s">
        <v>1302</v>
      </c>
      <c r="D1062">
        <v>114</v>
      </c>
      <c r="E1062" t="s">
        <v>1113</v>
      </c>
    </row>
    <row r="1063" spans="1:5" x14ac:dyDescent="0.25">
      <c r="A1063" t="s">
        <v>875</v>
      </c>
      <c r="B1063">
        <v>1</v>
      </c>
      <c r="C1063" t="s">
        <v>1303</v>
      </c>
      <c r="D1063">
        <v>121</v>
      </c>
      <c r="E1063" t="s">
        <v>1113</v>
      </c>
    </row>
    <row r="1064" spans="1:5" x14ac:dyDescent="0.25">
      <c r="A1064" t="s">
        <v>875</v>
      </c>
      <c r="B1064">
        <v>1</v>
      </c>
      <c r="C1064" t="s">
        <v>1303</v>
      </c>
      <c r="D1064">
        <v>122</v>
      </c>
      <c r="E1064" t="s">
        <v>1113</v>
      </c>
    </row>
    <row r="1065" spans="1:5" x14ac:dyDescent="0.25">
      <c r="A1065" t="s">
        <v>875</v>
      </c>
      <c r="B1065">
        <v>1</v>
      </c>
      <c r="C1065" t="s">
        <v>1303</v>
      </c>
      <c r="D1065">
        <v>123</v>
      </c>
      <c r="E1065" t="s">
        <v>1113</v>
      </c>
    </row>
    <row r="1066" spans="1:5" x14ac:dyDescent="0.25">
      <c r="A1066" t="s">
        <v>875</v>
      </c>
      <c r="B1066">
        <v>1</v>
      </c>
      <c r="C1066" t="s">
        <v>1303</v>
      </c>
      <c r="D1066">
        <v>124</v>
      </c>
      <c r="E1066" t="s">
        <v>1113</v>
      </c>
    </row>
    <row r="1067" spans="1:5" x14ac:dyDescent="0.25">
      <c r="A1067" t="s">
        <v>875</v>
      </c>
      <c r="B1067">
        <v>1</v>
      </c>
      <c r="C1067" t="s">
        <v>1304</v>
      </c>
      <c r="D1067">
        <v>131</v>
      </c>
      <c r="E1067" t="s">
        <v>1113</v>
      </c>
    </row>
    <row r="1068" spans="1:5" x14ac:dyDescent="0.25">
      <c r="A1068" t="s">
        <v>875</v>
      </c>
      <c r="B1068">
        <v>1</v>
      </c>
      <c r="C1068" t="s">
        <v>1304</v>
      </c>
      <c r="D1068">
        <v>132</v>
      </c>
      <c r="E1068" t="s">
        <v>1113</v>
      </c>
    </row>
    <row r="1069" spans="1:5" x14ac:dyDescent="0.25">
      <c r="A1069" t="s">
        <v>875</v>
      </c>
      <c r="B1069">
        <v>1</v>
      </c>
      <c r="C1069" t="s">
        <v>1304</v>
      </c>
      <c r="D1069">
        <v>133</v>
      </c>
      <c r="E1069" t="s">
        <v>1113</v>
      </c>
    </row>
    <row r="1070" spans="1:5" x14ac:dyDescent="0.25">
      <c r="A1070" t="s">
        <v>875</v>
      </c>
      <c r="B1070">
        <v>1</v>
      </c>
      <c r="C1070" t="s">
        <v>1304</v>
      </c>
      <c r="D1070">
        <v>134</v>
      </c>
      <c r="E1070" t="s">
        <v>1113</v>
      </c>
    </row>
    <row r="1071" spans="1:5" x14ac:dyDescent="0.25">
      <c r="A1071" t="s">
        <v>875</v>
      </c>
      <c r="B1071">
        <v>1</v>
      </c>
      <c r="C1071" t="s">
        <v>1304</v>
      </c>
      <c r="D1071">
        <v>135</v>
      </c>
      <c r="E1071" t="s">
        <v>1113</v>
      </c>
    </row>
    <row r="1072" spans="1:5" x14ac:dyDescent="0.25">
      <c r="A1072" t="s">
        <v>875</v>
      </c>
      <c r="B1072">
        <v>1</v>
      </c>
      <c r="C1072" t="s">
        <v>1304</v>
      </c>
      <c r="D1072">
        <v>136</v>
      </c>
      <c r="E1072" t="s">
        <v>1113</v>
      </c>
    </row>
    <row r="1073" spans="1:5" x14ac:dyDescent="0.25">
      <c r="A1073" t="s">
        <v>875</v>
      </c>
      <c r="B1073">
        <v>1</v>
      </c>
      <c r="C1073" t="s">
        <v>1305</v>
      </c>
      <c r="D1073">
        <v>141</v>
      </c>
      <c r="E1073" t="s">
        <v>1113</v>
      </c>
    </row>
    <row r="1074" spans="1:5" x14ac:dyDescent="0.25">
      <c r="A1074" t="s">
        <v>875</v>
      </c>
      <c r="B1074">
        <v>1</v>
      </c>
      <c r="C1074" t="s">
        <v>1305</v>
      </c>
      <c r="D1074">
        <v>142</v>
      </c>
      <c r="E1074" t="s">
        <v>1113</v>
      </c>
    </row>
    <row r="1075" spans="1:5" x14ac:dyDescent="0.25">
      <c r="A1075" t="s">
        <v>875</v>
      </c>
      <c r="B1075">
        <v>1</v>
      </c>
      <c r="C1075" t="s">
        <v>1305</v>
      </c>
      <c r="D1075">
        <v>143</v>
      </c>
      <c r="E1075" t="s">
        <v>1113</v>
      </c>
    </row>
    <row r="1076" spans="1:5" x14ac:dyDescent="0.25">
      <c r="A1076" t="s">
        <v>875</v>
      </c>
      <c r="B1076">
        <v>1</v>
      </c>
      <c r="C1076" t="s">
        <v>1305</v>
      </c>
      <c r="D1076">
        <v>144</v>
      </c>
      <c r="E1076" t="s">
        <v>1113</v>
      </c>
    </row>
    <row r="1077" spans="1:5" x14ac:dyDescent="0.25">
      <c r="A1077" t="s">
        <v>875</v>
      </c>
      <c r="B1077">
        <v>1</v>
      </c>
      <c r="C1077" t="s">
        <v>1306</v>
      </c>
      <c r="D1077">
        <v>151</v>
      </c>
      <c r="E1077" t="s">
        <v>1113</v>
      </c>
    </row>
    <row r="1078" spans="1:5" x14ac:dyDescent="0.25">
      <c r="A1078" t="s">
        <v>875</v>
      </c>
      <c r="B1078">
        <v>1</v>
      </c>
      <c r="C1078" t="s">
        <v>1306</v>
      </c>
      <c r="D1078">
        <v>152</v>
      </c>
      <c r="E1078" t="s">
        <v>1113</v>
      </c>
    </row>
    <row r="1079" spans="1:5" x14ac:dyDescent="0.25">
      <c r="A1079" t="s">
        <v>875</v>
      </c>
      <c r="B1079">
        <v>1</v>
      </c>
      <c r="C1079" t="s">
        <v>1306</v>
      </c>
      <c r="D1079">
        <v>153</v>
      </c>
      <c r="E1079" t="s">
        <v>1113</v>
      </c>
    </row>
    <row r="1080" spans="1:5" x14ac:dyDescent="0.25">
      <c r="A1080" t="s">
        <v>875</v>
      </c>
      <c r="B1080">
        <v>1</v>
      </c>
      <c r="C1080" t="s">
        <v>1306</v>
      </c>
      <c r="D1080">
        <v>154</v>
      </c>
      <c r="E1080" t="s">
        <v>1113</v>
      </c>
    </row>
    <row r="1081" spans="1:5" x14ac:dyDescent="0.25">
      <c r="A1081" t="s">
        <v>875</v>
      </c>
      <c r="B1081">
        <v>1</v>
      </c>
      <c r="C1081" t="s">
        <v>1307</v>
      </c>
      <c r="D1081">
        <v>161</v>
      </c>
      <c r="E1081" t="s">
        <v>1113</v>
      </c>
    </row>
    <row r="1082" spans="1:5" x14ac:dyDescent="0.25">
      <c r="A1082" t="s">
        <v>875</v>
      </c>
      <c r="B1082">
        <v>1</v>
      </c>
      <c r="C1082" t="s">
        <v>1307</v>
      </c>
      <c r="D1082">
        <v>162</v>
      </c>
      <c r="E1082" t="s">
        <v>1113</v>
      </c>
    </row>
    <row r="1083" spans="1:5" x14ac:dyDescent="0.25">
      <c r="A1083" t="s">
        <v>875</v>
      </c>
      <c r="B1083">
        <v>1</v>
      </c>
      <c r="C1083" t="s">
        <v>1307</v>
      </c>
      <c r="D1083">
        <v>163</v>
      </c>
      <c r="E1083" t="s">
        <v>1113</v>
      </c>
    </row>
    <row r="1084" spans="1:5" x14ac:dyDescent="0.25">
      <c r="A1084" t="s">
        <v>875</v>
      </c>
      <c r="B1084">
        <v>1</v>
      </c>
      <c r="C1084" t="s">
        <v>1307</v>
      </c>
      <c r="D1084">
        <v>164</v>
      </c>
      <c r="E1084" t="s">
        <v>1113</v>
      </c>
    </row>
    <row r="1085" spans="1:5" x14ac:dyDescent="0.25">
      <c r="A1085" t="s">
        <v>875</v>
      </c>
      <c r="B1085">
        <v>1</v>
      </c>
      <c r="C1085" t="s">
        <v>1307</v>
      </c>
      <c r="D1085">
        <v>165</v>
      </c>
      <c r="E1085" t="s">
        <v>1113</v>
      </c>
    </row>
    <row r="1086" spans="1:5" x14ac:dyDescent="0.25">
      <c r="A1086" t="s">
        <v>875</v>
      </c>
      <c r="B1086">
        <v>1</v>
      </c>
      <c r="C1086" t="s">
        <v>1307</v>
      </c>
      <c r="D1086">
        <v>166</v>
      </c>
      <c r="E1086" t="s">
        <v>1113</v>
      </c>
    </row>
    <row r="1087" spans="1:5" x14ac:dyDescent="0.25">
      <c r="A1087" t="s">
        <v>875</v>
      </c>
      <c r="B1087">
        <v>2</v>
      </c>
      <c r="C1087" t="s">
        <v>1308</v>
      </c>
      <c r="D1087">
        <v>201</v>
      </c>
      <c r="E1087" t="s">
        <v>1113</v>
      </c>
    </row>
    <row r="1088" spans="1:5" x14ac:dyDescent="0.25">
      <c r="A1088" t="s">
        <v>875</v>
      </c>
      <c r="B1088">
        <v>2</v>
      </c>
      <c r="C1088" t="s">
        <v>1308</v>
      </c>
      <c r="D1088">
        <v>202</v>
      </c>
      <c r="E1088" t="s">
        <v>1113</v>
      </c>
    </row>
    <row r="1089" spans="1:5" x14ac:dyDescent="0.25">
      <c r="A1089" t="s">
        <v>875</v>
      </c>
      <c r="B1089">
        <v>2</v>
      </c>
      <c r="C1089" t="s">
        <v>1308</v>
      </c>
      <c r="D1089">
        <v>203</v>
      </c>
      <c r="E1089" t="s">
        <v>1113</v>
      </c>
    </row>
    <row r="1090" spans="1:5" x14ac:dyDescent="0.25">
      <c r="A1090" t="s">
        <v>875</v>
      </c>
      <c r="B1090">
        <v>2</v>
      </c>
      <c r="C1090" t="s">
        <v>1309</v>
      </c>
      <c r="D1090">
        <v>211</v>
      </c>
      <c r="E1090" t="s">
        <v>1113</v>
      </c>
    </row>
    <row r="1091" spans="1:5" x14ac:dyDescent="0.25">
      <c r="A1091" t="s">
        <v>875</v>
      </c>
      <c r="B1091">
        <v>2</v>
      </c>
      <c r="C1091" t="s">
        <v>1309</v>
      </c>
      <c r="D1091">
        <v>212</v>
      </c>
      <c r="E1091" t="s">
        <v>1113</v>
      </c>
    </row>
    <row r="1092" spans="1:5" x14ac:dyDescent="0.25">
      <c r="A1092" t="s">
        <v>875</v>
      </c>
      <c r="B1092">
        <v>2</v>
      </c>
      <c r="C1092" t="s">
        <v>1309</v>
      </c>
      <c r="D1092">
        <v>213</v>
      </c>
      <c r="E1092" t="s">
        <v>1113</v>
      </c>
    </row>
    <row r="1093" spans="1:5" x14ac:dyDescent="0.25">
      <c r="A1093" t="s">
        <v>875</v>
      </c>
      <c r="B1093">
        <v>2</v>
      </c>
      <c r="C1093" t="s">
        <v>1309</v>
      </c>
      <c r="D1093">
        <v>214</v>
      </c>
      <c r="E1093" t="s">
        <v>1113</v>
      </c>
    </row>
    <row r="1094" spans="1:5" x14ac:dyDescent="0.25">
      <c r="A1094" t="s">
        <v>875</v>
      </c>
      <c r="B1094">
        <v>2</v>
      </c>
      <c r="C1094" t="s">
        <v>1310</v>
      </c>
      <c r="D1094">
        <v>221</v>
      </c>
      <c r="E1094" t="s">
        <v>1113</v>
      </c>
    </row>
    <row r="1095" spans="1:5" x14ac:dyDescent="0.25">
      <c r="A1095" t="s">
        <v>875</v>
      </c>
      <c r="B1095">
        <v>2</v>
      </c>
      <c r="C1095" t="s">
        <v>1310</v>
      </c>
      <c r="D1095">
        <v>222</v>
      </c>
      <c r="E1095" t="s">
        <v>1113</v>
      </c>
    </row>
    <row r="1096" spans="1:5" x14ac:dyDescent="0.25">
      <c r="A1096" t="s">
        <v>875</v>
      </c>
      <c r="B1096">
        <v>2</v>
      </c>
      <c r="C1096" t="s">
        <v>1310</v>
      </c>
      <c r="D1096">
        <v>223</v>
      </c>
      <c r="E1096" t="s">
        <v>1113</v>
      </c>
    </row>
    <row r="1097" spans="1:5" x14ac:dyDescent="0.25">
      <c r="A1097" t="s">
        <v>875</v>
      </c>
      <c r="B1097">
        <v>2</v>
      </c>
      <c r="C1097" t="s">
        <v>1310</v>
      </c>
      <c r="D1097">
        <v>224</v>
      </c>
      <c r="E1097" t="s">
        <v>1113</v>
      </c>
    </row>
    <row r="1098" spans="1:5" x14ac:dyDescent="0.25">
      <c r="A1098" t="s">
        <v>875</v>
      </c>
      <c r="B1098">
        <v>2</v>
      </c>
      <c r="C1098" t="s">
        <v>1311</v>
      </c>
      <c r="D1098">
        <v>231</v>
      </c>
      <c r="E1098" t="s">
        <v>1113</v>
      </c>
    </row>
    <row r="1099" spans="1:5" x14ac:dyDescent="0.25">
      <c r="A1099" t="s">
        <v>875</v>
      </c>
      <c r="B1099">
        <v>2</v>
      </c>
      <c r="C1099" t="s">
        <v>1311</v>
      </c>
      <c r="D1099">
        <v>232</v>
      </c>
      <c r="E1099" t="s">
        <v>1113</v>
      </c>
    </row>
    <row r="1100" spans="1:5" x14ac:dyDescent="0.25">
      <c r="A1100" t="s">
        <v>875</v>
      </c>
      <c r="B1100">
        <v>2</v>
      </c>
      <c r="C1100" t="s">
        <v>1311</v>
      </c>
      <c r="D1100">
        <v>233</v>
      </c>
      <c r="E1100" t="s">
        <v>1113</v>
      </c>
    </row>
    <row r="1101" spans="1:5" x14ac:dyDescent="0.25">
      <c r="A1101" t="s">
        <v>875</v>
      </c>
      <c r="B1101">
        <v>2</v>
      </c>
      <c r="C1101" t="s">
        <v>1311</v>
      </c>
      <c r="D1101">
        <v>234</v>
      </c>
      <c r="E1101" t="s">
        <v>1113</v>
      </c>
    </row>
    <row r="1102" spans="1:5" x14ac:dyDescent="0.25">
      <c r="A1102" t="s">
        <v>875</v>
      </c>
      <c r="B1102">
        <v>2</v>
      </c>
      <c r="C1102" t="s">
        <v>1311</v>
      </c>
      <c r="D1102">
        <v>235</v>
      </c>
      <c r="E1102" t="s">
        <v>1113</v>
      </c>
    </row>
    <row r="1103" spans="1:5" x14ac:dyDescent="0.25">
      <c r="A1103" t="s">
        <v>875</v>
      </c>
      <c r="B1103">
        <v>2</v>
      </c>
      <c r="C1103" t="s">
        <v>1311</v>
      </c>
      <c r="D1103">
        <v>236</v>
      </c>
      <c r="E1103" t="s">
        <v>1113</v>
      </c>
    </row>
    <row r="1104" spans="1:5" x14ac:dyDescent="0.25">
      <c r="A1104" t="s">
        <v>875</v>
      </c>
      <c r="B1104">
        <v>2</v>
      </c>
      <c r="C1104" t="s">
        <v>1312</v>
      </c>
      <c r="D1104">
        <v>241</v>
      </c>
      <c r="E1104" t="s">
        <v>1113</v>
      </c>
    </row>
    <row r="1105" spans="1:5" x14ac:dyDescent="0.25">
      <c r="A1105" t="s">
        <v>875</v>
      </c>
      <c r="B1105">
        <v>2</v>
      </c>
      <c r="C1105" t="s">
        <v>1312</v>
      </c>
      <c r="D1105">
        <v>242</v>
      </c>
      <c r="E1105" t="s">
        <v>1113</v>
      </c>
    </row>
    <row r="1106" spans="1:5" x14ac:dyDescent="0.25">
      <c r="A1106" t="s">
        <v>875</v>
      </c>
      <c r="B1106">
        <v>2</v>
      </c>
      <c r="C1106" t="s">
        <v>1312</v>
      </c>
      <c r="D1106">
        <v>243</v>
      </c>
      <c r="E1106" t="s">
        <v>1113</v>
      </c>
    </row>
    <row r="1107" spans="1:5" x14ac:dyDescent="0.25">
      <c r="A1107" t="s">
        <v>875</v>
      </c>
      <c r="B1107">
        <v>2</v>
      </c>
      <c r="C1107" t="s">
        <v>1312</v>
      </c>
      <c r="D1107">
        <v>244</v>
      </c>
      <c r="E1107" t="s">
        <v>1113</v>
      </c>
    </row>
    <row r="1108" spans="1:5" x14ac:dyDescent="0.25">
      <c r="A1108" t="s">
        <v>875</v>
      </c>
      <c r="B1108">
        <v>2</v>
      </c>
      <c r="C1108" t="s">
        <v>1313</v>
      </c>
      <c r="D1108">
        <v>251</v>
      </c>
      <c r="E1108" t="s">
        <v>1113</v>
      </c>
    </row>
    <row r="1109" spans="1:5" x14ac:dyDescent="0.25">
      <c r="A1109" t="s">
        <v>875</v>
      </c>
      <c r="B1109">
        <v>2</v>
      </c>
      <c r="C1109" t="s">
        <v>1313</v>
      </c>
      <c r="D1109">
        <v>252</v>
      </c>
      <c r="E1109" t="s">
        <v>1113</v>
      </c>
    </row>
    <row r="1110" spans="1:5" x14ac:dyDescent="0.25">
      <c r="A1110" t="s">
        <v>875</v>
      </c>
      <c r="B1110">
        <v>2</v>
      </c>
      <c r="C1110" t="s">
        <v>1313</v>
      </c>
      <c r="D1110">
        <v>253</v>
      </c>
      <c r="E1110" t="s">
        <v>1113</v>
      </c>
    </row>
    <row r="1111" spans="1:5" x14ac:dyDescent="0.25">
      <c r="A1111" t="s">
        <v>875</v>
      </c>
      <c r="B1111">
        <v>2</v>
      </c>
      <c r="C1111" t="s">
        <v>1313</v>
      </c>
      <c r="D1111">
        <v>254</v>
      </c>
      <c r="E1111" t="s">
        <v>1113</v>
      </c>
    </row>
    <row r="1112" spans="1:5" x14ac:dyDescent="0.25">
      <c r="A1112" t="s">
        <v>875</v>
      </c>
      <c r="B1112">
        <v>2</v>
      </c>
      <c r="C1112" t="s">
        <v>1314</v>
      </c>
      <c r="D1112">
        <v>261</v>
      </c>
      <c r="E1112" t="s">
        <v>1113</v>
      </c>
    </row>
    <row r="1113" spans="1:5" x14ac:dyDescent="0.25">
      <c r="A1113" t="s">
        <v>875</v>
      </c>
      <c r="B1113">
        <v>2</v>
      </c>
      <c r="C1113" t="s">
        <v>1314</v>
      </c>
      <c r="D1113">
        <v>262</v>
      </c>
      <c r="E1113" t="s">
        <v>1113</v>
      </c>
    </row>
    <row r="1114" spans="1:5" x14ac:dyDescent="0.25">
      <c r="A1114" t="s">
        <v>875</v>
      </c>
      <c r="B1114">
        <v>2</v>
      </c>
      <c r="C1114" t="s">
        <v>1314</v>
      </c>
      <c r="D1114">
        <v>263</v>
      </c>
      <c r="E1114" t="s">
        <v>1113</v>
      </c>
    </row>
    <row r="1115" spans="1:5" x14ac:dyDescent="0.25">
      <c r="A1115" t="s">
        <v>875</v>
      </c>
      <c r="B1115">
        <v>2</v>
      </c>
      <c r="C1115" t="s">
        <v>1314</v>
      </c>
      <c r="D1115">
        <v>264</v>
      </c>
      <c r="E1115" t="s">
        <v>1113</v>
      </c>
    </row>
    <row r="1116" spans="1:5" x14ac:dyDescent="0.25">
      <c r="A1116" t="s">
        <v>875</v>
      </c>
      <c r="B1116">
        <v>2</v>
      </c>
      <c r="C1116" t="s">
        <v>1314</v>
      </c>
      <c r="D1116">
        <v>265</v>
      </c>
      <c r="E1116" t="s">
        <v>1113</v>
      </c>
    </row>
    <row r="1117" spans="1:5" x14ac:dyDescent="0.25">
      <c r="A1117" t="s">
        <v>875</v>
      </c>
      <c r="B1117">
        <v>2</v>
      </c>
      <c r="C1117" t="s">
        <v>1314</v>
      </c>
      <c r="D1117">
        <v>266</v>
      </c>
      <c r="E1117" t="s">
        <v>1113</v>
      </c>
    </row>
    <row r="1118" spans="1:5" x14ac:dyDescent="0.25">
      <c r="A1118" t="s">
        <v>875</v>
      </c>
      <c r="B1118">
        <v>3</v>
      </c>
      <c r="C1118" t="s">
        <v>1315</v>
      </c>
      <c r="D1118">
        <v>301</v>
      </c>
      <c r="E1118" t="s">
        <v>1113</v>
      </c>
    </row>
    <row r="1119" spans="1:5" x14ac:dyDescent="0.25">
      <c r="A1119" t="s">
        <v>875</v>
      </c>
      <c r="B1119">
        <v>3</v>
      </c>
      <c r="C1119" t="s">
        <v>1315</v>
      </c>
      <c r="D1119">
        <v>302</v>
      </c>
      <c r="E1119" t="s">
        <v>1113</v>
      </c>
    </row>
    <row r="1120" spans="1:5" x14ac:dyDescent="0.25">
      <c r="A1120" t="s">
        <v>875</v>
      </c>
      <c r="B1120">
        <v>3</v>
      </c>
      <c r="C1120" t="s">
        <v>1315</v>
      </c>
      <c r="D1120">
        <v>303</v>
      </c>
      <c r="E1120" t="s">
        <v>1113</v>
      </c>
    </row>
    <row r="1121" spans="1:5" x14ac:dyDescent="0.25">
      <c r="A1121" t="s">
        <v>875</v>
      </c>
      <c r="B1121">
        <v>3</v>
      </c>
      <c r="C1121" t="s">
        <v>1316</v>
      </c>
      <c r="D1121">
        <v>311</v>
      </c>
      <c r="E1121" t="s">
        <v>1113</v>
      </c>
    </row>
    <row r="1122" spans="1:5" x14ac:dyDescent="0.25">
      <c r="A1122" t="s">
        <v>875</v>
      </c>
      <c r="B1122">
        <v>3</v>
      </c>
      <c r="C1122" t="s">
        <v>1316</v>
      </c>
      <c r="D1122">
        <v>312</v>
      </c>
      <c r="E1122" t="s">
        <v>1113</v>
      </c>
    </row>
    <row r="1123" spans="1:5" x14ac:dyDescent="0.25">
      <c r="A1123" t="s">
        <v>875</v>
      </c>
      <c r="B1123">
        <v>3</v>
      </c>
      <c r="C1123" t="s">
        <v>1316</v>
      </c>
      <c r="D1123">
        <v>313</v>
      </c>
      <c r="E1123" t="s">
        <v>1113</v>
      </c>
    </row>
    <row r="1124" spans="1:5" x14ac:dyDescent="0.25">
      <c r="A1124" t="s">
        <v>875</v>
      </c>
      <c r="B1124">
        <v>3</v>
      </c>
      <c r="C1124" t="s">
        <v>1316</v>
      </c>
      <c r="D1124">
        <v>314</v>
      </c>
      <c r="E1124" t="s">
        <v>1113</v>
      </c>
    </row>
    <row r="1125" spans="1:5" x14ac:dyDescent="0.25">
      <c r="A1125" t="s">
        <v>875</v>
      </c>
      <c r="B1125">
        <v>3</v>
      </c>
      <c r="C1125" t="s">
        <v>1317</v>
      </c>
      <c r="D1125">
        <v>321</v>
      </c>
      <c r="E1125" t="s">
        <v>1113</v>
      </c>
    </row>
    <row r="1126" spans="1:5" x14ac:dyDescent="0.25">
      <c r="A1126" t="s">
        <v>875</v>
      </c>
      <c r="B1126">
        <v>3</v>
      </c>
      <c r="C1126" t="s">
        <v>1317</v>
      </c>
      <c r="D1126">
        <v>322</v>
      </c>
      <c r="E1126" t="s">
        <v>1113</v>
      </c>
    </row>
    <row r="1127" spans="1:5" x14ac:dyDescent="0.25">
      <c r="A1127" t="s">
        <v>875</v>
      </c>
      <c r="B1127">
        <v>3</v>
      </c>
      <c r="C1127" t="s">
        <v>1317</v>
      </c>
      <c r="D1127">
        <v>323</v>
      </c>
      <c r="E1127" t="s">
        <v>1113</v>
      </c>
    </row>
    <row r="1128" spans="1:5" x14ac:dyDescent="0.25">
      <c r="A1128" t="s">
        <v>875</v>
      </c>
      <c r="B1128">
        <v>3</v>
      </c>
      <c r="C1128" t="s">
        <v>1317</v>
      </c>
      <c r="D1128">
        <v>324</v>
      </c>
      <c r="E1128" t="s">
        <v>1113</v>
      </c>
    </row>
    <row r="1129" spans="1:5" x14ac:dyDescent="0.25">
      <c r="A1129" t="s">
        <v>875</v>
      </c>
      <c r="B1129">
        <v>3</v>
      </c>
      <c r="C1129" t="s">
        <v>1318</v>
      </c>
      <c r="D1129">
        <v>331</v>
      </c>
      <c r="E1129" t="s">
        <v>1113</v>
      </c>
    </row>
    <row r="1130" spans="1:5" x14ac:dyDescent="0.25">
      <c r="A1130" t="s">
        <v>875</v>
      </c>
      <c r="B1130">
        <v>3</v>
      </c>
      <c r="C1130" t="s">
        <v>1318</v>
      </c>
      <c r="D1130">
        <v>332</v>
      </c>
      <c r="E1130" t="s">
        <v>1113</v>
      </c>
    </row>
    <row r="1131" spans="1:5" x14ac:dyDescent="0.25">
      <c r="A1131" t="s">
        <v>875</v>
      </c>
      <c r="B1131">
        <v>3</v>
      </c>
      <c r="C1131" t="s">
        <v>1318</v>
      </c>
      <c r="D1131">
        <v>333</v>
      </c>
      <c r="E1131" t="s">
        <v>1113</v>
      </c>
    </row>
    <row r="1132" spans="1:5" x14ac:dyDescent="0.25">
      <c r="A1132" t="s">
        <v>875</v>
      </c>
      <c r="B1132">
        <v>3</v>
      </c>
      <c r="C1132" t="s">
        <v>1318</v>
      </c>
      <c r="D1132">
        <v>334</v>
      </c>
      <c r="E1132" t="s">
        <v>1113</v>
      </c>
    </row>
    <row r="1133" spans="1:5" x14ac:dyDescent="0.25">
      <c r="A1133" t="s">
        <v>875</v>
      </c>
      <c r="B1133">
        <v>3</v>
      </c>
      <c r="C1133" t="s">
        <v>1318</v>
      </c>
      <c r="D1133">
        <v>335</v>
      </c>
      <c r="E1133" t="s">
        <v>1113</v>
      </c>
    </row>
    <row r="1134" spans="1:5" x14ac:dyDescent="0.25">
      <c r="A1134" t="s">
        <v>875</v>
      </c>
      <c r="B1134">
        <v>3</v>
      </c>
      <c r="C1134" t="s">
        <v>1318</v>
      </c>
      <c r="D1134">
        <v>336</v>
      </c>
      <c r="E1134" t="s">
        <v>1113</v>
      </c>
    </row>
    <row r="1135" spans="1:5" x14ac:dyDescent="0.25">
      <c r="A1135" t="s">
        <v>1104</v>
      </c>
      <c r="B1135">
        <v>1</v>
      </c>
      <c r="C1135" t="s">
        <v>1319</v>
      </c>
      <c r="D1135">
        <v>601</v>
      </c>
      <c r="E1135" t="s">
        <v>1114</v>
      </c>
    </row>
    <row r="1136" spans="1:5" x14ac:dyDescent="0.25">
      <c r="A1136" t="s">
        <v>1104</v>
      </c>
      <c r="B1136">
        <v>1</v>
      </c>
      <c r="C1136" t="s">
        <v>1319</v>
      </c>
      <c r="D1136">
        <v>602</v>
      </c>
      <c r="E1136" t="s">
        <v>1114</v>
      </c>
    </row>
    <row r="1137" spans="1:5" x14ac:dyDescent="0.25">
      <c r="A1137" t="s">
        <v>1104</v>
      </c>
      <c r="B1137">
        <v>1</v>
      </c>
      <c r="C1137" t="s">
        <v>1320</v>
      </c>
      <c r="D1137">
        <v>603</v>
      </c>
      <c r="E1137" t="s">
        <v>1113</v>
      </c>
    </row>
    <row r="1138" spans="1:5" x14ac:dyDescent="0.25">
      <c r="A1138" t="s">
        <v>1104</v>
      </c>
      <c r="B1138">
        <v>1</v>
      </c>
      <c r="C1138" t="s">
        <v>1320</v>
      </c>
      <c r="D1138">
        <v>604</v>
      </c>
      <c r="E1138" t="s">
        <v>1113</v>
      </c>
    </row>
    <row r="1139" spans="1:5" x14ac:dyDescent="0.25">
      <c r="A1139" t="s">
        <v>1104</v>
      </c>
      <c r="B1139">
        <v>1</v>
      </c>
      <c r="D1139">
        <v>605</v>
      </c>
      <c r="E1139" t="s">
        <v>1113</v>
      </c>
    </row>
    <row r="1140" spans="1:5" x14ac:dyDescent="0.25">
      <c r="A1140" t="s">
        <v>1104</v>
      </c>
      <c r="B1140">
        <v>1</v>
      </c>
      <c r="D1140">
        <v>606</v>
      </c>
      <c r="E1140" t="s">
        <v>1113</v>
      </c>
    </row>
    <row r="1141" spans="1:5" x14ac:dyDescent="0.25">
      <c r="A1141" t="s">
        <v>1104</v>
      </c>
      <c r="B1141">
        <v>1</v>
      </c>
      <c r="D1141">
        <v>607</v>
      </c>
      <c r="E1141" t="s">
        <v>1113</v>
      </c>
    </row>
    <row r="1142" spans="1:5" x14ac:dyDescent="0.25">
      <c r="A1142" t="s">
        <v>1104</v>
      </c>
      <c r="B1142">
        <v>1</v>
      </c>
      <c r="D1142">
        <v>608</v>
      </c>
      <c r="E1142" t="s">
        <v>1113</v>
      </c>
    </row>
    <row r="1143" spans="1:5" x14ac:dyDescent="0.25">
      <c r="A1143" t="s">
        <v>1104</v>
      </c>
      <c r="B1143">
        <v>1</v>
      </c>
      <c r="D1143">
        <v>609</v>
      </c>
      <c r="E1143" t="s">
        <v>1113</v>
      </c>
    </row>
    <row r="1144" spans="1:5" x14ac:dyDescent="0.25">
      <c r="A1144" t="s">
        <v>1104</v>
      </c>
      <c r="B1144">
        <v>1</v>
      </c>
      <c r="C1144" t="s">
        <v>1321</v>
      </c>
      <c r="D1144">
        <v>610</v>
      </c>
      <c r="E1144" t="s">
        <v>1113</v>
      </c>
    </row>
    <row r="1145" spans="1:5" x14ac:dyDescent="0.25">
      <c r="A1145" t="s">
        <v>1104</v>
      </c>
      <c r="B1145">
        <v>1</v>
      </c>
      <c r="C1145" t="s">
        <v>1321</v>
      </c>
      <c r="D1145">
        <v>611</v>
      </c>
      <c r="E1145" t="s">
        <v>1113</v>
      </c>
    </row>
    <row r="1146" spans="1:5" x14ac:dyDescent="0.25">
      <c r="A1146" t="s">
        <v>1104</v>
      </c>
      <c r="B1146">
        <v>1</v>
      </c>
      <c r="D1146">
        <v>612</v>
      </c>
      <c r="E1146" t="s">
        <v>1113</v>
      </c>
    </row>
    <row r="1147" spans="1:5" x14ac:dyDescent="0.25">
      <c r="A1147" t="s">
        <v>1104</v>
      </c>
      <c r="B1147">
        <v>1</v>
      </c>
      <c r="D1147">
        <v>613</v>
      </c>
      <c r="E1147" t="s">
        <v>1113</v>
      </c>
    </row>
    <row r="1148" spans="1:5" x14ac:dyDescent="0.25">
      <c r="A1148" t="s">
        <v>1104</v>
      </c>
      <c r="B1148">
        <v>1</v>
      </c>
      <c r="D1148">
        <v>614</v>
      </c>
      <c r="E1148" t="s">
        <v>1113</v>
      </c>
    </row>
    <row r="1149" spans="1:5" x14ac:dyDescent="0.25">
      <c r="A1149" t="s">
        <v>1104</v>
      </c>
      <c r="B1149">
        <v>1</v>
      </c>
      <c r="D1149">
        <v>615</v>
      </c>
      <c r="E1149" t="s">
        <v>1113</v>
      </c>
    </row>
    <row r="1150" spans="1:5" x14ac:dyDescent="0.25">
      <c r="A1150" t="s">
        <v>1104</v>
      </c>
      <c r="B1150">
        <v>1</v>
      </c>
      <c r="D1150">
        <v>616</v>
      </c>
      <c r="E1150" t="s">
        <v>1113</v>
      </c>
    </row>
    <row r="1151" spans="1:5" x14ac:dyDescent="0.25">
      <c r="A1151" t="s">
        <v>1104</v>
      </c>
      <c r="B1151">
        <v>1</v>
      </c>
      <c r="C1151" t="s">
        <v>1322</v>
      </c>
      <c r="D1151">
        <v>617</v>
      </c>
      <c r="E1151" t="s">
        <v>1113</v>
      </c>
    </row>
    <row r="1152" spans="1:5" x14ac:dyDescent="0.25">
      <c r="A1152" t="s">
        <v>1104</v>
      </c>
      <c r="B1152">
        <v>1</v>
      </c>
      <c r="C1152" t="s">
        <v>1322</v>
      </c>
      <c r="D1152">
        <v>618</v>
      </c>
      <c r="E1152" t="s">
        <v>1113</v>
      </c>
    </row>
    <row r="1153" spans="1:5" x14ac:dyDescent="0.25">
      <c r="A1153" t="s">
        <v>1104</v>
      </c>
      <c r="B1153">
        <v>1</v>
      </c>
      <c r="D1153">
        <v>619</v>
      </c>
      <c r="E1153" t="s">
        <v>1113</v>
      </c>
    </row>
    <row r="1154" spans="1:5" x14ac:dyDescent="0.25">
      <c r="A1154" t="s">
        <v>1104</v>
      </c>
      <c r="B1154">
        <v>1</v>
      </c>
      <c r="D1154">
        <v>620</v>
      </c>
      <c r="E1154" t="s">
        <v>1113</v>
      </c>
    </row>
    <row r="1155" spans="1:5" x14ac:dyDescent="0.25">
      <c r="A1155" t="s">
        <v>1104</v>
      </c>
      <c r="B1155">
        <v>1</v>
      </c>
      <c r="D1155">
        <v>621</v>
      </c>
      <c r="E1155" t="s">
        <v>1113</v>
      </c>
    </row>
    <row r="1156" spans="1:5" x14ac:dyDescent="0.25">
      <c r="A1156" t="s">
        <v>1104</v>
      </c>
      <c r="B1156">
        <v>1</v>
      </c>
      <c r="D1156">
        <v>622</v>
      </c>
      <c r="E1156" t="s">
        <v>1113</v>
      </c>
    </row>
    <row r="1157" spans="1:5" x14ac:dyDescent="0.25">
      <c r="A1157" t="s">
        <v>1104</v>
      </c>
      <c r="B1157">
        <v>1</v>
      </c>
      <c r="D1157">
        <v>623</v>
      </c>
      <c r="E1157" t="s">
        <v>1113</v>
      </c>
    </row>
    <row r="1158" spans="1:5" x14ac:dyDescent="0.25">
      <c r="A1158" t="s">
        <v>1104</v>
      </c>
      <c r="B1158">
        <v>1</v>
      </c>
      <c r="C1158" t="s">
        <v>1323</v>
      </c>
      <c r="D1158">
        <v>624</v>
      </c>
      <c r="E1158" t="s">
        <v>1113</v>
      </c>
    </row>
    <row r="1159" spans="1:5" x14ac:dyDescent="0.25">
      <c r="A1159" t="s">
        <v>1104</v>
      </c>
      <c r="B1159">
        <v>1</v>
      </c>
      <c r="C1159" t="s">
        <v>1323</v>
      </c>
      <c r="D1159">
        <v>625</v>
      </c>
      <c r="E1159" t="s">
        <v>1113</v>
      </c>
    </row>
    <row r="1160" spans="1:5" x14ac:dyDescent="0.25">
      <c r="A1160" t="s">
        <v>1104</v>
      </c>
      <c r="B1160">
        <v>1</v>
      </c>
      <c r="C1160" t="s">
        <v>1324</v>
      </c>
      <c r="D1160">
        <v>626</v>
      </c>
      <c r="E1160" t="s">
        <v>1113</v>
      </c>
    </row>
    <row r="1161" spans="1:5" x14ac:dyDescent="0.25">
      <c r="A1161" t="s">
        <v>1104</v>
      </c>
      <c r="B1161">
        <v>1</v>
      </c>
      <c r="C1161" t="s">
        <v>1324</v>
      </c>
      <c r="D1161">
        <v>627</v>
      </c>
      <c r="E1161" t="s">
        <v>1113</v>
      </c>
    </row>
    <row r="1162" spans="1:5" x14ac:dyDescent="0.25">
      <c r="A1162" t="s">
        <v>1104</v>
      </c>
      <c r="B1162">
        <v>1</v>
      </c>
      <c r="C1162" t="s">
        <v>1325</v>
      </c>
      <c r="D1162">
        <v>628</v>
      </c>
      <c r="E1162" t="s">
        <v>1113</v>
      </c>
    </row>
    <row r="1163" spans="1:5" x14ac:dyDescent="0.25">
      <c r="A1163" t="s">
        <v>1104</v>
      </c>
      <c r="B1163">
        <v>1</v>
      </c>
      <c r="C1163" t="s">
        <v>1325</v>
      </c>
      <c r="D1163">
        <v>629</v>
      </c>
      <c r="E1163" t="s">
        <v>1113</v>
      </c>
    </row>
    <row r="1164" spans="1:5" x14ac:dyDescent="0.25">
      <c r="A1164" t="s">
        <v>1104</v>
      </c>
      <c r="B1164">
        <v>1</v>
      </c>
      <c r="C1164" t="s">
        <v>1326</v>
      </c>
      <c r="D1164">
        <v>630</v>
      </c>
      <c r="E1164" t="s">
        <v>1113</v>
      </c>
    </row>
    <row r="1165" spans="1:5" x14ac:dyDescent="0.25">
      <c r="A1165" t="s">
        <v>1104</v>
      </c>
      <c r="B1165">
        <v>1</v>
      </c>
      <c r="C1165" t="s">
        <v>1326</v>
      </c>
      <c r="D1165">
        <v>631</v>
      </c>
      <c r="E1165" t="s">
        <v>1113</v>
      </c>
    </row>
    <row r="1166" spans="1:5" x14ac:dyDescent="0.25">
      <c r="A1166" t="s">
        <v>1104</v>
      </c>
      <c r="B1166">
        <v>1</v>
      </c>
      <c r="C1166" t="s">
        <v>1327</v>
      </c>
      <c r="D1166">
        <v>632</v>
      </c>
      <c r="E1166" t="s">
        <v>1113</v>
      </c>
    </row>
    <row r="1167" spans="1:5" x14ac:dyDescent="0.25">
      <c r="A1167" t="s">
        <v>1104</v>
      </c>
      <c r="B1167">
        <v>1</v>
      </c>
      <c r="C1167" t="s">
        <v>1327</v>
      </c>
      <c r="D1167">
        <v>633</v>
      </c>
      <c r="E1167" t="s">
        <v>1113</v>
      </c>
    </row>
    <row r="1168" spans="1:5" x14ac:dyDescent="0.25">
      <c r="A1168" t="s">
        <v>1104</v>
      </c>
      <c r="B1168">
        <v>1</v>
      </c>
      <c r="C1168" t="s">
        <v>1328</v>
      </c>
      <c r="D1168">
        <v>634</v>
      </c>
      <c r="E1168" t="s">
        <v>1113</v>
      </c>
    </row>
    <row r="1169" spans="1:5" x14ac:dyDescent="0.25">
      <c r="A1169" t="s">
        <v>1104</v>
      </c>
      <c r="B1169">
        <v>1</v>
      </c>
      <c r="C1169" t="s">
        <v>1328</v>
      </c>
      <c r="D1169">
        <v>635</v>
      </c>
      <c r="E1169" t="s">
        <v>1113</v>
      </c>
    </row>
    <row r="1170" spans="1:5" x14ac:dyDescent="0.25">
      <c r="A1170" t="s">
        <v>1104</v>
      </c>
      <c r="B1170">
        <v>1</v>
      </c>
      <c r="C1170" t="s">
        <v>1329</v>
      </c>
      <c r="D1170">
        <v>636</v>
      </c>
      <c r="E1170" t="s">
        <v>1113</v>
      </c>
    </row>
    <row r="1171" spans="1:5" x14ac:dyDescent="0.25">
      <c r="A1171" t="s">
        <v>1104</v>
      </c>
      <c r="B1171">
        <v>1</v>
      </c>
      <c r="C1171" t="s">
        <v>1329</v>
      </c>
      <c r="D1171">
        <v>637</v>
      </c>
      <c r="E1171" t="s">
        <v>1113</v>
      </c>
    </row>
    <row r="1172" spans="1:5" x14ac:dyDescent="0.25">
      <c r="A1172" t="s">
        <v>1104</v>
      </c>
      <c r="B1172">
        <v>1</v>
      </c>
      <c r="C1172" t="s">
        <v>1330</v>
      </c>
      <c r="D1172">
        <v>638</v>
      </c>
      <c r="E1172" t="s">
        <v>1113</v>
      </c>
    </row>
    <row r="1173" spans="1:5" x14ac:dyDescent="0.25">
      <c r="A1173" t="s">
        <v>1104</v>
      </c>
      <c r="B1173">
        <v>1</v>
      </c>
      <c r="C1173" t="s">
        <v>1330</v>
      </c>
      <c r="D1173">
        <v>639</v>
      </c>
      <c r="E1173" t="s">
        <v>1113</v>
      </c>
    </row>
    <row r="1174" spans="1:5" x14ac:dyDescent="0.25">
      <c r="A1174" t="s">
        <v>1104</v>
      </c>
      <c r="B1174">
        <v>1</v>
      </c>
      <c r="C1174" t="s">
        <v>1331</v>
      </c>
      <c r="D1174">
        <v>640</v>
      </c>
      <c r="E1174" t="s">
        <v>1113</v>
      </c>
    </row>
    <row r="1175" spans="1:5" x14ac:dyDescent="0.25">
      <c r="A1175" t="s">
        <v>1104</v>
      </c>
      <c r="B1175">
        <v>1</v>
      </c>
      <c r="C1175" t="s">
        <v>1331</v>
      </c>
      <c r="D1175">
        <v>641</v>
      </c>
      <c r="E1175" t="s">
        <v>1113</v>
      </c>
    </row>
    <row r="1176" spans="1:5" x14ac:dyDescent="0.25">
      <c r="A1176" t="s">
        <v>1104</v>
      </c>
      <c r="B1176">
        <v>1</v>
      </c>
      <c r="C1176" t="s">
        <v>1332</v>
      </c>
      <c r="D1176">
        <v>642</v>
      </c>
      <c r="E1176" t="s">
        <v>1113</v>
      </c>
    </row>
    <row r="1177" spans="1:5" x14ac:dyDescent="0.25">
      <c r="A1177" t="s">
        <v>1104</v>
      </c>
      <c r="B1177">
        <v>1</v>
      </c>
      <c r="C1177" t="s">
        <v>1332</v>
      </c>
      <c r="D1177">
        <v>643</v>
      </c>
      <c r="E1177" t="s">
        <v>1113</v>
      </c>
    </row>
    <row r="1178" spans="1:5" x14ac:dyDescent="0.25">
      <c r="A1178" t="s">
        <v>1104</v>
      </c>
      <c r="B1178">
        <v>1</v>
      </c>
      <c r="C1178" t="s">
        <v>1333</v>
      </c>
      <c r="D1178">
        <v>644</v>
      </c>
      <c r="E1178" t="s">
        <v>1113</v>
      </c>
    </row>
    <row r="1179" spans="1:5" x14ac:dyDescent="0.25">
      <c r="A1179" t="s">
        <v>1104</v>
      </c>
      <c r="B1179">
        <v>1</v>
      </c>
      <c r="C1179" t="s">
        <v>1333</v>
      </c>
      <c r="D1179">
        <v>645</v>
      </c>
      <c r="E1179" t="s">
        <v>1113</v>
      </c>
    </row>
    <row r="1180" spans="1:5" x14ac:dyDescent="0.25">
      <c r="A1180" t="s">
        <v>1104</v>
      </c>
      <c r="B1180">
        <v>1</v>
      </c>
      <c r="C1180" t="s">
        <v>1334</v>
      </c>
      <c r="D1180">
        <v>646</v>
      </c>
      <c r="E1180" t="s">
        <v>1113</v>
      </c>
    </row>
    <row r="1181" spans="1:5" x14ac:dyDescent="0.25">
      <c r="A1181" t="s">
        <v>1104</v>
      </c>
      <c r="B1181">
        <v>1</v>
      </c>
      <c r="C1181" t="s">
        <v>1334</v>
      </c>
      <c r="D1181">
        <v>647</v>
      </c>
      <c r="E1181" t="s">
        <v>1113</v>
      </c>
    </row>
    <row r="1182" spans="1:5" x14ac:dyDescent="0.25">
      <c r="A1182" t="s">
        <v>1104</v>
      </c>
      <c r="B1182">
        <v>1</v>
      </c>
      <c r="C1182" t="s">
        <v>1335</v>
      </c>
      <c r="D1182">
        <v>648</v>
      </c>
      <c r="E1182" t="s">
        <v>1113</v>
      </c>
    </row>
    <row r="1183" spans="1:5" x14ac:dyDescent="0.25">
      <c r="A1183" t="s">
        <v>1104</v>
      </c>
      <c r="B1183">
        <v>1</v>
      </c>
      <c r="C1183" t="s">
        <v>1335</v>
      </c>
      <c r="D1183">
        <v>649</v>
      </c>
      <c r="E1183" t="s">
        <v>1113</v>
      </c>
    </row>
    <row r="1184" spans="1:5" x14ac:dyDescent="0.25">
      <c r="A1184" t="s">
        <v>1104</v>
      </c>
      <c r="B1184">
        <v>1</v>
      </c>
      <c r="C1184" t="s">
        <v>1336</v>
      </c>
      <c r="D1184">
        <v>650</v>
      </c>
      <c r="E1184" t="s">
        <v>1113</v>
      </c>
    </row>
    <row r="1185" spans="1:5" x14ac:dyDescent="0.25">
      <c r="A1185" t="s">
        <v>1104</v>
      </c>
      <c r="B1185">
        <v>1</v>
      </c>
      <c r="C1185" t="s">
        <v>1336</v>
      </c>
      <c r="D1185">
        <v>651</v>
      </c>
      <c r="E1185" t="s">
        <v>1113</v>
      </c>
    </row>
    <row r="1186" spans="1:5" x14ac:dyDescent="0.25">
      <c r="A1186" t="s">
        <v>1104</v>
      </c>
      <c r="B1186">
        <v>1</v>
      </c>
      <c r="C1186" t="s">
        <v>1336</v>
      </c>
      <c r="D1186">
        <v>652</v>
      </c>
      <c r="E1186" t="s">
        <v>1113</v>
      </c>
    </row>
    <row r="1187" spans="1:5" x14ac:dyDescent="0.25">
      <c r="A1187" t="s">
        <v>1104</v>
      </c>
      <c r="B1187">
        <v>1</v>
      </c>
      <c r="C1187" t="s">
        <v>1334</v>
      </c>
      <c r="D1187">
        <v>653</v>
      </c>
      <c r="E1187" t="s">
        <v>1113</v>
      </c>
    </row>
    <row r="1188" spans="1:5" x14ac:dyDescent="0.25">
      <c r="A1188" t="s">
        <v>1104</v>
      </c>
      <c r="B1188">
        <v>1</v>
      </c>
      <c r="C1188" t="s">
        <v>1332</v>
      </c>
      <c r="D1188">
        <v>654</v>
      </c>
      <c r="E1188" t="s">
        <v>1113</v>
      </c>
    </row>
    <row r="1189" spans="1:5" x14ac:dyDescent="0.25">
      <c r="A1189" t="s">
        <v>1104</v>
      </c>
      <c r="B1189">
        <v>1</v>
      </c>
      <c r="C1189" t="s">
        <v>1330</v>
      </c>
      <c r="D1189">
        <v>655</v>
      </c>
      <c r="E1189" t="s">
        <v>1113</v>
      </c>
    </row>
    <row r="1190" spans="1:5" x14ac:dyDescent="0.25">
      <c r="A1190" t="s">
        <v>1104</v>
      </c>
      <c r="B1190">
        <v>1</v>
      </c>
      <c r="C1190" t="s">
        <v>1328</v>
      </c>
      <c r="D1190">
        <v>656</v>
      </c>
      <c r="E1190" t="s">
        <v>1113</v>
      </c>
    </row>
    <row r="1191" spans="1:5" x14ac:dyDescent="0.25">
      <c r="A1191" t="s">
        <v>1104</v>
      </c>
      <c r="B1191">
        <v>1</v>
      </c>
      <c r="C1191" t="s">
        <v>1326</v>
      </c>
      <c r="D1191">
        <v>657</v>
      </c>
      <c r="E1191" t="s">
        <v>1113</v>
      </c>
    </row>
    <row r="1192" spans="1:5" x14ac:dyDescent="0.25">
      <c r="A1192" t="s">
        <v>1104</v>
      </c>
      <c r="B1192">
        <v>2</v>
      </c>
      <c r="D1192">
        <v>701</v>
      </c>
      <c r="E1192" t="s">
        <v>1113</v>
      </c>
    </row>
    <row r="1193" spans="1:5" x14ac:dyDescent="0.25">
      <c r="A1193" t="s">
        <v>1104</v>
      </c>
      <c r="B1193">
        <v>2</v>
      </c>
      <c r="D1193">
        <v>702</v>
      </c>
      <c r="E1193" t="s">
        <v>1113</v>
      </c>
    </row>
    <row r="1194" spans="1:5" x14ac:dyDescent="0.25">
      <c r="A1194" t="s">
        <v>1104</v>
      </c>
      <c r="B1194">
        <v>2</v>
      </c>
      <c r="D1194">
        <v>703</v>
      </c>
      <c r="E1194" t="s">
        <v>1113</v>
      </c>
    </row>
    <row r="1195" spans="1:5" x14ac:dyDescent="0.25">
      <c r="A1195" t="s">
        <v>1104</v>
      </c>
      <c r="B1195">
        <v>2</v>
      </c>
      <c r="D1195">
        <v>704</v>
      </c>
      <c r="E1195" t="s">
        <v>1113</v>
      </c>
    </row>
    <row r="1196" spans="1:5" x14ac:dyDescent="0.25">
      <c r="A1196" t="s">
        <v>1104</v>
      </c>
      <c r="B1196">
        <v>2</v>
      </c>
      <c r="D1196">
        <v>705</v>
      </c>
      <c r="E1196" t="s">
        <v>1113</v>
      </c>
    </row>
    <row r="1197" spans="1:5" x14ac:dyDescent="0.25">
      <c r="A1197" t="s">
        <v>1104</v>
      </c>
      <c r="B1197">
        <v>2</v>
      </c>
      <c r="D1197">
        <v>706</v>
      </c>
      <c r="E1197" t="s">
        <v>1113</v>
      </c>
    </row>
    <row r="1198" spans="1:5" x14ac:dyDescent="0.25">
      <c r="A1198" t="s">
        <v>1104</v>
      </c>
      <c r="B1198">
        <v>2</v>
      </c>
      <c r="D1198">
        <v>707</v>
      </c>
      <c r="E1198" t="s">
        <v>1113</v>
      </c>
    </row>
    <row r="1199" spans="1:5" x14ac:dyDescent="0.25">
      <c r="A1199" t="s">
        <v>1104</v>
      </c>
      <c r="B1199">
        <v>2</v>
      </c>
      <c r="D1199">
        <v>708</v>
      </c>
      <c r="E1199" t="s">
        <v>1113</v>
      </c>
    </row>
    <row r="1200" spans="1:5" x14ac:dyDescent="0.25">
      <c r="A1200" t="s">
        <v>1104</v>
      </c>
      <c r="B1200">
        <v>2</v>
      </c>
      <c r="D1200">
        <v>709</v>
      </c>
      <c r="E1200" t="s">
        <v>1113</v>
      </c>
    </row>
    <row r="1201" spans="1:5" x14ac:dyDescent="0.25">
      <c r="A1201" t="s">
        <v>1104</v>
      </c>
      <c r="B1201">
        <v>2</v>
      </c>
      <c r="D1201">
        <v>710</v>
      </c>
      <c r="E1201" t="s">
        <v>1113</v>
      </c>
    </row>
    <row r="1202" spans="1:5" x14ac:dyDescent="0.25">
      <c r="A1202" t="s">
        <v>1104</v>
      </c>
      <c r="B1202">
        <v>2</v>
      </c>
      <c r="D1202">
        <v>711</v>
      </c>
      <c r="E1202" t="s">
        <v>1113</v>
      </c>
    </row>
    <row r="1203" spans="1:5" x14ac:dyDescent="0.25">
      <c r="A1203" t="s">
        <v>1104</v>
      </c>
      <c r="B1203">
        <v>2</v>
      </c>
      <c r="D1203">
        <v>712</v>
      </c>
      <c r="E1203" t="s">
        <v>1113</v>
      </c>
    </row>
    <row r="1204" spans="1:5" x14ac:dyDescent="0.25">
      <c r="A1204" t="s">
        <v>1104</v>
      </c>
      <c r="B1204">
        <v>2</v>
      </c>
      <c r="D1204">
        <v>713</v>
      </c>
      <c r="E1204" t="s">
        <v>1113</v>
      </c>
    </row>
    <row r="1205" spans="1:5" x14ac:dyDescent="0.25">
      <c r="A1205" t="s">
        <v>1104</v>
      </c>
      <c r="B1205">
        <v>2</v>
      </c>
      <c r="D1205">
        <v>714</v>
      </c>
      <c r="E1205" t="s">
        <v>1113</v>
      </c>
    </row>
    <row r="1206" spans="1:5" x14ac:dyDescent="0.25">
      <c r="A1206" t="s">
        <v>1104</v>
      </c>
      <c r="B1206">
        <v>2</v>
      </c>
      <c r="D1206">
        <v>715</v>
      </c>
      <c r="E1206" t="s">
        <v>1113</v>
      </c>
    </row>
    <row r="1207" spans="1:5" x14ac:dyDescent="0.25">
      <c r="A1207" t="s">
        <v>1104</v>
      </c>
      <c r="B1207">
        <v>2</v>
      </c>
      <c r="D1207">
        <v>716</v>
      </c>
      <c r="E1207" t="s">
        <v>1113</v>
      </c>
    </row>
    <row r="1208" spans="1:5" x14ac:dyDescent="0.25">
      <c r="A1208" t="s">
        <v>1104</v>
      </c>
      <c r="B1208">
        <v>2</v>
      </c>
      <c r="D1208">
        <v>717</v>
      </c>
      <c r="E1208" t="s">
        <v>1113</v>
      </c>
    </row>
    <row r="1209" spans="1:5" x14ac:dyDescent="0.25">
      <c r="A1209" t="s">
        <v>1104</v>
      </c>
      <c r="B1209">
        <v>2</v>
      </c>
      <c r="D1209">
        <v>718</v>
      </c>
      <c r="E1209" t="s">
        <v>1113</v>
      </c>
    </row>
    <row r="1210" spans="1:5" x14ac:dyDescent="0.25">
      <c r="A1210" t="s">
        <v>1104</v>
      </c>
      <c r="B1210">
        <v>2</v>
      </c>
      <c r="D1210">
        <v>719</v>
      </c>
      <c r="E1210" t="s">
        <v>1113</v>
      </c>
    </row>
    <row r="1211" spans="1:5" x14ac:dyDescent="0.25">
      <c r="A1211" t="s">
        <v>1104</v>
      </c>
      <c r="B1211">
        <v>2</v>
      </c>
      <c r="D1211">
        <v>720</v>
      </c>
      <c r="E1211" t="s">
        <v>1113</v>
      </c>
    </row>
    <row r="1212" spans="1:5" x14ac:dyDescent="0.25">
      <c r="A1212" t="s">
        <v>1104</v>
      </c>
      <c r="B1212">
        <v>2</v>
      </c>
      <c r="D1212">
        <v>721</v>
      </c>
      <c r="E1212" t="s">
        <v>1113</v>
      </c>
    </row>
    <row r="1213" spans="1:5" x14ac:dyDescent="0.25">
      <c r="A1213" t="s">
        <v>1104</v>
      </c>
      <c r="B1213">
        <v>2</v>
      </c>
      <c r="D1213">
        <v>722</v>
      </c>
      <c r="E1213" t="s">
        <v>1113</v>
      </c>
    </row>
    <row r="1214" spans="1:5" x14ac:dyDescent="0.25">
      <c r="A1214" t="s">
        <v>1104</v>
      </c>
      <c r="B1214">
        <v>2</v>
      </c>
      <c r="D1214">
        <v>723</v>
      </c>
      <c r="E1214" t="s">
        <v>1113</v>
      </c>
    </row>
    <row r="1215" spans="1:5" x14ac:dyDescent="0.25">
      <c r="A1215" t="s">
        <v>1104</v>
      </c>
      <c r="B1215">
        <v>2</v>
      </c>
      <c r="D1215">
        <v>724</v>
      </c>
      <c r="E1215" t="s">
        <v>1113</v>
      </c>
    </row>
    <row r="1216" spans="1:5" x14ac:dyDescent="0.25">
      <c r="A1216" t="s">
        <v>1104</v>
      </c>
      <c r="B1216">
        <v>2</v>
      </c>
      <c r="D1216">
        <v>725</v>
      </c>
      <c r="E1216" t="s">
        <v>1113</v>
      </c>
    </row>
    <row r="1217" spans="1:5" x14ac:dyDescent="0.25">
      <c r="A1217" t="s">
        <v>1104</v>
      </c>
      <c r="B1217">
        <v>2</v>
      </c>
      <c r="D1217">
        <v>726</v>
      </c>
      <c r="E1217" t="s">
        <v>1113</v>
      </c>
    </row>
    <row r="1218" spans="1:5" x14ac:dyDescent="0.25">
      <c r="A1218" t="s">
        <v>1104</v>
      </c>
      <c r="B1218">
        <v>2</v>
      </c>
      <c r="D1218">
        <v>727</v>
      </c>
      <c r="E1218" t="s">
        <v>1113</v>
      </c>
    </row>
    <row r="1219" spans="1:5" x14ac:dyDescent="0.25">
      <c r="A1219" t="s">
        <v>1104</v>
      </c>
      <c r="B1219">
        <v>2</v>
      </c>
      <c r="D1219">
        <v>728</v>
      </c>
      <c r="E1219" t="s">
        <v>1113</v>
      </c>
    </row>
    <row r="1220" spans="1:5" x14ac:dyDescent="0.25">
      <c r="A1220" t="s">
        <v>1104</v>
      </c>
      <c r="B1220">
        <v>2</v>
      </c>
      <c r="D1220">
        <v>729</v>
      </c>
      <c r="E1220" t="s">
        <v>1113</v>
      </c>
    </row>
    <row r="1221" spans="1:5" x14ac:dyDescent="0.25">
      <c r="A1221" t="s">
        <v>1104</v>
      </c>
      <c r="B1221">
        <v>2</v>
      </c>
      <c r="D1221">
        <v>730</v>
      </c>
      <c r="E1221" t="s">
        <v>1113</v>
      </c>
    </row>
    <row r="1222" spans="1:5" x14ac:dyDescent="0.25">
      <c r="A1222" t="s">
        <v>1104</v>
      </c>
      <c r="B1222">
        <v>2</v>
      </c>
      <c r="D1222">
        <v>731</v>
      </c>
      <c r="E1222" t="s">
        <v>1113</v>
      </c>
    </row>
    <row r="1223" spans="1:5" x14ac:dyDescent="0.25">
      <c r="A1223" t="s">
        <v>1104</v>
      </c>
      <c r="B1223">
        <v>2</v>
      </c>
      <c r="D1223">
        <v>732</v>
      </c>
      <c r="E1223" t="s">
        <v>1113</v>
      </c>
    </row>
    <row r="1224" spans="1:5" x14ac:dyDescent="0.25">
      <c r="A1224" t="s">
        <v>1104</v>
      </c>
      <c r="B1224">
        <v>2</v>
      </c>
      <c r="D1224">
        <v>733</v>
      </c>
      <c r="E1224" t="s">
        <v>1113</v>
      </c>
    </row>
    <row r="1225" spans="1:5" x14ac:dyDescent="0.25">
      <c r="A1225" t="s">
        <v>1104</v>
      </c>
      <c r="B1225">
        <v>2</v>
      </c>
      <c r="C1225" t="s">
        <v>1337</v>
      </c>
      <c r="D1225">
        <v>734</v>
      </c>
      <c r="E1225" t="s">
        <v>1113</v>
      </c>
    </row>
    <row r="1226" spans="1:5" x14ac:dyDescent="0.25">
      <c r="A1226" t="s">
        <v>1104</v>
      </c>
      <c r="B1226">
        <v>2</v>
      </c>
      <c r="C1226" t="s">
        <v>1337</v>
      </c>
      <c r="D1226">
        <v>735</v>
      </c>
      <c r="E1226" t="s">
        <v>1113</v>
      </c>
    </row>
    <row r="1227" spans="1:5" x14ac:dyDescent="0.25">
      <c r="A1227" t="s">
        <v>1104</v>
      </c>
      <c r="B1227">
        <v>2</v>
      </c>
      <c r="C1227" t="s">
        <v>1338</v>
      </c>
      <c r="D1227">
        <v>736</v>
      </c>
      <c r="E1227" t="s">
        <v>1113</v>
      </c>
    </row>
    <row r="1228" spans="1:5" x14ac:dyDescent="0.25">
      <c r="A1228" t="s">
        <v>1104</v>
      </c>
      <c r="B1228">
        <v>2</v>
      </c>
      <c r="C1228" t="s">
        <v>1338</v>
      </c>
      <c r="D1228">
        <v>737</v>
      </c>
      <c r="E1228" t="s">
        <v>1113</v>
      </c>
    </row>
    <row r="1229" spans="1:5" x14ac:dyDescent="0.25">
      <c r="A1229" t="s">
        <v>1104</v>
      </c>
      <c r="B1229">
        <v>2</v>
      </c>
      <c r="C1229" t="s">
        <v>1339</v>
      </c>
      <c r="D1229">
        <v>738</v>
      </c>
      <c r="E1229" t="s">
        <v>1113</v>
      </c>
    </row>
    <row r="1230" spans="1:5" x14ac:dyDescent="0.25">
      <c r="A1230" t="s">
        <v>1104</v>
      </c>
      <c r="B1230">
        <v>2</v>
      </c>
      <c r="C1230" t="s">
        <v>1339</v>
      </c>
      <c r="D1230">
        <v>739</v>
      </c>
      <c r="E1230" t="s">
        <v>1113</v>
      </c>
    </row>
    <row r="1231" spans="1:5" x14ac:dyDescent="0.25">
      <c r="A1231" t="s">
        <v>1104</v>
      </c>
      <c r="B1231">
        <v>2</v>
      </c>
      <c r="C1231" t="s">
        <v>1340</v>
      </c>
      <c r="D1231">
        <v>740</v>
      </c>
      <c r="E1231" t="s">
        <v>1113</v>
      </c>
    </row>
    <row r="1232" spans="1:5" x14ac:dyDescent="0.25">
      <c r="A1232" t="s">
        <v>1104</v>
      </c>
      <c r="B1232">
        <v>2</v>
      </c>
      <c r="C1232" t="s">
        <v>1340</v>
      </c>
      <c r="D1232">
        <v>741</v>
      </c>
      <c r="E1232" t="s">
        <v>1113</v>
      </c>
    </row>
    <row r="1233" spans="1:5" x14ac:dyDescent="0.25">
      <c r="A1233" t="s">
        <v>1104</v>
      </c>
      <c r="B1233">
        <v>2</v>
      </c>
      <c r="C1233" t="s">
        <v>1341</v>
      </c>
      <c r="D1233">
        <v>742</v>
      </c>
      <c r="E1233" t="s">
        <v>1113</v>
      </c>
    </row>
    <row r="1234" spans="1:5" x14ac:dyDescent="0.25">
      <c r="A1234" t="s">
        <v>1104</v>
      </c>
      <c r="B1234">
        <v>2</v>
      </c>
      <c r="C1234" t="s">
        <v>1341</v>
      </c>
      <c r="D1234">
        <v>743</v>
      </c>
      <c r="E1234" t="s">
        <v>1113</v>
      </c>
    </row>
    <row r="1235" spans="1:5" x14ac:dyDescent="0.25">
      <c r="A1235" t="s">
        <v>1104</v>
      </c>
      <c r="B1235">
        <v>2</v>
      </c>
      <c r="C1235" t="s">
        <v>1342</v>
      </c>
      <c r="D1235">
        <v>744</v>
      </c>
      <c r="E1235" t="s">
        <v>1113</v>
      </c>
    </row>
    <row r="1236" spans="1:5" x14ac:dyDescent="0.25">
      <c r="A1236" t="s">
        <v>1104</v>
      </c>
      <c r="B1236">
        <v>2</v>
      </c>
      <c r="C1236" t="s">
        <v>1342</v>
      </c>
      <c r="D1236">
        <v>745</v>
      </c>
      <c r="E1236" t="s">
        <v>1113</v>
      </c>
    </row>
    <row r="1237" spans="1:5" x14ac:dyDescent="0.25">
      <c r="A1237" t="s">
        <v>1104</v>
      </c>
      <c r="B1237">
        <v>2</v>
      </c>
      <c r="C1237" t="s">
        <v>1343</v>
      </c>
      <c r="D1237">
        <v>746</v>
      </c>
      <c r="E1237" t="s">
        <v>1113</v>
      </c>
    </row>
    <row r="1238" spans="1:5" x14ac:dyDescent="0.25">
      <c r="A1238" t="s">
        <v>1104</v>
      </c>
      <c r="B1238">
        <v>2</v>
      </c>
      <c r="C1238" t="s">
        <v>1343</v>
      </c>
      <c r="D1238">
        <v>747</v>
      </c>
      <c r="E1238" t="s">
        <v>1113</v>
      </c>
    </row>
    <row r="1239" spans="1:5" x14ac:dyDescent="0.25">
      <c r="A1239" t="s">
        <v>1104</v>
      </c>
      <c r="B1239">
        <v>2</v>
      </c>
      <c r="C1239" t="s">
        <v>1344</v>
      </c>
      <c r="D1239">
        <v>748</v>
      </c>
      <c r="E1239" t="s">
        <v>1113</v>
      </c>
    </row>
    <row r="1240" spans="1:5" x14ac:dyDescent="0.25">
      <c r="A1240" t="s">
        <v>1104</v>
      </c>
      <c r="B1240">
        <v>2</v>
      </c>
      <c r="C1240" t="s">
        <v>1344</v>
      </c>
      <c r="D1240">
        <v>749</v>
      </c>
      <c r="E1240" t="s">
        <v>1113</v>
      </c>
    </row>
    <row r="1241" spans="1:5" x14ac:dyDescent="0.25">
      <c r="A1241" t="s">
        <v>1104</v>
      </c>
      <c r="B1241">
        <v>2</v>
      </c>
      <c r="C1241" t="s">
        <v>1345</v>
      </c>
      <c r="D1241">
        <v>750</v>
      </c>
      <c r="E1241" t="s">
        <v>1113</v>
      </c>
    </row>
    <row r="1242" spans="1:5" x14ac:dyDescent="0.25">
      <c r="A1242" t="s">
        <v>1104</v>
      </c>
      <c r="B1242">
        <v>2</v>
      </c>
      <c r="C1242" t="s">
        <v>1345</v>
      </c>
      <c r="D1242">
        <v>751</v>
      </c>
      <c r="E1242" t="s">
        <v>1113</v>
      </c>
    </row>
    <row r="1243" spans="1:5" x14ac:dyDescent="0.25">
      <c r="A1243" t="s">
        <v>1104</v>
      </c>
      <c r="B1243">
        <v>2</v>
      </c>
      <c r="C1243" t="s">
        <v>1346</v>
      </c>
      <c r="D1243">
        <v>752</v>
      </c>
      <c r="E1243" t="s">
        <v>1113</v>
      </c>
    </row>
    <row r="1244" spans="1:5" x14ac:dyDescent="0.25">
      <c r="A1244" t="s">
        <v>1104</v>
      </c>
      <c r="B1244">
        <v>2</v>
      </c>
      <c r="C1244" t="s">
        <v>1346</v>
      </c>
      <c r="D1244">
        <v>753</v>
      </c>
      <c r="E1244" t="s">
        <v>1113</v>
      </c>
    </row>
    <row r="1245" spans="1:5" x14ac:dyDescent="0.25">
      <c r="A1245" t="s">
        <v>903</v>
      </c>
      <c r="B1245">
        <v>1</v>
      </c>
      <c r="C1245" t="s">
        <v>1347</v>
      </c>
      <c r="D1245" t="s">
        <v>906</v>
      </c>
      <c r="E1245" t="s">
        <v>1114</v>
      </c>
    </row>
    <row r="1246" spans="1:5" x14ac:dyDescent="0.25">
      <c r="A1246" t="s">
        <v>903</v>
      </c>
      <c r="B1246">
        <v>1</v>
      </c>
      <c r="C1246" t="s">
        <v>1347</v>
      </c>
      <c r="D1246" t="s">
        <v>907</v>
      </c>
      <c r="E1246" t="s">
        <v>1113</v>
      </c>
    </row>
    <row r="1247" spans="1:5" x14ac:dyDescent="0.25">
      <c r="A1247" t="s">
        <v>903</v>
      </c>
      <c r="B1247">
        <v>1</v>
      </c>
      <c r="D1247">
        <v>101</v>
      </c>
      <c r="E1247" t="s">
        <v>1175</v>
      </c>
    </row>
    <row r="1248" spans="1:5" x14ac:dyDescent="0.25">
      <c r="A1248" t="s">
        <v>903</v>
      </c>
      <c r="B1248">
        <v>1</v>
      </c>
      <c r="D1248">
        <v>102</v>
      </c>
      <c r="E1248" t="s">
        <v>1175</v>
      </c>
    </row>
    <row r="1249" spans="1:5" x14ac:dyDescent="0.25">
      <c r="A1249" t="s">
        <v>903</v>
      </c>
      <c r="B1249">
        <v>1</v>
      </c>
      <c r="D1249">
        <v>103</v>
      </c>
      <c r="E1249" t="s">
        <v>1175</v>
      </c>
    </row>
    <row r="1250" spans="1:5" x14ac:dyDescent="0.25">
      <c r="A1250" t="s">
        <v>903</v>
      </c>
      <c r="B1250">
        <v>1</v>
      </c>
      <c r="D1250">
        <v>104</v>
      </c>
      <c r="E1250" t="s">
        <v>1113</v>
      </c>
    </row>
    <row r="1251" spans="1:5" x14ac:dyDescent="0.25">
      <c r="A1251" t="s">
        <v>903</v>
      </c>
      <c r="B1251">
        <v>1</v>
      </c>
      <c r="D1251">
        <v>105</v>
      </c>
      <c r="E1251" t="s">
        <v>1114</v>
      </c>
    </row>
    <row r="1252" spans="1:5" x14ac:dyDescent="0.25">
      <c r="A1252" t="s">
        <v>903</v>
      </c>
      <c r="B1252">
        <v>1</v>
      </c>
      <c r="D1252">
        <v>106</v>
      </c>
      <c r="E1252" t="s">
        <v>1114</v>
      </c>
    </row>
    <row r="1253" spans="1:5" x14ac:dyDescent="0.25">
      <c r="A1253" t="s">
        <v>903</v>
      </c>
      <c r="B1253">
        <v>1</v>
      </c>
      <c r="D1253">
        <v>107</v>
      </c>
      <c r="E1253" t="s">
        <v>1115</v>
      </c>
    </row>
    <row r="1254" spans="1:5" x14ac:dyDescent="0.25">
      <c r="A1254" t="s">
        <v>903</v>
      </c>
      <c r="B1254">
        <v>1</v>
      </c>
      <c r="D1254">
        <v>108</v>
      </c>
      <c r="E1254" t="s">
        <v>1113</v>
      </c>
    </row>
    <row r="1255" spans="1:5" x14ac:dyDescent="0.25">
      <c r="A1255" t="s">
        <v>903</v>
      </c>
      <c r="B1255">
        <v>1</v>
      </c>
      <c r="D1255">
        <v>109</v>
      </c>
      <c r="E1255" t="s">
        <v>1175</v>
      </c>
    </row>
    <row r="1256" spans="1:5" x14ac:dyDescent="0.25">
      <c r="A1256" t="s">
        <v>903</v>
      </c>
      <c r="B1256">
        <v>1</v>
      </c>
      <c r="D1256">
        <v>110</v>
      </c>
      <c r="E1256" t="s">
        <v>1175</v>
      </c>
    </row>
    <row r="1257" spans="1:5" x14ac:dyDescent="0.25">
      <c r="A1257" t="s">
        <v>903</v>
      </c>
      <c r="B1257">
        <v>1</v>
      </c>
      <c r="D1257">
        <v>111</v>
      </c>
      <c r="E1257" t="s">
        <v>1175</v>
      </c>
    </row>
    <row r="1258" spans="1:5" x14ac:dyDescent="0.25">
      <c r="A1258" t="s">
        <v>903</v>
      </c>
      <c r="B1258">
        <v>1</v>
      </c>
      <c r="D1258">
        <v>112</v>
      </c>
      <c r="E1258" t="s">
        <v>1175</v>
      </c>
    </row>
    <row r="1259" spans="1:5" x14ac:dyDescent="0.25">
      <c r="A1259" t="s">
        <v>903</v>
      </c>
      <c r="B1259">
        <v>1</v>
      </c>
      <c r="D1259">
        <v>113</v>
      </c>
      <c r="E1259" t="s">
        <v>1175</v>
      </c>
    </row>
    <row r="1260" spans="1:5" x14ac:dyDescent="0.25">
      <c r="A1260" t="s">
        <v>903</v>
      </c>
      <c r="B1260">
        <v>1</v>
      </c>
      <c r="D1260">
        <v>114</v>
      </c>
      <c r="E1260" t="s">
        <v>1175</v>
      </c>
    </row>
    <row r="1261" spans="1:5" x14ac:dyDescent="0.25">
      <c r="A1261" t="s">
        <v>903</v>
      </c>
      <c r="B1261">
        <v>1</v>
      </c>
      <c r="D1261">
        <v>115</v>
      </c>
      <c r="E1261" t="s">
        <v>1113</v>
      </c>
    </row>
    <row r="1262" spans="1:5" x14ac:dyDescent="0.25">
      <c r="A1262" t="s">
        <v>903</v>
      </c>
      <c r="B1262">
        <v>1</v>
      </c>
      <c r="D1262">
        <v>116</v>
      </c>
      <c r="E1262" t="s">
        <v>1175</v>
      </c>
    </row>
    <row r="1263" spans="1:5" x14ac:dyDescent="0.25">
      <c r="A1263" t="s">
        <v>903</v>
      </c>
      <c r="B1263">
        <v>1</v>
      </c>
      <c r="D1263">
        <v>117</v>
      </c>
      <c r="E1263" t="s">
        <v>1113</v>
      </c>
    </row>
    <row r="1264" spans="1:5" x14ac:dyDescent="0.25">
      <c r="A1264" t="s">
        <v>903</v>
      </c>
      <c r="B1264">
        <v>1</v>
      </c>
      <c r="D1264">
        <v>118</v>
      </c>
      <c r="E1264" t="s">
        <v>1175</v>
      </c>
    </row>
    <row r="1265" spans="1:5" x14ac:dyDescent="0.25">
      <c r="A1265" t="s">
        <v>903</v>
      </c>
      <c r="B1265">
        <v>1</v>
      </c>
      <c r="D1265">
        <v>119</v>
      </c>
      <c r="E1265" t="s">
        <v>1113</v>
      </c>
    </row>
    <row r="1266" spans="1:5" x14ac:dyDescent="0.25">
      <c r="A1266" t="s">
        <v>903</v>
      </c>
      <c r="B1266">
        <v>1</v>
      </c>
      <c r="D1266">
        <v>120</v>
      </c>
      <c r="E1266" t="s">
        <v>1175</v>
      </c>
    </row>
    <row r="1267" spans="1:5" x14ac:dyDescent="0.25">
      <c r="A1267" t="s">
        <v>903</v>
      </c>
      <c r="B1267">
        <v>1</v>
      </c>
      <c r="D1267">
        <v>121</v>
      </c>
      <c r="E1267" t="s">
        <v>1113</v>
      </c>
    </row>
    <row r="1268" spans="1:5" x14ac:dyDescent="0.25">
      <c r="A1268" t="s">
        <v>903</v>
      </c>
      <c r="B1268">
        <v>1</v>
      </c>
      <c r="D1268">
        <v>123</v>
      </c>
      <c r="E1268" t="s">
        <v>1113</v>
      </c>
    </row>
    <row r="1269" spans="1:5" x14ac:dyDescent="0.25">
      <c r="A1269" t="s">
        <v>903</v>
      </c>
      <c r="B1269">
        <v>1</v>
      </c>
      <c r="D1269">
        <v>125</v>
      </c>
      <c r="E1269" t="s">
        <v>1114</v>
      </c>
    </row>
    <row r="1270" spans="1:5" x14ac:dyDescent="0.25">
      <c r="A1270" t="s">
        <v>903</v>
      </c>
      <c r="B1270">
        <v>1</v>
      </c>
      <c r="D1270">
        <v>127</v>
      </c>
      <c r="E1270" t="s">
        <v>1175</v>
      </c>
    </row>
    <row r="1271" spans="1:5" x14ac:dyDescent="0.25">
      <c r="A1271" t="s">
        <v>903</v>
      </c>
      <c r="B1271">
        <v>1</v>
      </c>
      <c r="D1271">
        <v>128</v>
      </c>
      <c r="E1271" t="s">
        <v>1113</v>
      </c>
    </row>
    <row r="1272" spans="1:5" x14ac:dyDescent="0.25">
      <c r="A1272" t="s">
        <v>903</v>
      </c>
      <c r="B1272">
        <v>1</v>
      </c>
      <c r="D1272">
        <v>129</v>
      </c>
      <c r="E1272" t="s">
        <v>1175</v>
      </c>
    </row>
    <row r="1273" spans="1:5" x14ac:dyDescent="0.25">
      <c r="A1273" t="s">
        <v>903</v>
      </c>
      <c r="B1273">
        <v>1</v>
      </c>
      <c r="D1273">
        <v>130</v>
      </c>
      <c r="E1273" t="s">
        <v>1113</v>
      </c>
    </row>
    <row r="1274" spans="1:5" x14ac:dyDescent="0.25">
      <c r="A1274" t="s">
        <v>903</v>
      </c>
      <c r="B1274">
        <v>1</v>
      </c>
      <c r="D1274">
        <v>131</v>
      </c>
      <c r="E1274" t="s">
        <v>1175</v>
      </c>
    </row>
    <row r="1275" spans="1:5" x14ac:dyDescent="0.25">
      <c r="A1275" t="s">
        <v>903</v>
      </c>
      <c r="B1275">
        <v>1</v>
      </c>
      <c r="D1275">
        <v>133</v>
      </c>
      <c r="E1275" t="s">
        <v>1175</v>
      </c>
    </row>
    <row r="1276" spans="1:5" x14ac:dyDescent="0.25">
      <c r="A1276" t="s">
        <v>903</v>
      </c>
      <c r="B1276">
        <v>2</v>
      </c>
      <c r="D1276">
        <v>200</v>
      </c>
      <c r="E1276" t="s">
        <v>1175</v>
      </c>
    </row>
    <row r="1277" spans="1:5" x14ac:dyDescent="0.25">
      <c r="A1277" t="s">
        <v>903</v>
      </c>
      <c r="B1277">
        <v>2</v>
      </c>
      <c r="D1277">
        <v>201</v>
      </c>
      <c r="E1277" t="s">
        <v>1114</v>
      </c>
    </row>
    <row r="1278" spans="1:5" x14ac:dyDescent="0.25">
      <c r="A1278" t="s">
        <v>903</v>
      </c>
      <c r="B1278">
        <v>2</v>
      </c>
      <c r="D1278">
        <v>202</v>
      </c>
      <c r="E1278" t="s">
        <v>1114</v>
      </c>
    </row>
    <row r="1279" spans="1:5" x14ac:dyDescent="0.25">
      <c r="A1279" t="s">
        <v>903</v>
      </c>
      <c r="B1279">
        <v>2</v>
      </c>
      <c r="D1279">
        <v>203</v>
      </c>
      <c r="E1279" t="s">
        <v>1113</v>
      </c>
    </row>
    <row r="1280" spans="1:5" x14ac:dyDescent="0.25">
      <c r="A1280" t="s">
        <v>903</v>
      </c>
      <c r="B1280">
        <v>2</v>
      </c>
      <c r="D1280">
        <v>204</v>
      </c>
      <c r="E1280" t="s">
        <v>1113</v>
      </c>
    </row>
    <row r="1281" spans="1:5" x14ac:dyDescent="0.25">
      <c r="A1281" t="s">
        <v>903</v>
      </c>
      <c r="B1281">
        <v>2</v>
      </c>
      <c r="D1281">
        <v>205</v>
      </c>
      <c r="E1281" t="s">
        <v>1113</v>
      </c>
    </row>
    <row r="1282" spans="1:5" x14ac:dyDescent="0.25">
      <c r="A1282" t="s">
        <v>903</v>
      </c>
      <c r="B1282">
        <v>2</v>
      </c>
      <c r="D1282">
        <v>206</v>
      </c>
      <c r="E1282" t="s">
        <v>1175</v>
      </c>
    </row>
    <row r="1283" spans="1:5" x14ac:dyDescent="0.25">
      <c r="A1283" t="s">
        <v>903</v>
      </c>
      <c r="B1283">
        <v>2</v>
      </c>
      <c r="D1283">
        <v>207</v>
      </c>
      <c r="E1283" t="s">
        <v>1113</v>
      </c>
    </row>
    <row r="1284" spans="1:5" x14ac:dyDescent="0.25">
      <c r="A1284" t="s">
        <v>903</v>
      </c>
      <c r="B1284">
        <v>2</v>
      </c>
      <c r="D1284">
        <v>208</v>
      </c>
      <c r="E1284" t="s">
        <v>1175</v>
      </c>
    </row>
    <row r="1285" spans="1:5" x14ac:dyDescent="0.25">
      <c r="A1285" t="s">
        <v>903</v>
      </c>
      <c r="B1285">
        <v>2</v>
      </c>
      <c r="D1285">
        <v>209</v>
      </c>
      <c r="E1285" t="s">
        <v>1175</v>
      </c>
    </row>
    <row r="1286" spans="1:5" x14ac:dyDescent="0.25">
      <c r="A1286" t="s">
        <v>903</v>
      </c>
      <c r="B1286">
        <v>2</v>
      </c>
      <c r="D1286">
        <v>210</v>
      </c>
      <c r="E1286" t="s">
        <v>1175</v>
      </c>
    </row>
    <row r="1287" spans="1:5" x14ac:dyDescent="0.25">
      <c r="A1287" t="s">
        <v>903</v>
      </c>
      <c r="B1287">
        <v>2</v>
      </c>
      <c r="D1287">
        <v>211</v>
      </c>
      <c r="E1287" t="s">
        <v>1175</v>
      </c>
    </row>
    <row r="1288" spans="1:5" x14ac:dyDescent="0.25">
      <c r="A1288" t="s">
        <v>903</v>
      </c>
      <c r="B1288">
        <v>2</v>
      </c>
      <c r="D1288">
        <v>212</v>
      </c>
      <c r="E1288" t="s">
        <v>1113</v>
      </c>
    </row>
    <row r="1289" spans="1:5" x14ac:dyDescent="0.25">
      <c r="A1289" t="s">
        <v>903</v>
      </c>
      <c r="B1289">
        <v>2</v>
      </c>
      <c r="D1289">
        <v>213</v>
      </c>
      <c r="E1289" t="s">
        <v>1175</v>
      </c>
    </row>
    <row r="1290" spans="1:5" x14ac:dyDescent="0.25">
      <c r="A1290" t="s">
        <v>903</v>
      </c>
      <c r="B1290">
        <v>2</v>
      </c>
      <c r="D1290">
        <v>214</v>
      </c>
      <c r="E1290" t="s">
        <v>1113</v>
      </c>
    </row>
    <row r="1291" spans="1:5" x14ac:dyDescent="0.25">
      <c r="A1291" t="s">
        <v>903</v>
      </c>
      <c r="B1291">
        <v>2</v>
      </c>
      <c r="D1291">
        <v>215</v>
      </c>
      <c r="E1291" t="s">
        <v>1175</v>
      </c>
    </row>
    <row r="1292" spans="1:5" x14ac:dyDescent="0.25">
      <c r="A1292" t="s">
        <v>903</v>
      </c>
      <c r="B1292">
        <v>2</v>
      </c>
      <c r="D1292">
        <v>216</v>
      </c>
      <c r="E1292" t="s">
        <v>1113</v>
      </c>
    </row>
    <row r="1293" spans="1:5" x14ac:dyDescent="0.25">
      <c r="A1293" t="s">
        <v>903</v>
      </c>
      <c r="B1293">
        <v>2</v>
      </c>
      <c r="D1293">
        <v>217</v>
      </c>
      <c r="E1293" t="s">
        <v>1114</v>
      </c>
    </row>
    <row r="1294" spans="1:5" x14ac:dyDescent="0.25">
      <c r="A1294" t="s">
        <v>903</v>
      </c>
      <c r="B1294">
        <v>2</v>
      </c>
      <c r="D1294">
        <v>218</v>
      </c>
      <c r="E1294" t="s">
        <v>1175</v>
      </c>
    </row>
    <row r="1295" spans="1:5" x14ac:dyDescent="0.25">
      <c r="A1295" t="s">
        <v>903</v>
      </c>
      <c r="B1295">
        <v>2</v>
      </c>
      <c r="D1295">
        <v>219</v>
      </c>
      <c r="E1295" t="s">
        <v>1113</v>
      </c>
    </row>
    <row r="1296" spans="1:5" x14ac:dyDescent="0.25">
      <c r="A1296" t="s">
        <v>903</v>
      </c>
      <c r="B1296">
        <v>2</v>
      </c>
      <c r="D1296">
        <v>220</v>
      </c>
      <c r="E1296" t="s">
        <v>1175</v>
      </c>
    </row>
    <row r="1297" spans="1:5" x14ac:dyDescent="0.25">
      <c r="A1297" t="s">
        <v>903</v>
      </c>
      <c r="B1297">
        <v>2</v>
      </c>
      <c r="D1297">
        <v>221</v>
      </c>
      <c r="E1297" t="s">
        <v>1114</v>
      </c>
    </row>
    <row r="1298" spans="1:5" x14ac:dyDescent="0.25">
      <c r="A1298" t="s">
        <v>903</v>
      </c>
      <c r="B1298" t="s">
        <v>1120</v>
      </c>
      <c r="D1298">
        <v>1</v>
      </c>
      <c r="E1298" t="s">
        <v>1113</v>
      </c>
    </row>
    <row r="1299" spans="1:5" x14ac:dyDescent="0.25">
      <c r="A1299" t="s">
        <v>903</v>
      </c>
      <c r="B1299" t="s">
        <v>1120</v>
      </c>
      <c r="D1299">
        <v>11</v>
      </c>
      <c r="E1299" t="s">
        <v>1114</v>
      </c>
    </row>
    <row r="1300" spans="1:5" x14ac:dyDescent="0.25">
      <c r="A1300" t="s">
        <v>903</v>
      </c>
      <c r="B1300" t="s">
        <v>1120</v>
      </c>
      <c r="D1300">
        <v>13</v>
      </c>
      <c r="E1300" t="s">
        <v>1115</v>
      </c>
    </row>
    <row r="1301" spans="1:5" x14ac:dyDescent="0.25">
      <c r="A1301" t="s">
        <v>903</v>
      </c>
      <c r="B1301" t="s">
        <v>1120</v>
      </c>
      <c r="D1301">
        <v>15</v>
      </c>
      <c r="E1301" t="s">
        <v>1113</v>
      </c>
    </row>
    <row r="1302" spans="1:5" x14ac:dyDescent="0.25">
      <c r="A1302" t="s">
        <v>903</v>
      </c>
      <c r="B1302" t="s">
        <v>1120</v>
      </c>
      <c r="D1302">
        <v>16</v>
      </c>
      <c r="E1302" t="s">
        <v>1114</v>
      </c>
    </row>
    <row r="1303" spans="1:5" x14ac:dyDescent="0.25">
      <c r="A1303" t="s">
        <v>903</v>
      </c>
      <c r="B1303" t="s">
        <v>1120</v>
      </c>
      <c r="D1303">
        <v>17</v>
      </c>
      <c r="E1303" t="s">
        <v>1114</v>
      </c>
    </row>
    <row r="1304" spans="1:5" x14ac:dyDescent="0.25">
      <c r="A1304" t="s">
        <v>903</v>
      </c>
      <c r="B1304" t="s">
        <v>1120</v>
      </c>
      <c r="D1304">
        <v>18</v>
      </c>
      <c r="E1304" t="s">
        <v>1114</v>
      </c>
    </row>
    <row r="1305" spans="1:5" x14ac:dyDescent="0.25">
      <c r="A1305" t="s">
        <v>903</v>
      </c>
      <c r="B1305" t="s">
        <v>1120</v>
      </c>
      <c r="D1305">
        <v>19</v>
      </c>
      <c r="E1305" t="s">
        <v>1159</v>
      </c>
    </row>
    <row r="1306" spans="1:5" x14ac:dyDescent="0.25">
      <c r="A1306" t="s">
        <v>903</v>
      </c>
      <c r="B1306" t="s">
        <v>1120</v>
      </c>
      <c r="D1306">
        <v>20</v>
      </c>
      <c r="E1306" t="s">
        <v>1114</v>
      </c>
    </row>
    <row r="1307" spans="1:5" x14ac:dyDescent="0.25">
      <c r="A1307" t="s">
        <v>903</v>
      </c>
      <c r="B1307" t="s">
        <v>1120</v>
      </c>
      <c r="D1307">
        <v>21</v>
      </c>
      <c r="E1307" t="s">
        <v>1114</v>
      </c>
    </row>
    <row r="1308" spans="1:5" x14ac:dyDescent="0.25">
      <c r="A1308" t="s">
        <v>903</v>
      </c>
      <c r="B1308" t="s">
        <v>1120</v>
      </c>
      <c r="D1308">
        <v>22</v>
      </c>
      <c r="E1308" t="s">
        <v>1114</v>
      </c>
    </row>
    <row r="1309" spans="1:5" x14ac:dyDescent="0.25">
      <c r="A1309" t="s">
        <v>903</v>
      </c>
      <c r="B1309" t="s">
        <v>1120</v>
      </c>
      <c r="D1309">
        <v>23</v>
      </c>
      <c r="E1309" t="s">
        <v>1114</v>
      </c>
    </row>
    <row r="1310" spans="1:5" x14ac:dyDescent="0.25">
      <c r="A1310" t="s">
        <v>903</v>
      </c>
      <c r="B1310" t="s">
        <v>1120</v>
      </c>
      <c r="D1310">
        <v>3</v>
      </c>
      <c r="E1310" t="s">
        <v>1114</v>
      </c>
    </row>
    <row r="1311" spans="1:5" x14ac:dyDescent="0.25">
      <c r="A1311" t="s">
        <v>903</v>
      </c>
      <c r="B1311" t="s">
        <v>1120</v>
      </c>
      <c r="D1311">
        <v>4</v>
      </c>
      <c r="E1311" t="s">
        <v>1113</v>
      </c>
    </row>
    <row r="1312" spans="1:5" x14ac:dyDescent="0.25">
      <c r="A1312" t="s">
        <v>903</v>
      </c>
      <c r="B1312" t="s">
        <v>1120</v>
      </c>
      <c r="D1312">
        <v>5</v>
      </c>
      <c r="E1312" t="s">
        <v>1113</v>
      </c>
    </row>
    <row r="1313" spans="1:5" x14ac:dyDescent="0.25">
      <c r="A1313" t="s">
        <v>903</v>
      </c>
      <c r="B1313" t="s">
        <v>1120</v>
      </c>
      <c r="D1313">
        <v>6</v>
      </c>
      <c r="E1313" t="s">
        <v>1114</v>
      </c>
    </row>
    <row r="1314" spans="1:5" x14ac:dyDescent="0.25">
      <c r="A1314" t="s">
        <v>903</v>
      </c>
      <c r="B1314" t="s">
        <v>1120</v>
      </c>
      <c r="D1314">
        <v>7</v>
      </c>
      <c r="E1314" t="s">
        <v>1113</v>
      </c>
    </row>
    <row r="1315" spans="1:5" x14ac:dyDescent="0.25">
      <c r="A1315" t="s">
        <v>903</v>
      </c>
      <c r="B1315" t="s">
        <v>1120</v>
      </c>
      <c r="D1315">
        <v>9</v>
      </c>
      <c r="E1315" t="s">
        <v>1113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4FFB-B3F5-4F57-A63F-BAFF12F2F008}">
  <dimension ref="A1:N2454"/>
  <sheetViews>
    <sheetView tabSelected="1" zoomScale="91" zoomScaleNormal="91" workbookViewId="0">
      <selection activeCell="R9" sqref="R9"/>
    </sheetView>
  </sheetViews>
  <sheetFormatPr defaultColWidth="9.140625" defaultRowHeight="15.75" x14ac:dyDescent="0.25"/>
  <cols>
    <col min="1" max="1" width="37.28515625" style="2" customWidth="1"/>
    <col min="2" max="2" width="37.28515625" style="8" customWidth="1"/>
    <col min="3" max="3" width="37.28515625" style="2" customWidth="1"/>
    <col min="4" max="4" width="33.140625" style="3" customWidth="1"/>
    <col min="5" max="5" width="33.85546875" style="2" customWidth="1"/>
    <col min="6" max="6" width="33.85546875" style="9" customWidth="1"/>
    <col min="7" max="7" width="33.85546875" style="2" customWidth="1"/>
    <col min="8" max="8" width="30.85546875" style="2" customWidth="1"/>
    <col min="9" max="9" width="29.7109375" style="8" customWidth="1"/>
    <col min="10" max="10" width="33.140625" style="2" customWidth="1"/>
    <col min="11" max="11" width="30.42578125" style="2" customWidth="1"/>
    <col min="12" max="12" width="30.42578125" style="8" customWidth="1"/>
    <col min="13" max="13" width="21" style="12" customWidth="1"/>
    <col min="14" max="14" width="14" style="12" customWidth="1"/>
    <col min="15" max="16383" width="9.140625" style="2"/>
    <col min="16384" max="16384" width="9.140625" style="2" bestFit="1"/>
  </cols>
  <sheetData>
    <row r="1" spans="1:14" x14ac:dyDescent="0.25">
      <c r="A1" s="13" t="s">
        <v>861</v>
      </c>
      <c r="B1" s="16" t="s">
        <v>862</v>
      </c>
      <c r="C1" s="16" t="s">
        <v>863</v>
      </c>
      <c r="D1" s="7" t="s">
        <v>864</v>
      </c>
      <c r="E1" s="11" t="s">
        <v>865</v>
      </c>
      <c r="F1" s="17" t="s">
        <v>866</v>
      </c>
      <c r="G1" s="11" t="s">
        <v>867</v>
      </c>
      <c r="H1" s="11" t="s">
        <v>868</v>
      </c>
      <c r="I1" s="18" t="s">
        <v>869</v>
      </c>
      <c r="J1" s="11" t="s">
        <v>870</v>
      </c>
      <c r="K1" s="11" t="s">
        <v>871</v>
      </c>
      <c r="L1" s="18" t="s">
        <v>872</v>
      </c>
      <c r="M1" s="18" t="s">
        <v>873</v>
      </c>
      <c r="N1" s="18" t="s">
        <v>874</v>
      </c>
    </row>
    <row r="2" spans="1:14" x14ac:dyDescent="0.25">
      <c r="A2" s="5" t="s">
        <v>32</v>
      </c>
      <c r="B2" s="16">
        <v>201</v>
      </c>
      <c r="C2" s="16" t="str" cm="1">
        <f t="array" ref="C2:C858">_xlfn.LET(
_xlpm.x,_xlfn.UNIQUE(_xlfn._xlws.FILTER(A2:A2454,A2:A2454&lt;&gt;"")),
_xlfn.SORTBY(
_xlpm.x,
_xlfn.TEXTBEFORE(_xlpm.x," - "),1,
--_xlfn.TEXTAFTER(_xlpm.x," - "),1
)
)</f>
        <v>Blaisdell - 2</v>
      </c>
      <c r="D2" s="6">
        <f>_xlfn.XLOOKUP(C2,'2023'!C:C,'2023'!A:A,"")</f>
        <v>45029.787499999999</v>
      </c>
      <c r="E2" s="6">
        <f>_xlfn.XLOOKUP(C2,'2023'!C:C,'2023'!B:B,"")</f>
        <v>45027.789583332997</v>
      </c>
      <c r="F2" s="19"/>
      <c r="G2" s="6" t="str">
        <f>_xlfn.XLOOKUP(C2,'2024'!C:C,'2024'!A:A,"")</f>
        <v/>
      </c>
      <c r="H2" s="6" t="str">
        <f>_xlfn.XLOOKUP(C3,'2024'!C:C,'2024'!B:B,"")</f>
        <v/>
      </c>
      <c r="I2" s="19" t="str">
        <f t="shared" ref="I2:I65" si="0">_xlfn.LET(
_xlpm.ind,G2,
_xlpm.grp,H2,
IF(AND(NOT(ISNUMBER(_xlpm.ind)),NOT(ISNUMBER(_xlpm.grp))),"",
MIN(IF(ISNUMBER(_xlpm.ind),_xlpm.ind,1E+99),IF(ISNUMBER(_xlpm.grp),_xlpm.grp,1E+99))
)
)</f>
        <v/>
      </c>
      <c r="J2" s="6" t="str">
        <f>_xlfn.XLOOKUP(C2,'2025'!C:C,'2025'!A:A,"")</f>
        <v/>
      </c>
      <c r="K2" s="6" t="str">
        <f>_xlfn.XLOOKUP(C2,'2025'!C:C,'2025'!B:B,"")</f>
        <v/>
      </c>
      <c r="L2" s="19" t="str">
        <f t="shared" ref="L2:L65" si="1">_xlfn.LET(_xlpm.ind,J2,_xlpm.grp,K2,IF(AND(NOT(ISNUMBER(_xlpm.ind)),NOT(ISNUMBER(_xlpm.grp))),"",MIN(IF(ISNUMBER(_xlpm.ind),_xlpm.ind,1E+99),IF(ISNUMBER(_xlpm.grp),_xlpm.grp,1E+99))))</f>
        <v/>
      </c>
      <c r="M2" s="16" cm="1">
        <f t="array" ref="M2">IFERROR(_xlfn.LET(
_xlpm.x,TRIM(C2),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2" s="16" t="b">
        <f t="shared" ref="N2:N65" si="2">OR(_xlfn.TEXTBEFORE(C2," - ")="Blaisdell",_xlfn.TEXTBEFORE(C2," - ")="Mudd",_xlfn.TEXTBEFORE(C2," - ")="Dialynas",_xlfn.TEXTBEFORE(C2," - ")="Sontag")</f>
        <v>1</v>
      </c>
    </row>
    <row r="3" spans="1:14" x14ac:dyDescent="0.25">
      <c r="A3" s="5" t="s">
        <v>32</v>
      </c>
      <c r="B3" s="16">
        <v>159</v>
      </c>
      <c r="C3" s="16" t="str">
        <v>Blaisdell - 3</v>
      </c>
      <c r="D3" s="6">
        <f>_xlfn.XLOOKUP(C3,'2023'!C:C,'2023'!A:A,"")</f>
        <v>45029.714583333</v>
      </c>
      <c r="E3" s="6" t="str">
        <f>_xlfn.XLOOKUP(C3,'2023'!C:C,'2023'!B:B,"")</f>
        <v>No Selection Time Issued</v>
      </c>
      <c r="F3" s="19">
        <f t="shared" ref="F3:F66" si="3">_xlfn.LET(
_xlpm.ind,D3,
_xlpm.grp,E3,
IF(AND(NOT(ISNUMBER(_xlpm.ind)),NOT(ISNUMBER(_xlpm.grp))),"",
MIN(IF(ISNUMBER(_xlpm.ind),_xlpm.ind,1E+99),IF(ISNUMBER(_xlpm.grp),_xlpm.grp,1E+99))
)
)</f>
        <v>45029.714583333</v>
      </c>
      <c r="G3" s="6" t="str">
        <f>_xlfn.XLOOKUP(C3,'2024'!C:C,'2024'!A:A,"")</f>
        <v/>
      </c>
      <c r="H3" s="6" t="str">
        <f>_xlfn.XLOOKUP(C4,'2024'!C:C,'2024'!B:B,"")</f>
        <v/>
      </c>
      <c r="I3" s="19" t="str">
        <f t="shared" si="0"/>
        <v/>
      </c>
      <c r="J3" s="6" t="str">
        <f>_xlfn.XLOOKUP(C3,'2025'!C:C,'2025'!A:A,"")</f>
        <v/>
      </c>
      <c r="K3" s="6" t="str">
        <f>_xlfn.XLOOKUP(C3,'2025'!C:C,'2025'!B:B,"")</f>
        <v/>
      </c>
      <c r="L3" s="19" t="str">
        <f t="shared" si="1"/>
        <v/>
      </c>
      <c r="M3" s="16" cm="1">
        <f t="array" ref="M3">IFERROR(_xlfn.LET(
_xlpm.x,TRIM(C3),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" s="16" t="b">
        <f t="shared" si="2"/>
        <v>1</v>
      </c>
    </row>
    <row r="4" spans="1:14" x14ac:dyDescent="0.25">
      <c r="A4" s="5" t="s">
        <v>32</v>
      </c>
      <c r="B4" s="16">
        <v>183</v>
      </c>
      <c r="C4" s="16" t="str">
        <v>Blaisdell - 4</v>
      </c>
      <c r="D4" s="6">
        <f>_xlfn.XLOOKUP(C4,'2023'!C:C,'2023'!A:A,"")</f>
        <v>45029.814583332998</v>
      </c>
      <c r="E4" s="6">
        <f>_xlfn.XLOOKUP(C4,'2023'!C:C,'2023'!B:B,"")</f>
        <v>45029.737500000003</v>
      </c>
      <c r="F4" s="19">
        <f t="shared" si="3"/>
        <v>45029.737500000003</v>
      </c>
      <c r="G4" s="6" t="str">
        <f>_xlfn.XLOOKUP(C4,'2024'!C:C,'2024'!A:A,"")</f>
        <v/>
      </c>
      <c r="H4" s="6" t="str">
        <f>_xlfn.XLOOKUP(C5,'2024'!C:C,'2024'!B:B,"")</f>
        <v/>
      </c>
      <c r="I4" s="19" t="str">
        <f t="shared" si="0"/>
        <v/>
      </c>
      <c r="J4" s="6" t="str">
        <f>_xlfn.XLOOKUP(C4,'2025'!C:C,'2025'!A:A,"")</f>
        <v/>
      </c>
      <c r="K4" s="6" t="str">
        <f>_xlfn.XLOOKUP(C4,'2025'!C:C,'2025'!B:B,"")</f>
        <v/>
      </c>
      <c r="L4" s="19" t="str">
        <f t="shared" si="1"/>
        <v/>
      </c>
      <c r="M4" s="16" cm="1">
        <f t="array" ref="M4">IFERROR(_xlfn.LET(
_xlpm.x,TRIM(C4),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" s="16" t="b">
        <f t="shared" si="2"/>
        <v>1</v>
      </c>
    </row>
    <row r="5" spans="1:14" x14ac:dyDescent="0.25">
      <c r="A5" s="5" t="s">
        <v>731</v>
      </c>
      <c r="B5" s="16">
        <v>183</v>
      </c>
      <c r="C5" s="16" t="str">
        <v>Blaisdell - 6</v>
      </c>
      <c r="D5" s="6">
        <f>_xlfn.XLOOKUP(C5,'2023'!C:C,'2023'!A:A,"")</f>
        <v>45029.820833332997</v>
      </c>
      <c r="E5" s="6" t="str">
        <f>_xlfn.XLOOKUP(C5,'2023'!C:C,'2023'!B:B,"")</f>
        <v>No Selection Time Issued</v>
      </c>
      <c r="F5" s="19">
        <f t="shared" si="3"/>
        <v>45029.820833332997</v>
      </c>
      <c r="G5" s="6" t="str">
        <f>_xlfn.XLOOKUP(C5,'2024'!C:C,'2024'!A:A,"")</f>
        <v/>
      </c>
      <c r="H5" s="6" t="str">
        <f>_xlfn.XLOOKUP(C6,'2024'!C:C,'2024'!B:B,"")</f>
        <v/>
      </c>
      <c r="I5" s="19" t="str">
        <f t="shared" si="0"/>
        <v/>
      </c>
      <c r="J5" s="6" t="str">
        <f>_xlfn.XLOOKUP(C5,'2025'!C:C,'2025'!A:A,"")</f>
        <v/>
      </c>
      <c r="K5" s="6" t="str">
        <f>_xlfn.XLOOKUP(C5,'2025'!C:C,'2025'!B:B,"")</f>
        <v/>
      </c>
      <c r="L5" s="19" t="str">
        <f t="shared" si="1"/>
        <v/>
      </c>
      <c r="M5" s="16" cm="1">
        <f t="array" ref="M5">IFERROR(_xlfn.LET(
_xlpm.x,TRIM(C5),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" s="16" t="b">
        <f t="shared" si="2"/>
        <v>1</v>
      </c>
    </row>
    <row r="6" spans="1:14" x14ac:dyDescent="0.25">
      <c r="A6" s="5" t="s">
        <v>731</v>
      </c>
      <c r="B6" s="16">
        <v>175</v>
      </c>
      <c r="C6" s="16" t="str">
        <v>Blaisdell - 8</v>
      </c>
      <c r="D6" s="6">
        <f>_xlfn.XLOOKUP(C6,'2023'!C:C,'2023'!A:A,"")</f>
        <v>45029.822916666999</v>
      </c>
      <c r="E6" s="6">
        <f>_xlfn.XLOOKUP(C6,'2023'!C:C,'2023'!B:B,"")</f>
        <v>45027.722916667</v>
      </c>
      <c r="F6" s="19">
        <f t="shared" si="3"/>
        <v>45027.722916667</v>
      </c>
      <c r="G6" s="6" t="str">
        <f>_xlfn.XLOOKUP(C6,'2024'!C:C,'2024'!A:A,"")</f>
        <v/>
      </c>
      <c r="H6" s="6" t="str">
        <f>_xlfn.XLOOKUP(C7,'2024'!C:C,'2024'!B:B,"")</f>
        <v/>
      </c>
      <c r="I6" s="19" t="str">
        <f t="shared" si="0"/>
        <v/>
      </c>
      <c r="J6" s="6" t="str">
        <f>_xlfn.XLOOKUP(C6,'2025'!C:C,'2025'!A:A,"")</f>
        <v/>
      </c>
      <c r="K6" s="6" t="str">
        <f>_xlfn.XLOOKUP(C6,'2025'!C:C,'2025'!B:B,"")</f>
        <v/>
      </c>
      <c r="L6" s="19" t="str">
        <f t="shared" si="1"/>
        <v/>
      </c>
      <c r="M6" s="16" cm="1">
        <f t="array" ref="M6">IFERROR(_xlfn.LET(
_xlpm.x,TRIM(C6),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6" s="16" t="b">
        <f t="shared" si="2"/>
        <v>1</v>
      </c>
    </row>
    <row r="7" spans="1:14" x14ac:dyDescent="0.25">
      <c r="A7" s="5" t="s">
        <v>310</v>
      </c>
      <c r="B7" s="16">
        <v>332</v>
      </c>
      <c r="C7" s="16" t="str">
        <v>Blaisdell - 10</v>
      </c>
      <c r="D7" s="6">
        <f>_xlfn.XLOOKUP(C7,'2023'!C:C,'2023'!A:A,"")</f>
        <v>45029.837500000001</v>
      </c>
      <c r="E7" s="6">
        <f>_xlfn.XLOOKUP(C7,'2023'!C:C,'2023'!B:B,"")</f>
        <v>45027.710416667003</v>
      </c>
      <c r="F7" s="19">
        <f t="shared" si="3"/>
        <v>45027.710416667003</v>
      </c>
      <c r="G7" s="6" t="str">
        <f>_xlfn.XLOOKUP(C7,'2024'!C:C,'2024'!A:A,"")</f>
        <v/>
      </c>
      <c r="H7" s="6" t="str">
        <f>_xlfn.XLOOKUP(C8,'2024'!C:C,'2024'!B:B,"")</f>
        <v/>
      </c>
      <c r="I7" s="19" t="str">
        <f t="shared" si="0"/>
        <v/>
      </c>
      <c r="J7" s="6" t="str">
        <f>_xlfn.XLOOKUP(C7,'2025'!C:C,'2025'!A:A,"")</f>
        <v/>
      </c>
      <c r="K7" s="6" t="str">
        <f>_xlfn.XLOOKUP(C7,'2025'!C:C,'2025'!B:B,"")</f>
        <v/>
      </c>
      <c r="L7" s="19" t="str">
        <f t="shared" si="1"/>
        <v/>
      </c>
      <c r="M7" s="16" cm="1">
        <f t="array" ref="M7">IFERROR(_xlfn.LET(
_xlpm.x,TRIM(C7),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3</v>
      </c>
      <c r="N7" s="16" t="b">
        <f t="shared" si="2"/>
        <v>1</v>
      </c>
    </row>
    <row r="8" spans="1:14" x14ac:dyDescent="0.25">
      <c r="A8" s="5" t="s">
        <v>310</v>
      </c>
      <c r="B8" s="16">
        <v>246</v>
      </c>
      <c r="C8" s="16" t="str">
        <v>Blaisdell - 12</v>
      </c>
      <c r="D8" s="6">
        <f>_xlfn.XLOOKUP(C8,'2023'!C:C,'2023'!A:A,"")</f>
        <v>45029.802083333001</v>
      </c>
      <c r="E8" s="6">
        <f>_xlfn.XLOOKUP(C8,'2023'!C:C,'2023'!B:B,"")</f>
        <v>45027.889583333003</v>
      </c>
      <c r="F8" s="19">
        <f t="shared" si="3"/>
        <v>45027.889583333003</v>
      </c>
      <c r="G8" s="6" t="str">
        <f>_xlfn.XLOOKUP(C8,'2024'!C:C,'2024'!A:A,"")</f>
        <v/>
      </c>
      <c r="H8" s="6" t="str">
        <f>_xlfn.XLOOKUP(C9,'2024'!C:C,'2024'!B:B,"")</f>
        <v/>
      </c>
      <c r="I8" s="19" t="str">
        <f t="shared" si="0"/>
        <v/>
      </c>
      <c r="J8" s="6" t="str">
        <f>_xlfn.XLOOKUP(C8,'2025'!C:C,'2025'!A:A,"")</f>
        <v/>
      </c>
      <c r="K8" s="6" t="str">
        <f>_xlfn.XLOOKUP(C8,'2025'!C:C,'2025'!B:B,"")</f>
        <v/>
      </c>
      <c r="L8" s="19" t="str">
        <f t="shared" si="1"/>
        <v/>
      </c>
      <c r="M8" s="16" cm="1">
        <f t="array" ref="M8">IFERROR(_xlfn.LET(
_xlpm.x,TRIM(C8),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8" s="16" t="b">
        <f t="shared" si="2"/>
        <v>1</v>
      </c>
    </row>
    <row r="9" spans="1:14" x14ac:dyDescent="0.25">
      <c r="A9" s="5" t="s">
        <v>799</v>
      </c>
      <c r="B9" s="16">
        <v>164</v>
      </c>
      <c r="C9" s="16" t="str">
        <v>Blaisdell - 14</v>
      </c>
      <c r="D9" s="6">
        <f>_xlfn.XLOOKUP(C9,'2023'!C:C,'2023'!A:A,"")</f>
        <v>45029.85</v>
      </c>
      <c r="E9" s="6">
        <f>_xlfn.XLOOKUP(C9,'2023'!C:C,'2023'!B:B,"")</f>
        <v>45028.797916666997</v>
      </c>
      <c r="F9" s="19">
        <f t="shared" si="3"/>
        <v>45028.797916666997</v>
      </c>
      <c r="G9" s="6" t="str">
        <f>_xlfn.XLOOKUP(C9,'2024'!C:C,'2024'!A:A,"")</f>
        <v/>
      </c>
      <c r="H9" s="6" t="str">
        <f>_xlfn.XLOOKUP(C10,'2024'!C:C,'2024'!B:B,"")</f>
        <v/>
      </c>
      <c r="I9" s="19" t="str">
        <f t="shared" si="0"/>
        <v/>
      </c>
      <c r="J9" s="6" t="str">
        <f>_xlfn.XLOOKUP(C9,'2025'!C:C,'2025'!A:A,"")</f>
        <v/>
      </c>
      <c r="K9" s="6" t="str">
        <f>_xlfn.XLOOKUP(C9,'2025'!C:C,'2025'!B:B,"")</f>
        <v/>
      </c>
      <c r="L9" s="19" t="str">
        <f t="shared" si="1"/>
        <v/>
      </c>
      <c r="M9" s="16" cm="1">
        <f t="array" ref="M9">IFERROR(_xlfn.LET(
_xlpm.x,TRIM(C9),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9" s="16" t="b">
        <f t="shared" si="2"/>
        <v>1</v>
      </c>
    </row>
    <row r="10" spans="1:14" x14ac:dyDescent="0.25">
      <c r="A10" s="5" t="s">
        <v>799</v>
      </c>
      <c r="B10" s="16">
        <v>285</v>
      </c>
      <c r="C10" s="16" t="str">
        <v>Blaisdell - 16</v>
      </c>
      <c r="D10" s="6">
        <f>_xlfn.XLOOKUP(C10,'2023'!C:C,'2023'!A:A,"")</f>
        <v>45029.747916667002</v>
      </c>
      <c r="E10" s="6">
        <f>_xlfn.XLOOKUP(C10,'2023'!C:C,'2023'!B:B,"")</f>
        <v>45029.737500000003</v>
      </c>
      <c r="F10" s="19">
        <f t="shared" si="3"/>
        <v>45029.737500000003</v>
      </c>
      <c r="G10" s="6" t="str">
        <f>_xlfn.XLOOKUP(C10,'2024'!C:C,'2024'!A:A,"")</f>
        <v/>
      </c>
      <c r="H10" s="6" t="str">
        <f>_xlfn.XLOOKUP(C11,'2024'!C:C,'2024'!B:B,"")</f>
        <v/>
      </c>
      <c r="I10" s="19" t="str">
        <f t="shared" si="0"/>
        <v/>
      </c>
      <c r="J10" s="6" t="str">
        <f>_xlfn.XLOOKUP(C10,'2025'!C:C,'2025'!A:A,"")</f>
        <v/>
      </c>
      <c r="K10" s="6" t="str">
        <f>_xlfn.XLOOKUP(C10,'2025'!C:C,'2025'!B:B,"")</f>
        <v/>
      </c>
      <c r="L10" s="19" t="str">
        <f t="shared" si="1"/>
        <v/>
      </c>
      <c r="M10" s="16" cm="1">
        <f t="array" ref="M10">IFERROR(_xlfn.LET(
_xlpm.x,TRIM(C10),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0" s="16" t="b">
        <f t="shared" si="2"/>
        <v>1</v>
      </c>
    </row>
    <row r="11" spans="1:14" x14ac:dyDescent="0.25">
      <c r="A11" s="5" t="s">
        <v>410</v>
      </c>
      <c r="B11" s="16">
        <v>147</v>
      </c>
      <c r="C11" s="16" t="str">
        <v>Blaisdell - 17</v>
      </c>
      <c r="D11" s="6">
        <f>_xlfn.XLOOKUP(C11,'2023'!C:C,'2023'!A:A,"")</f>
        <v>45029.833333333001</v>
      </c>
      <c r="E11" s="6">
        <f>_xlfn.XLOOKUP(C11,'2023'!C:C,'2023'!B:B,"")</f>
        <v>45027.710416667003</v>
      </c>
      <c r="F11" s="19">
        <f t="shared" si="3"/>
        <v>45027.710416667003</v>
      </c>
      <c r="G11" s="6" t="str">
        <f>_xlfn.XLOOKUP(C11,'2024'!C:C,'2024'!A:A,"")</f>
        <v/>
      </c>
      <c r="H11" s="6" t="str">
        <f>_xlfn.XLOOKUP(C12,'2024'!C:C,'2024'!B:B,"")</f>
        <v/>
      </c>
      <c r="I11" s="19" t="str">
        <f t="shared" si="0"/>
        <v/>
      </c>
      <c r="J11" s="6" t="str">
        <f>_xlfn.XLOOKUP(C11,'2025'!C:C,'2025'!A:A,"")</f>
        <v/>
      </c>
      <c r="K11" s="6" t="str">
        <f>_xlfn.XLOOKUP(C11,'2025'!C:C,'2025'!B:B,"")</f>
        <v/>
      </c>
      <c r="L11" s="19" t="str">
        <f t="shared" si="1"/>
        <v/>
      </c>
      <c r="M11" s="16" cm="1">
        <f t="array" ref="M11">IFERROR(_xlfn.LET(
_xlpm.x,TRIM(C11),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1" s="16" t="b">
        <f t="shared" si="2"/>
        <v>1</v>
      </c>
    </row>
    <row r="12" spans="1:14" x14ac:dyDescent="0.25">
      <c r="A12" s="5" t="s">
        <v>410</v>
      </c>
      <c r="B12" s="16">
        <v>147</v>
      </c>
      <c r="C12" s="16" t="str">
        <v>Blaisdell - 19</v>
      </c>
      <c r="D12" s="6">
        <f>_xlfn.XLOOKUP(C12,'2023'!C:C,'2023'!A:A,"")</f>
        <v>45028.71875</v>
      </c>
      <c r="E12" s="6">
        <f>_xlfn.XLOOKUP(C12,'2023'!C:C,'2023'!B:B,"")</f>
        <v>45027.84375</v>
      </c>
      <c r="F12" s="19">
        <f t="shared" si="3"/>
        <v>45027.84375</v>
      </c>
      <c r="G12" s="6" t="str">
        <f>_xlfn.XLOOKUP(C12,'2024'!C:C,'2024'!A:A,"")</f>
        <v/>
      </c>
      <c r="H12" s="6" t="str">
        <f>_xlfn.XLOOKUP(C13,'2024'!C:C,'2024'!B:B,"")</f>
        <v/>
      </c>
      <c r="I12" s="19" t="str">
        <f t="shared" si="0"/>
        <v/>
      </c>
      <c r="J12" s="6" t="str">
        <f>_xlfn.XLOOKUP(C12,'2025'!C:C,'2025'!A:A,"")</f>
        <v/>
      </c>
      <c r="K12" s="6" t="str">
        <f>_xlfn.XLOOKUP(C12,'2025'!C:C,'2025'!B:B,"")</f>
        <v/>
      </c>
      <c r="L12" s="19" t="str">
        <f t="shared" si="1"/>
        <v/>
      </c>
      <c r="M12" s="16" cm="1">
        <f t="array" ref="M12">IFERROR(_xlfn.LET(
_xlpm.x,TRIM(C12),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" s="16" t="b">
        <f t="shared" si="2"/>
        <v>1</v>
      </c>
    </row>
    <row r="13" spans="1:14" x14ac:dyDescent="0.25">
      <c r="A13" s="5" t="s">
        <v>490</v>
      </c>
      <c r="B13" s="16">
        <v>162</v>
      </c>
      <c r="C13" s="16" t="str">
        <v>Blaisdell - 23</v>
      </c>
      <c r="D13" s="6">
        <f>_xlfn.XLOOKUP(C13,'2023'!C:C,'2023'!A:A,"")</f>
        <v>45029.708333333001</v>
      </c>
      <c r="E13" s="6">
        <f>_xlfn.XLOOKUP(C13,'2023'!C:C,'2023'!B:B,"")</f>
        <v>45029.779166667002</v>
      </c>
      <c r="F13" s="19">
        <f t="shared" si="3"/>
        <v>45029.708333333001</v>
      </c>
      <c r="G13" s="6" t="str">
        <f>_xlfn.XLOOKUP(C13,'2024'!C:C,'2024'!A:A,"")</f>
        <v/>
      </c>
      <c r="H13" s="6" t="str">
        <f>_xlfn.XLOOKUP(C14,'2024'!C:C,'2024'!B:B,"")</f>
        <v/>
      </c>
      <c r="I13" s="19" t="str">
        <f t="shared" si="0"/>
        <v/>
      </c>
      <c r="J13" s="6" t="str">
        <f>_xlfn.XLOOKUP(C13,'2025'!C:C,'2025'!A:A,"")</f>
        <v/>
      </c>
      <c r="K13" s="6" t="str">
        <f>_xlfn.XLOOKUP(C13,'2025'!C:C,'2025'!B:B,"")</f>
        <v/>
      </c>
      <c r="L13" s="19" t="str">
        <f t="shared" si="1"/>
        <v/>
      </c>
      <c r="M13" s="16" cm="1">
        <f t="array" ref="M13">IFERROR(_xlfn.LET(
_xlpm.x,TRIM(C13),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" s="16" t="b">
        <f t="shared" si="2"/>
        <v>1</v>
      </c>
    </row>
    <row r="14" spans="1:14" x14ac:dyDescent="0.25">
      <c r="A14" s="5" t="s">
        <v>490</v>
      </c>
      <c r="B14" s="16">
        <v>147</v>
      </c>
      <c r="C14" s="16" t="str">
        <v>Blaisdell - 25</v>
      </c>
      <c r="D14" s="6">
        <f>_xlfn.XLOOKUP(C14,'2023'!C:C,'2023'!A:A,"")</f>
        <v>45029.733333333003</v>
      </c>
      <c r="E14" s="6">
        <f>_xlfn.XLOOKUP(C14,'2023'!C:C,'2023'!B:B,"")</f>
        <v>45027.733333333003</v>
      </c>
      <c r="F14" s="19">
        <f t="shared" si="3"/>
        <v>45027.733333333003</v>
      </c>
      <c r="G14" s="6" t="str">
        <f>_xlfn.XLOOKUP(C14,'2024'!C:C,'2024'!A:A,"")</f>
        <v/>
      </c>
      <c r="H14" s="6">
        <f>_xlfn.XLOOKUP(C15,'2024'!C:C,'2024'!B:B,"")</f>
        <v>45391.710416667003</v>
      </c>
      <c r="I14" s="19">
        <f t="shared" si="0"/>
        <v>45391.710416667003</v>
      </c>
      <c r="J14" s="6" t="str">
        <f>_xlfn.XLOOKUP(C14,'2025'!C:C,'2025'!A:A,"")</f>
        <v/>
      </c>
      <c r="K14" s="6" t="str">
        <f>_xlfn.XLOOKUP(C14,'2025'!C:C,'2025'!B:B,"")</f>
        <v/>
      </c>
      <c r="L14" s="19" t="str">
        <f t="shared" si="1"/>
        <v/>
      </c>
      <c r="M14" s="16" cm="1">
        <f t="array" ref="M14">IFERROR(_xlfn.LET(
_xlpm.x,TRIM(C14),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4" s="16" t="b">
        <f t="shared" si="2"/>
        <v>1</v>
      </c>
    </row>
    <row r="15" spans="1:14" x14ac:dyDescent="0.25">
      <c r="A15" s="5" t="s">
        <v>38</v>
      </c>
      <c r="B15" s="16">
        <v>175</v>
      </c>
      <c r="C15" s="16" t="str">
        <v>Blaisdell - 111</v>
      </c>
      <c r="D15" s="6" t="str">
        <f>_xlfn.XLOOKUP(C15,'2023'!C:C,'2023'!A:A,"")</f>
        <v/>
      </c>
      <c r="E15" s="6" t="str">
        <f>_xlfn.XLOOKUP(C15,'2023'!C:C,'2023'!B:B,"")</f>
        <v/>
      </c>
      <c r="F15" s="19" t="str">
        <f t="shared" si="3"/>
        <v/>
      </c>
      <c r="G15" s="6" t="str">
        <f>_xlfn.XLOOKUP(C15,'2024'!C:C,'2024'!A:A,"")</f>
        <v>No Selection Time Issued</v>
      </c>
      <c r="H15" s="6" t="str">
        <f>_xlfn.XLOOKUP(C16,'2024'!C:C,'2024'!B:B,"")</f>
        <v>No Selection Time Issued</v>
      </c>
      <c r="I15" s="19" t="str">
        <f t="shared" si="0"/>
        <v/>
      </c>
      <c r="J15" s="6" t="str">
        <f>_xlfn.XLOOKUP(C15,'2025'!C:C,'2025'!A:A,"")</f>
        <v/>
      </c>
      <c r="K15" s="6" t="str">
        <f>_xlfn.XLOOKUP(C15,'2025'!C:C,'2025'!B:B,"")</f>
        <v/>
      </c>
      <c r="L15" s="19" t="str">
        <f t="shared" si="1"/>
        <v/>
      </c>
      <c r="M15" s="16" cm="1">
        <f t="array" ref="M15">IFERROR(_xlfn.LET(
_xlpm.x,TRIM(C15),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5" s="16" t="b">
        <f t="shared" si="2"/>
        <v>1</v>
      </c>
    </row>
    <row r="16" spans="1:14" x14ac:dyDescent="0.25">
      <c r="A16" s="5" t="s">
        <v>38</v>
      </c>
      <c r="B16" s="16">
        <v>188</v>
      </c>
      <c r="C16" s="16" t="str">
        <v>Blaisdell - 120</v>
      </c>
      <c r="D16" s="6" t="str">
        <f>_xlfn.XLOOKUP(C16,'2023'!C:C,'2023'!A:A,"")</f>
        <v/>
      </c>
      <c r="E16" s="6" t="str">
        <f>_xlfn.XLOOKUP(C16,'2023'!C:C,'2023'!B:B,"")</f>
        <v/>
      </c>
      <c r="F16" s="19" t="str">
        <f t="shared" si="3"/>
        <v/>
      </c>
      <c r="G16" s="6">
        <f>_xlfn.XLOOKUP(C16,'2024'!C:C,'2024'!A:A,"")</f>
        <v>45393.789583332997</v>
      </c>
      <c r="H16" s="6" t="str">
        <f>_xlfn.XLOOKUP(C17,'2024'!C:C,'2024'!B:B,"")</f>
        <v>No Selection Time Issued</v>
      </c>
      <c r="I16" s="19">
        <f t="shared" si="0"/>
        <v>45393.789583332997</v>
      </c>
      <c r="J16" s="6" t="str">
        <f>_xlfn.XLOOKUP(C16,'2025'!C:C,'2025'!A:A,"")</f>
        <v/>
      </c>
      <c r="K16" s="6" t="str">
        <f>_xlfn.XLOOKUP(C16,'2025'!C:C,'2025'!B:B,"")</f>
        <v/>
      </c>
      <c r="L16" s="19" t="str">
        <f t="shared" si="1"/>
        <v/>
      </c>
      <c r="M16" s="16" cm="1">
        <f t="array" ref="M16">IFERROR(_xlfn.LET(
_xlpm.x,TRIM(C16),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6" s="16" t="b">
        <f t="shared" si="2"/>
        <v>1</v>
      </c>
    </row>
    <row r="17" spans="1:14" x14ac:dyDescent="0.25">
      <c r="A17" s="5" t="s">
        <v>290</v>
      </c>
      <c r="B17" s="16">
        <v>179</v>
      </c>
      <c r="C17" s="16" t="str">
        <v>Blaisdell - 212</v>
      </c>
      <c r="D17" s="6" t="str">
        <f>_xlfn.XLOOKUP(C17,'2023'!C:C,'2023'!A:A,"")</f>
        <v/>
      </c>
      <c r="E17" s="6" t="str">
        <f>_xlfn.XLOOKUP(C17,'2023'!C:C,'2023'!B:B,"")</f>
        <v/>
      </c>
      <c r="F17" s="19" t="str">
        <f t="shared" si="3"/>
        <v/>
      </c>
      <c r="G17" s="6">
        <f>_xlfn.XLOOKUP(C17,'2024'!C:C,'2024'!A:A,"")</f>
        <v>45393.814583332998</v>
      </c>
      <c r="H17" s="6">
        <f>_xlfn.XLOOKUP(C18,'2024'!C:C,'2024'!B:B,"")</f>
        <v>45392.71875</v>
      </c>
      <c r="I17" s="19">
        <f t="shared" si="0"/>
        <v>45392.71875</v>
      </c>
      <c r="J17" s="6" t="str">
        <f>_xlfn.XLOOKUP(C17,'2025'!C:C,'2025'!A:A,"")</f>
        <v/>
      </c>
      <c r="K17" s="6" t="str">
        <f>_xlfn.XLOOKUP(C17,'2025'!C:C,'2025'!B:B,"")</f>
        <v/>
      </c>
      <c r="L17" s="19" t="str">
        <f t="shared" si="1"/>
        <v/>
      </c>
      <c r="M17" s="16" cm="1">
        <f t="array" ref="M17">IFERROR(_xlfn.LET(
_xlpm.x,TRIM(C17),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7" s="16" t="b">
        <f t="shared" si="2"/>
        <v>1</v>
      </c>
    </row>
    <row r="18" spans="1:14" x14ac:dyDescent="0.25">
      <c r="A18" s="5" t="s">
        <v>266</v>
      </c>
      <c r="B18" s="16">
        <v>175</v>
      </c>
      <c r="C18" s="16" t="str">
        <v>Blaisdell - 233</v>
      </c>
      <c r="D18" s="6" t="str">
        <f>_xlfn.XLOOKUP(C18,'2023'!C:C,'2023'!A:A,"")</f>
        <v/>
      </c>
      <c r="E18" s="6" t="str">
        <f>_xlfn.XLOOKUP(C18,'2023'!C:C,'2023'!B:B,"")</f>
        <v/>
      </c>
      <c r="F18" s="19" t="str">
        <f t="shared" si="3"/>
        <v/>
      </c>
      <c r="G18" s="6" t="str">
        <f>_xlfn.XLOOKUP(C18,'2024'!C:C,'2024'!A:A,"")</f>
        <v>No Selection Time Issued</v>
      </c>
      <c r="H18" s="6" t="str">
        <f>_xlfn.XLOOKUP(C19,'2024'!C:C,'2024'!B:B,"")</f>
        <v>No Selection Time Issued</v>
      </c>
      <c r="I18" s="19" t="str">
        <f t="shared" si="0"/>
        <v/>
      </c>
      <c r="J18" s="6" t="str">
        <f>_xlfn.XLOOKUP(C18,'2025'!C:C,'2025'!A:A,"")</f>
        <v/>
      </c>
      <c r="K18" s="6" t="str">
        <f>_xlfn.XLOOKUP(C18,'2025'!C:C,'2025'!B:B,"")</f>
        <v/>
      </c>
      <c r="L18" s="19" t="str">
        <f t="shared" si="1"/>
        <v/>
      </c>
      <c r="M18" s="16" cm="1">
        <f t="array" ref="M18">IFERROR(_xlfn.LET(
_xlpm.x,TRIM(C18),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8" s="16" t="b">
        <f t="shared" si="2"/>
        <v>1</v>
      </c>
    </row>
    <row r="19" spans="1:14" x14ac:dyDescent="0.25">
      <c r="A19" s="5" t="s">
        <v>266</v>
      </c>
      <c r="B19" s="16">
        <v>203</v>
      </c>
      <c r="C19" s="16" t="str">
        <v>Blaisdell - 242</v>
      </c>
      <c r="D19" s="6" t="str">
        <f>_xlfn.XLOOKUP(C19,'2023'!C:C,'2023'!A:A,"")</f>
        <v/>
      </c>
      <c r="E19" s="6" t="str">
        <f>_xlfn.XLOOKUP(C19,'2023'!C:C,'2023'!B:B,"")</f>
        <v/>
      </c>
      <c r="F19" s="19" t="str">
        <f t="shared" si="3"/>
        <v/>
      </c>
      <c r="G19" s="6">
        <f>_xlfn.XLOOKUP(C19,'2024'!C:C,'2024'!A:A,"")</f>
        <v>45393.787499999999</v>
      </c>
      <c r="H19" s="6" t="str">
        <f>_xlfn.XLOOKUP(C20,'2024'!C:C,'2024'!B:B,"")</f>
        <v>No Selection Time Issued</v>
      </c>
      <c r="I19" s="19">
        <f t="shared" si="0"/>
        <v>45393.787499999999</v>
      </c>
      <c r="J19" s="6" t="str">
        <f>_xlfn.XLOOKUP(C19,'2025'!C:C,'2025'!A:A,"")</f>
        <v/>
      </c>
      <c r="K19" s="6" t="str">
        <f>_xlfn.XLOOKUP(C19,'2025'!C:C,'2025'!B:B,"")</f>
        <v/>
      </c>
      <c r="L19" s="19" t="str">
        <f t="shared" si="1"/>
        <v/>
      </c>
      <c r="M19" s="16" cm="1">
        <f t="array" ref="M19">IFERROR(_xlfn.LET(
_xlpm.x,TRIM(C19),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9" s="16" t="b">
        <f t="shared" si="2"/>
        <v>1</v>
      </c>
    </row>
    <row r="20" spans="1:14" x14ac:dyDescent="0.25">
      <c r="A20" s="5" t="s">
        <v>785</v>
      </c>
      <c r="B20" s="16">
        <v>173</v>
      </c>
      <c r="C20" s="16" t="str">
        <v>Blaisdell - 243</v>
      </c>
      <c r="D20" s="6" t="str">
        <f>_xlfn.XLOOKUP(C20,'2023'!C:C,'2023'!A:A,"")</f>
        <v/>
      </c>
      <c r="E20" s="6" t="str">
        <f>_xlfn.XLOOKUP(C20,'2023'!C:C,'2023'!B:B,"")</f>
        <v/>
      </c>
      <c r="F20" s="19" t="str">
        <f t="shared" si="3"/>
        <v/>
      </c>
      <c r="G20" s="6">
        <f>_xlfn.XLOOKUP(C20,'2024'!C:C,'2024'!A:A,"")</f>
        <v>45393.8125</v>
      </c>
      <c r="H20" s="6" t="str">
        <f>_xlfn.XLOOKUP(C21,'2024'!C:C,'2024'!B:B,"")</f>
        <v>No Selection Time Issued</v>
      </c>
      <c r="I20" s="19">
        <f t="shared" si="0"/>
        <v>45393.8125</v>
      </c>
      <c r="J20" s="6" t="str">
        <f>_xlfn.XLOOKUP(C20,'2025'!C:C,'2025'!A:A,"")</f>
        <v/>
      </c>
      <c r="K20" s="6" t="str">
        <f>_xlfn.XLOOKUP(C20,'2025'!C:C,'2025'!B:B,"")</f>
        <v/>
      </c>
      <c r="L20" s="19" t="str">
        <f t="shared" si="1"/>
        <v/>
      </c>
      <c r="M20" s="16" cm="1">
        <f t="array" ref="M20">IFERROR(_xlfn.LET(
_xlpm.x,TRIM(C20),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20" s="16" t="b">
        <f t="shared" si="2"/>
        <v>1</v>
      </c>
    </row>
    <row r="21" spans="1:14" x14ac:dyDescent="0.25">
      <c r="A21" s="5" t="s">
        <v>785</v>
      </c>
      <c r="B21" s="16">
        <v>175</v>
      </c>
      <c r="C21" s="16" t="str">
        <v>Blaisdell - BLSD 341-343 - 341</v>
      </c>
      <c r="D21" s="6">
        <f>_xlfn.XLOOKUP(C21,'2023'!C:C,'2023'!A:A,"")</f>
        <v>45029.710416667003</v>
      </c>
      <c r="E21" s="6" t="str">
        <f>_xlfn.XLOOKUP(C21,'2023'!C:C,'2023'!B:B,"")</f>
        <v>No Selection Time Issued</v>
      </c>
      <c r="F21" s="19">
        <f t="shared" si="3"/>
        <v>45029.710416667003</v>
      </c>
      <c r="G21" s="6">
        <f>_xlfn.XLOOKUP(C21,'2024'!C:C,'2024'!A:A,"")</f>
        <v>45393.710416667003</v>
      </c>
      <c r="H21" s="6" t="str">
        <f>_xlfn.XLOOKUP(C22,'2024'!C:C,'2024'!B:B,"")</f>
        <v>No Selection Time Issued</v>
      </c>
      <c r="I21" s="19">
        <f t="shared" si="0"/>
        <v>45393.710416667003</v>
      </c>
      <c r="J21" s="6">
        <f>_xlfn.XLOOKUP(C21,'2025'!C:C,'2025'!A:A,"")</f>
        <v>45757.714583333</v>
      </c>
      <c r="K21" s="6">
        <f>_xlfn.XLOOKUP(C21,'2025'!C:C,'2025'!B:B,"")</f>
        <v>45757.714583333</v>
      </c>
      <c r="L21" s="19">
        <f t="shared" si="1"/>
        <v>45757.714583333</v>
      </c>
      <c r="M21" s="16" cm="1">
        <f t="array" ref="M21">IFERROR(_xlfn.LET(
_xlpm.x,TRIM(C21),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" s="16" t="b">
        <f t="shared" si="2"/>
        <v>1</v>
      </c>
    </row>
    <row r="22" spans="1:14" x14ac:dyDescent="0.25">
      <c r="A22" s="5" t="s">
        <v>511</v>
      </c>
      <c r="B22" s="16">
        <v>179</v>
      </c>
      <c r="C22" s="16" t="str">
        <v>Blaisdell - BLSD 341-343 - 342</v>
      </c>
      <c r="D22" s="6">
        <f>_xlfn.XLOOKUP(C22,'2023'!C:C,'2023'!A:A,"")</f>
        <v>45029.814583332998</v>
      </c>
      <c r="E22" s="6">
        <f>_xlfn.XLOOKUP(C22,'2023'!C:C,'2023'!B:B,"")</f>
        <v>45029.710416667003</v>
      </c>
      <c r="F22" s="19">
        <f t="shared" si="3"/>
        <v>45029.710416667003</v>
      </c>
      <c r="G22" s="6">
        <f>_xlfn.XLOOKUP(C22,'2024'!C:C,'2024'!A:A,"")</f>
        <v>45393.8</v>
      </c>
      <c r="H22" s="6" t="str">
        <f>_xlfn.XLOOKUP(C23,'2024'!C:C,'2024'!B:B,"")</f>
        <v>No Selection Time Issued</v>
      </c>
      <c r="I22" s="19">
        <f t="shared" si="0"/>
        <v>45393.8</v>
      </c>
      <c r="J22" s="6">
        <f>_xlfn.XLOOKUP(C22,'2025'!C:C,'2025'!A:A,"")</f>
        <v>45757.822916666999</v>
      </c>
      <c r="K22" s="6">
        <f>_xlfn.XLOOKUP(C22,'2025'!C:C,'2025'!B:B,"")</f>
        <v>45757.714583333</v>
      </c>
      <c r="L22" s="19">
        <f t="shared" si="1"/>
        <v>45757.714583333</v>
      </c>
      <c r="M22" s="16" cm="1">
        <f t="array" ref="M22">IFERROR(_xlfn.LET(
_xlpm.x,TRIM(C22),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" s="16" t="b">
        <f t="shared" si="2"/>
        <v>1</v>
      </c>
    </row>
    <row r="23" spans="1:14" x14ac:dyDescent="0.25">
      <c r="A23" s="5" t="s">
        <v>766</v>
      </c>
      <c r="B23" s="16">
        <v>174</v>
      </c>
      <c r="C23" s="16" t="str">
        <v>Blaisdell - BLSD 341-343 - 343</v>
      </c>
      <c r="D23" s="6">
        <f>_xlfn.XLOOKUP(C23,'2023'!C:C,'2023'!A:A,"")</f>
        <v>45029.772916667003</v>
      </c>
      <c r="E23" s="6">
        <f>_xlfn.XLOOKUP(C23,'2023'!C:C,'2023'!B:B,"")</f>
        <v>45027.741666667003</v>
      </c>
      <c r="F23" s="19">
        <f t="shared" si="3"/>
        <v>45027.741666667003</v>
      </c>
      <c r="G23" s="6">
        <f>_xlfn.XLOOKUP(C23,'2024'!C:C,'2024'!A:A,"")</f>
        <v>45393.731249999997</v>
      </c>
      <c r="H23" s="6">
        <f>_xlfn.XLOOKUP(C24,'2024'!C:C,'2024'!B:B,"")</f>
        <v>45392.760416666999</v>
      </c>
      <c r="I23" s="19">
        <f t="shared" si="0"/>
        <v>45392.760416666999</v>
      </c>
      <c r="J23" s="6">
        <f>_xlfn.XLOOKUP(C23,'2025'!C:C,'2025'!A:A,"")</f>
        <v>45757.818749999999</v>
      </c>
      <c r="K23" s="6">
        <f>_xlfn.XLOOKUP(C23,'2025'!C:C,'2025'!B:B,"")</f>
        <v>45757.714583333</v>
      </c>
      <c r="L23" s="19">
        <f t="shared" si="1"/>
        <v>45757.714583333</v>
      </c>
      <c r="M23" s="16" cm="1">
        <f t="array" ref="M23">IFERROR(_xlfn.LET(
_xlpm.x,TRIM(C23),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23" s="16" t="b">
        <f t="shared" si="2"/>
        <v>1</v>
      </c>
    </row>
    <row r="24" spans="1:14" x14ac:dyDescent="0.25">
      <c r="A24" s="5" t="s">
        <v>766</v>
      </c>
      <c r="B24" s="16">
        <v>293</v>
      </c>
      <c r="C24" s="16" t="str">
        <v>Clark I - 221</v>
      </c>
      <c r="D24" s="6">
        <f>_xlfn.XLOOKUP(C24,'2023'!C:C,'2023'!A:A,"")</f>
        <v>45028.845833332998</v>
      </c>
      <c r="E24" s="6">
        <f>_xlfn.XLOOKUP(C24,'2023'!C:C,'2023'!B:B,"")</f>
        <v>45027.739583333001</v>
      </c>
      <c r="F24" s="19">
        <f t="shared" si="3"/>
        <v>45027.739583333001</v>
      </c>
      <c r="G24" s="6">
        <f>_xlfn.XLOOKUP(C24,'2024'!C:C,'2024'!A:A,"")</f>
        <v>45392.852083332997</v>
      </c>
      <c r="H24" s="6">
        <f>_xlfn.XLOOKUP(C25,'2024'!C:C,'2024'!B:B,"")</f>
        <v>45391.722916667</v>
      </c>
      <c r="I24" s="19">
        <f t="shared" si="0"/>
        <v>45391.722916667</v>
      </c>
      <c r="J24" s="6" t="str">
        <f>_xlfn.XLOOKUP(C24,'2025'!C:C,'2025'!A:A,"")</f>
        <v/>
      </c>
      <c r="K24" s="6" t="str">
        <f>_xlfn.XLOOKUP(C24,'2025'!C:C,'2025'!B:B,"")</f>
        <v/>
      </c>
      <c r="L24" s="19" t="str">
        <f t="shared" si="1"/>
        <v/>
      </c>
      <c r="M24" s="16" cm="1">
        <f t="array" ref="M24">IFERROR(_xlfn.LET(
_xlpm.x,TRIM(C24),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3</v>
      </c>
      <c r="N24" s="16" t="b">
        <f t="shared" si="2"/>
        <v>0</v>
      </c>
    </row>
    <row r="25" spans="1:14" x14ac:dyDescent="0.25">
      <c r="A25" s="5" t="s">
        <v>790</v>
      </c>
      <c r="B25" s="16">
        <v>313</v>
      </c>
      <c r="C25" s="16" t="str">
        <v>Clark I - 222</v>
      </c>
      <c r="D25" s="6">
        <f>_xlfn.XLOOKUP(C25,'2023'!C:C,'2023'!A:A,"")</f>
        <v>45029.85</v>
      </c>
      <c r="E25" s="6">
        <f>_xlfn.XLOOKUP(C25,'2023'!C:C,'2023'!B:B,"")</f>
        <v>45027.772916667003</v>
      </c>
      <c r="F25" s="19">
        <f t="shared" si="3"/>
        <v>45027.772916667003</v>
      </c>
      <c r="G25" s="6">
        <f>_xlfn.XLOOKUP(C25,'2024'!C:C,'2024'!A:A,"")</f>
        <v>45392.85</v>
      </c>
      <c r="H25" s="6" t="str">
        <f>_xlfn.XLOOKUP(C26,'2024'!C:C,'2024'!B:B,"")</f>
        <v>No Selection Time Issued</v>
      </c>
      <c r="I25" s="19">
        <f t="shared" si="0"/>
        <v>45392.85</v>
      </c>
      <c r="J25" s="6" t="str">
        <f>_xlfn.XLOOKUP(C25,'2025'!C:C,'2025'!A:A,"")</f>
        <v/>
      </c>
      <c r="K25" s="6" t="str">
        <f>_xlfn.XLOOKUP(C25,'2025'!C:C,'2025'!B:B,"")</f>
        <v/>
      </c>
      <c r="L25" s="19" t="str">
        <f t="shared" si="1"/>
        <v/>
      </c>
      <c r="M25" s="16" cm="1">
        <f t="array" ref="M25">IFERROR(_xlfn.LET(
_xlpm.x,TRIM(C25),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3</v>
      </c>
      <c r="N25" s="16" t="b">
        <f t="shared" si="2"/>
        <v>0</v>
      </c>
    </row>
    <row r="26" spans="1:14" x14ac:dyDescent="0.25">
      <c r="A26" s="5" t="s">
        <v>790</v>
      </c>
      <c r="B26" s="16">
        <v>204</v>
      </c>
      <c r="C26" s="16" t="str">
        <v>Clark I - CL-I 100 - 100A</v>
      </c>
      <c r="D26" s="6">
        <f>_xlfn.XLOOKUP(C26,'2023'!C:C,'2023'!A:A,"")</f>
        <v>45028.818749999999</v>
      </c>
      <c r="E26" s="6">
        <f>_xlfn.XLOOKUP(C26,'2023'!C:C,'2023'!B:B,"")</f>
        <v>45027.722916667</v>
      </c>
      <c r="F26" s="19">
        <f t="shared" si="3"/>
        <v>45027.722916667</v>
      </c>
      <c r="G26" s="6">
        <f>_xlfn.XLOOKUP(C26,'2024'!C:C,'2024'!A:A,"")</f>
        <v>45392.722916667</v>
      </c>
      <c r="H26" s="6" t="str">
        <f>_xlfn.XLOOKUP(C27,'2024'!C:C,'2024'!B:B,"")</f>
        <v>No Selection Time Issued</v>
      </c>
      <c r="I26" s="19">
        <f t="shared" si="0"/>
        <v>45392.722916667</v>
      </c>
      <c r="J26" s="6">
        <f>_xlfn.XLOOKUP(C26,'2025'!C:C,'2025'!A:A,"")</f>
        <v>45756.845833332998</v>
      </c>
      <c r="K26" s="6">
        <f>_xlfn.XLOOKUP(C26,'2025'!C:C,'2025'!B:B,"")</f>
        <v>45756.727083332997</v>
      </c>
      <c r="L26" s="19">
        <f t="shared" si="1"/>
        <v>45756.727083332997</v>
      </c>
      <c r="M26" s="16" cm="1">
        <f t="array" ref="M26">IFERROR(_xlfn.LET(
_xlpm.x,TRIM(C26),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26" s="16" t="b">
        <f t="shared" si="2"/>
        <v>0</v>
      </c>
    </row>
    <row r="27" spans="1:14" x14ac:dyDescent="0.25">
      <c r="A27" s="5" t="s">
        <v>787</v>
      </c>
      <c r="B27" s="16">
        <v>135</v>
      </c>
      <c r="C27" s="16" t="str">
        <v>Clark I - CL-I 100 - 100B</v>
      </c>
      <c r="D27" s="6">
        <f>_xlfn.XLOOKUP(C27,'2023'!C:C,'2023'!A:A,"")</f>
        <v>45028.766666666997</v>
      </c>
      <c r="E27" s="6">
        <f>_xlfn.XLOOKUP(C27,'2023'!C:C,'2023'!B:B,"")</f>
        <v>45027.895833333001</v>
      </c>
      <c r="F27" s="19">
        <f t="shared" si="3"/>
        <v>45027.895833333001</v>
      </c>
      <c r="G27" s="6">
        <f>_xlfn.XLOOKUP(C27,'2024'!C:C,'2024'!A:A,"")</f>
        <v>45393.8</v>
      </c>
      <c r="H27" s="6">
        <f>_xlfn.XLOOKUP(C28,'2024'!C:C,'2024'!B:B,"")</f>
        <v>45391.716666667002</v>
      </c>
      <c r="I27" s="19">
        <f t="shared" si="0"/>
        <v>45391.716666667002</v>
      </c>
      <c r="J27" s="6">
        <f>_xlfn.XLOOKUP(C27,'2025'!C:C,'2025'!A:A,"")</f>
        <v>45756.845833332998</v>
      </c>
      <c r="K27" s="6">
        <f>_xlfn.XLOOKUP(C27,'2025'!C:C,'2025'!B:B,"")</f>
        <v>45756.727083332997</v>
      </c>
      <c r="L27" s="19">
        <f t="shared" si="1"/>
        <v>45756.727083332997</v>
      </c>
      <c r="M27" s="16" cm="1">
        <f t="array" ref="M27">IFERROR(_xlfn.LET(
_xlpm.x,TRIM(C27),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" s="16" t="b">
        <f t="shared" si="2"/>
        <v>0</v>
      </c>
    </row>
    <row r="28" spans="1:14" x14ac:dyDescent="0.25">
      <c r="A28" s="5" t="s">
        <v>787</v>
      </c>
      <c r="B28" s="16">
        <v>186</v>
      </c>
      <c r="C28" s="16" t="str">
        <v>Clark I - CL-I 101 - 101A</v>
      </c>
      <c r="D28" s="6">
        <f>_xlfn.XLOOKUP(C28,'2023'!C:C,'2023'!A:A,"")</f>
        <v>45027.875</v>
      </c>
      <c r="E28" s="6">
        <f>_xlfn.XLOOKUP(C28,'2023'!C:C,'2023'!B:B,"")</f>
        <v>45027.733333333003</v>
      </c>
      <c r="F28" s="19">
        <f t="shared" si="3"/>
        <v>45027.733333333003</v>
      </c>
      <c r="G28" s="6">
        <f>_xlfn.XLOOKUP(C28,'2024'!C:C,'2024'!A:A,"")</f>
        <v>45391.854166666999</v>
      </c>
      <c r="H28" s="6">
        <f>_xlfn.XLOOKUP(C29,'2024'!C:C,'2024'!B:B,"")</f>
        <v>45391.708333333001</v>
      </c>
      <c r="I28" s="19">
        <f t="shared" si="0"/>
        <v>45391.708333333001</v>
      </c>
      <c r="J28" s="6">
        <f>_xlfn.XLOOKUP(C28,'2025'!C:C,'2025'!A:A,"")</f>
        <v>45756.722916667</v>
      </c>
      <c r="K28" s="6">
        <f>_xlfn.XLOOKUP(C28,'2025'!C:C,'2025'!B:B,"")</f>
        <v>45756.722916667</v>
      </c>
      <c r="L28" s="19">
        <f t="shared" si="1"/>
        <v>45756.722916667</v>
      </c>
      <c r="M28" s="16" cm="1">
        <f t="array" ref="M28">IFERROR(_xlfn.LET(
_xlpm.x,TRIM(C28),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" s="16" t="b">
        <f t="shared" si="2"/>
        <v>0</v>
      </c>
    </row>
    <row r="29" spans="1:14" x14ac:dyDescent="0.25">
      <c r="A29" s="5" t="s">
        <v>177</v>
      </c>
      <c r="B29" s="16">
        <v>135</v>
      </c>
      <c r="C29" s="16" t="str">
        <v>Clark I - CL-I 101 - 101B</v>
      </c>
      <c r="D29" s="6">
        <f>_xlfn.XLOOKUP(C29,'2023'!C:C,'2023'!A:A,"")</f>
        <v>45028.84375</v>
      </c>
      <c r="E29" s="6">
        <f>_xlfn.XLOOKUP(C29,'2023'!C:C,'2023'!B:B,"")</f>
        <v>45029.741666667003</v>
      </c>
      <c r="F29" s="19">
        <f t="shared" si="3"/>
        <v>45028.84375</v>
      </c>
      <c r="G29" s="6">
        <f>_xlfn.XLOOKUP(C29,'2024'!C:C,'2024'!A:A,"")</f>
        <v>45391.837500000001</v>
      </c>
      <c r="H29" s="6">
        <f>_xlfn.XLOOKUP(C30,'2024'!C:C,'2024'!B:B,"")</f>
        <v>45391.737500000003</v>
      </c>
      <c r="I29" s="19">
        <f t="shared" si="0"/>
        <v>45391.737500000003</v>
      </c>
      <c r="J29" s="6">
        <f>_xlfn.XLOOKUP(C29,'2025'!C:C,'2025'!A:A,"")</f>
        <v>45756.824999999997</v>
      </c>
      <c r="K29" s="6">
        <f>_xlfn.XLOOKUP(C29,'2025'!C:C,'2025'!B:B,"")</f>
        <v>45756.722916667</v>
      </c>
      <c r="L29" s="19">
        <f t="shared" si="1"/>
        <v>45756.722916667</v>
      </c>
      <c r="M29" s="16" cm="1">
        <f t="array" ref="M29">IFERROR(_xlfn.LET(
_xlpm.x,TRIM(C29),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" s="16" t="b">
        <f t="shared" si="2"/>
        <v>0</v>
      </c>
    </row>
    <row r="30" spans="1:14" x14ac:dyDescent="0.25">
      <c r="A30" s="5" t="s">
        <v>177</v>
      </c>
      <c r="B30" s="16">
        <v>186</v>
      </c>
      <c r="C30" s="16" t="str">
        <v>Clark I - CL-I 102 - 102A</v>
      </c>
      <c r="D30" s="6">
        <f>_xlfn.XLOOKUP(C30,'2023'!C:C,'2023'!A:A,"")</f>
        <v>45028.708333333001</v>
      </c>
      <c r="E30" s="6">
        <f>_xlfn.XLOOKUP(C30,'2023'!C:C,'2023'!B:B,"")</f>
        <v>45028.833333333001</v>
      </c>
      <c r="F30" s="19">
        <f t="shared" si="3"/>
        <v>45028.708333333001</v>
      </c>
      <c r="G30" s="6">
        <f>_xlfn.XLOOKUP(C30,'2024'!C:C,'2024'!A:A,"")</f>
        <v>45392.714583333</v>
      </c>
      <c r="H30" s="6">
        <f>_xlfn.XLOOKUP(C31,'2024'!C:C,'2024'!B:B,"")</f>
        <v>45391.729166666999</v>
      </c>
      <c r="I30" s="19">
        <f t="shared" si="0"/>
        <v>45391.729166666999</v>
      </c>
      <c r="J30" s="6">
        <f>_xlfn.XLOOKUP(C30,'2025'!C:C,'2025'!A:A,"")</f>
        <v>45755.789583332997</v>
      </c>
      <c r="K30" s="6">
        <f>_xlfn.XLOOKUP(C30,'2025'!C:C,'2025'!B:B,"")</f>
        <v>45755.789583332997</v>
      </c>
      <c r="L30" s="19">
        <f t="shared" si="1"/>
        <v>45755.789583332997</v>
      </c>
      <c r="M30" s="16" cm="1">
        <f t="array" ref="M30">IFERROR(_xlfn.LET(
_xlpm.x,TRIM(C30),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" s="16" t="b">
        <f t="shared" si="2"/>
        <v>0</v>
      </c>
    </row>
    <row r="31" spans="1:14" x14ac:dyDescent="0.25">
      <c r="A31" s="5" t="s">
        <v>666</v>
      </c>
      <c r="B31" s="16">
        <v>118</v>
      </c>
      <c r="C31" s="16" t="str">
        <v>Clark I - CL-I 102 - 102B</v>
      </c>
      <c r="D31" s="6">
        <f>_xlfn.XLOOKUP(C31,'2023'!C:C,'2023'!A:A,"")</f>
        <v>45028.802083333001</v>
      </c>
      <c r="E31" s="6">
        <f>_xlfn.XLOOKUP(C31,'2023'!C:C,'2023'!B:B,"")</f>
        <v>45028.727083332997</v>
      </c>
      <c r="F31" s="19">
        <f t="shared" si="3"/>
        <v>45028.727083332997</v>
      </c>
      <c r="G31" s="6">
        <f>_xlfn.XLOOKUP(C31,'2024'!C:C,'2024'!A:A,"")</f>
        <v>45392.852083332997</v>
      </c>
      <c r="H31" s="6" t="str">
        <f>_xlfn.XLOOKUP(C32,'2024'!C:C,'2024'!B:B,"")</f>
        <v/>
      </c>
      <c r="I31" s="19">
        <f t="shared" si="0"/>
        <v>45392.852083332997</v>
      </c>
      <c r="J31" s="6">
        <f>_xlfn.XLOOKUP(C31,'2025'!C:C,'2025'!A:A,"")</f>
        <v>45755.904166667002</v>
      </c>
      <c r="K31" s="6">
        <f>_xlfn.XLOOKUP(C31,'2025'!C:C,'2025'!B:B,"")</f>
        <v>45755.789583332997</v>
      </c>
      <c r="L31" s="19">
        <f t="shared" si="1"/>
        <v>45755.789583332997</v>
      </c>
      <c r="M31" s="16" cm="1">
        <f t="array" ref="M31">IFERROR(_xlfn.LET(
_xlpm.x,TRIM(C31),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" s="16" t="b">
        <f t="shared" si="2"/>
        <v>0</v>
      </c>
    </row>
    <row r="32" spans="1:14" x14ac:dyDescent="0.25">
      <c r="A32" s="5" t="s">
        <v>486</v>
      </c>
      <c r="B32" s="16">
        <v>158</v>
      </c>
      <c r="C32" s="16" t="str">
        <v>Clark I - CL-I 103 - 103A</v>
      </c>
      <c r="D32" s="6">
        <f>_xlfn.XLOOKUP(C32,'2023'!C:C,'2023'!A:A,"")</f>
        <v>45028.710416667003</v>
      </c>
      <c r="E32" s="6">
        <f>_xlfn.XLOOKUP(C32,'2023'!C:C,'2023'!B:B,"")</f>
        <v>45028.710416667003</v>
      </c>
      <c r="F32" s="19">
        <f t="shared" si="3"/>
        <v>45028.710416667003</v>
      </c>
      <c r="G32" s="6" t="str">
        <f>_xlfn.XLOOKUP(C32,'2024'!C:C,'2024'!A:A,"")</f>
        <v/>
      </c>
      <c r="H32" s="6" t="str">
        <f>_xlfn.XLOOKUP(C33,'2024'!C:C,'2024'!B:B,"")</f>
        <v/>
      </c>
      <c r="I32" s="19" t="str">
        <f t="shared" si="0"/>
        <v/>
      </c>
      <c r="J32" s="6">
        <f>_xlfn.XLOOKUP(C32,'2025'!C:C,'2025'!A:A,"")</f>
        <v>45756.8125</v>
      </c>
      <c r="K32" s="6">
        <f>_xlfn.XLOOKUP(C32,'2025'!C:C,'2025'!B:B,"")</f>
        <v>45756.712500000001</v>
      </c>
      <c r="L32" s="19">
        <f t="shared" si="1"/>
        <v>45756.712500000001</v>
      </c>
      <c r="M32" s="16" cm="1">
        <f t="array" ref="M32">IFERROR(_xlfn.LET(
_xlpm.x,TRIM(C32),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" s="16" t="b">
        <f t="shared" si="2"/>
        <v>0</v>
      </c>
    </row>
    <row r="33" spans="1:14" x14ac:dyDescent="0.25">
      <c r="A33" s="5" t="s">
        <v>486</v>
      </c>
      <c r="B33" s="16">
        <v>135</v>
      </c>
      <c r="C33" s="16" t="str">
        <v>Clark I - CL-I 103 - 103B</v>
      </c>
      <c r="D33" s="6">
        <f>_xlfn.XLOOKUP(C33,'2023'!C:C,'2023'!A:A,"")</f>
        <v>45028.722916667</v>
      </c>
      <c r="E33" s="6" t="str">
        <f>_xlfn.XLOOKUP(C33,'2023'!C:C,'2023'!B:B,"")</f>
        <v>No Selection Time Issued</v>
      </c>
      <c r="F33" s="19">
        <f t="shared" si="3"/>
        <v>45028.722916667</v>
      </c>
      <c r="G33" s="6" t="str">
        <f>_xlfn.XLOOKUP(C33,'2024'!C:C,'2024'!A:A,"")</f>
        <v/>
      </c>
      <c r="H33" s="6">
        <f>_xlfn.XLOOKUP(C34,'2024'!C:C,'2024'!B:B,"")</f>
        <v>45391.733333333003</v>
      </c>
      <c r="I33" s="19">
        <f t="shared" si="0"/>
        <v>45391.733333333003</v>
      </c>
      <c r="J33" s="6">
        <f>_xlfn.XLOOKUP(C33,'2025'!C:C,'2025'!A:A,"")</f>
        <v>45756.712500000001</v>
      </c>
      <c r="K33" s="6">
        <f>_xlfn.XLOOKUP(C33,'2025'!C:C,'2025'!B:B,"")</f>
        <v>45756.712500000001</v>
      </c>
      <c r="L33" s="19">
        <f t="shared" si="1"/>
        <v>45756.712500000001</v>
      </c>
      <c r="M33" s="16" cm="1">
        <f t="array" ref="M33">IFERROR(_xlfn.LET(
_xlpm.x,TRIM(C33),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" s="16" t="b">
        <f t="shared" si="2"/>
        <v>0</v>
      </c>
    </row>
    <row r="34" spans="1:14" x14ac:dyDescent="0.25">
      <c r="A34" s="5" t="s">
        <v>619</v>
      </c>
      <c r="B34" s="16">
        <v>204</v>
      </c>
      <c r="C34" s="16" t="str">
        <v>Clark I - CL-I 104 - 104A</v>
      </c>
      <c r="D34" s="6">
        <f>_xlfn.XLOOKUP(C34,'2023'!C:C,'2023'!A:A,"")</f>
        <v>45029.708333333001</v>
      </c>
      <c r="E34" s="6">
        <f>_xlfn.XLOOKUP(C34,'2023'!C:C,'2023'!B:B,"")</f>
        <v>45028.729166666999</v>
      </c>
      <c r="F34" s="19">
        <f t="shared" si="3"/>
        <v>45028.729166666999</v>
      </c>
      <c r="G34" s="6">
        <f>_xlfn.XLOOKUP(C34,'2024'!C:C,'2024'!A:A,"")</f>
        <v>45392.720833332998</v>
      </c>
      <c r="H34" s="6" t="str">
        <f>_xlfn.XLOOKUP(C35,'2024'!C:C,'2024'!B:B,"")</f>
        <v>No Selection Time Issued</v>
      </c>
      <c r="I34" s="19">
        <f t="shared" si="0"/>
        <v>45392.720833332998</v>
      </c>
      <c r="J34" s="6">
        <f>_xlfn.XLOOKUP(C34,'2025'!C:C,'2025'!A:A,"")</f>
        <v>45756.829166666997</v>
      </c>
      <c r="K34" s="6">
        <f>_xlfn.XLOOKUP(C34,'2025'!C:C,'2025'!B:B,"")</f>
        <v>45756.745833333</v>
      </c>
      <c r="L34" s="19">
        <f t="shared" si="1"/>
        <v>45756.745833333</v>
      </c>
      <c r="M34" s="16" cm="1">
        <f t="array" ref="M34">IFERROR(_xlfn.LET(
_xlpm.x,TRIM(C34),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4" s="16" t="b">
        <f t="shared" si="2"/>
        <v>0</v>
      </c>
    </row>
    <row r="35" spans="1:14" x14ac:dyDescent="0.25">
      <c r="A35" s="5" t="s">
        <v>619</v>
      </c>
      <c r="B35" s="16">
        <v>135</v>
      </c>
      <c r="C35" s="16" t="str">
        <v>Clark I - CL-I 104 - 104B</v>
      </c>
      <c r="D35" s="6">
        <f>_xlfn.XLOOKUP(C35,'2023'!C:C,'2023'!A:A,"")</f>
        <v>45028.770833333001</v>
      </c>
      <c r="E35" s="6">
        <f>_xlfn.XLOOKUP(C35,'2023'!C:C,'2023'!B:B,"")</f>
        <v>45027.722916667</v>
      </c>
      <c r="F35" s="19">
        <f t="shared" si="3"/>
        <v>45027.722916667</v>
      </c>
      <c r="G35" s="6">
        <f>_xlfn.XLOOKUP(C35,'2024'!C:C,'2024'!A:A,"")</f>
        <v>45392.862500000003</v>
      </c>
      <c r="H35" s="6">
        <f>_xlfn.XLOOKUP(C36,'2024'!C:C,'2024'!B:B,"")</f>
        <v>45392.71875</v>
      </c>
      <c r="I35" s="19">
        <f t="shared" si="0"/>
        <v>45392.71875</v>
      </c>
      <c r="J35" s="6">
        <f>_xlfn.XLOOKUP(C35,'2025'!C:C,'2025'!A:A,"")</f>
        <v>45756.760416666999</v>
      </c>
      <c r="K35" s="6">
        <f>_xlfn.XLOOKUP(C35,'2025'!C:C,'2025'!B:B,"")</f>
        <v>45756.745833333</v>
      </c>
      <c r="L35" s="19">
        <f t="shared" si="1"/>
        <v>45756.745833333</v>
      </c>
      <c r="M35" s="16" cm="1">
        <f t="array" ref="M35">IFERROR(_xlfn.LET(
_xlpm.x,TRIM(C35),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" s="16" t="b">
        <f t="shared" si="2"/>
        <v>0</v>
      </c>
    </row>
    <row r="36" spans="1:14" x14ac:dyDescent="0.25">
      <c r="A36" s="5" t="s">
        <v>121</v>
      </c>
      <c r="B36" s="16">
        <v>214</v>
      </c>
      <c r="C36" s="16" t="str">
        <v>Clark I - CL-I 105 - 105A</v>
      </c>
      <c r="D36" s="6">
        <f>_xlfn.XLOOKUP(C36,'2023'!C:C,'2023'!A:A,"")</f>
        <v>45029.772916667003</v>
      </c>
      <c r="E36" s="6">
        <f>_xlfn.XLOOKUP(C36,'2023'!C:C,'2023'!B:B,"")</f>
        <v>45027.731249999997</v>
      </c>
      <c r="F36" s="19">
        <f t="shared" si="3"/>
        <v>45027.731249999997</v>
      </c>
      <c r="G36" s="6">
        <f>_xlfn.XLOOKUP(C36,'2024'!C:C,'2024'!A:A,"")</f>
        <v>45391.885416666999</v>
      </c>
      <c r="H36" s="6">
        <f>_xlfn.XLOOKUP(C37,'2024'!C:C,'2024'!B:B,"")</f>
        <v>45392.708333333001</v>
      </c>
      <c r="I36" s="19">
        <f t="shared" si="0"/>
        <v>45391.885416666999</v>
      </c>
      <c r="J36" s="6" t="str">
        <f>_xlfn.XLOOKUP(C36,'2025'!C:C,'2025'!A:A,"")</f>
        <v/>
      </c>
      <c r="K36" s="6" t="str">
        <f>_xlfn.XLOOKUP(C36,'2025'!C:C,'2025'!B:B,"")</f>
        <v/>
      </c>
      <c r="L36" s="19" t="str">
        <f t="shared" si="1"/>
        <v/>
      </c>
      <c r="M36" s="16" cm="1">
        <f t="array" ref="M36">IFERROR(_xlfn.LET(
_xlpm.x,TRIM(C36),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" s="16" t="b">
        <f t="shared" si="2"/>
        <v>0</v>
      </c>
    </row>
    <row r="37" spans="1:14" x14ac:dyDescent="0.25">
      <c r="A37" s="5" t="s">
        <v>121</v>
      </c>
      <c r="B37" s="16">
        <v>127</v>
      </c>
      <c r="C37" s="16" t="str">
        <v>Clark I - CL-I 105 - 105B</v>
      </c>
      <c r="D37" s="6">
        <f>_xlfn.XLOOKUP(C37,'2023'!C:C,'2023'!A:A,"")</f>
        <v>45028.745833333</v>
      </c>
      <c r="E37" s="6" t="str">
        <f>_xlfn.XLOOKUP(C37,'2023'!C:C,'2023'!B:B,"")</f>
        <v>No Selection Time Issued</v>
      </c>
      <c r="F37" s="19">
        <f t="shared" si="3"/>
        <v>45028.745833333</v>
      </c>
      <c r="G37" s="6">
        <f>_xlfn.XLOOKUP(C37,'2024'!C:C,'2024'!A:A,"")</f>
        <v>45391.891666666997</v>
      </c>
      <c r="H37" s="6">
        <f>_xlfn.XLOOKUP(C38,'2024'!C:C,'2024'!B:B,"")</f>
        <v>45391.737500000003</v>
      </c>
      <c r="I37" s="19">
        <f t="shared" si="0"/>
        <v>45391.737500000003</v>
      </c>
      <c r="J37" s="6" t="str">
        <f>_xlfn.XLOOKUP(C37,'2025'!C:C,'2025'!A:A,"")</f>
        <v/>
      </c>
      <c r="K37" s="6" t="str">
        <f>_xlfn.XLOOKUP(C37,'2025'!C:C,'2025'!B:B,"")</f>
        <v/>
      </c>
      <c r="L37" s="19" t="str">
        <f t="shared" si="1"/>
        <v/>
      </c>
      <c r="M37" s="16" cm="1">
        <f t="array" ref="M37">IFERROR(_xlfn.LET(
_xlpm.x,TRIM(C37),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7" s="16" t="b">
        <f t="shared" si="2"/>
        <v>0</v>
      </c>
    </row>
    <row r="38" spans="1:14" x14ac:dyDescent="0.25">
      <c r="A38" s="5" t="s">
        <v>660</v>
      </c>
      <c r="B38" s="16">
        <v>211</v>
      </c>
      <c r="C38" s="16" t="str">
        <v>Clark I - CL-I 106 - 106A</v>
      </c>
      <c r="D38" s="6">
        <f>_xlfn.XLOOKUP(C38,'2023'!C:C,'2023'!A:A,"")</f>
        <v>45028.772916667003</v>
      </c>
      <c r="E38" s="6">
        <f>_xlfn.XLOOKUP(C38,'2023'!C:C,'2023'!B:B,"")</f>
        <v>45027.722916667</v>
      </c>
      <c r="F38" s="19">
        <f t="shared" si="3"/>
        <v>45027.722916667</v>
      </c>
      <c r="G38" s="6">
        <f>_xlfn.XLOOKUP(C38,'2024'!C:C,'2024'!A:A,"")</f>
        <v>45392.787499999999</v>
      </c>
      <c r="H38" s="6">
        <f>_xlfn.XLOOKUP(C39,'2024'!C:C,'2024'!B:B,"")</f>
        <v>45391.745833333</v>
      </c>
      <c r="I38" s="19">
        <f t="shared" si="0"/>
        <v>45391.745833333</v>
      </c>
      <c r="J38" s="6">
        <f>_xlfn.XLOOKUP(C38,'2025'!C:C,'2025'!A:A,"")</f>
        <v>45756.777083333</v>
      </c>
      <c r="K38" s="6">
        <f>_xlfn.XLOOKUP(C38,'2025'!C:C,'2025'!B:B,"")</f>
        <v>45756.708333333001</v>
      </c>
      <c r="L38" s="19">
        <f t="shared" si="1"/>
        <v>45756.708333333001</v>
      </c>
      <c r="M38" s="16" cm="1">
        <f t="array" ref="M38">IFERROR(_xlfn.LET(
_xlpm.x,TRIM(C38),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" s="16" t="b">
        <f t="shared" si="2"/>
        <v>0</v>
      </c>
    </row>
    <row r="39" spans="1:14" x14ac:dyDescent="0.25">
      <c r="A39" s="5" t="s">
        <v>660</v>
      </c>
      <c r="B39" s="16">
        <v>122</v>
      </c>
      <c r="C39" s="16" t="str">
        <v>Clark I - CL-I 106 - 106B</v>
      </c>
      <c r="D39" s="6">
        <f>_xlfn.XLOOKUP(C39,'2023'!C:C,'2023'!A:A,"")</f>
        <v>45028.747916667002</v>
      </c>
      <c r="E39" s="6" t="str">
        <f>_xlfn.XLOOKUP(C39,'2023'!C:C,'2023'!B:B,"")</f>
        <v>No Selection Time Issued</v>
      </c>
      <c r="F39" s="19">
        <f t="shared" si="3"/>
        <v>45028.747916667002</v>
      </c>
      <c r="G39" s="6">
        <f>_xlfn.XLOOKUP(C39,'2024'!C:C,'2024'!A:A,"")</f>
        <v>45392.714583333</v>
      </c>
      <c r="H39" s="6">
        <f>_xlfn.XLOOKUP(C40,'2024'!C:C,'2024'!B:B,"")</f>
        <v>45391.720833332998</v>
      </c>
      <c r="I39" s="19">
        <f t="shared" si="0"/>
        <v>45391.720833332998</v>
      </c>
      <c r="J39" s="6">
        <f>_xlfn.XLOOKUP(C39,'2025'!C:C,'2025'!A:A,"")</f>
        <v>45756.708333333001</v>
      </c>
      <c r="K39" s="6">
        <f>_xlfn.XLOOKUP(C39,'2025'!C:C,'2025'!B:B,"")</f>
        <v>45756.708333333001</v>
      </c>
      <c r="L39" s="19">
        <f t="shared" si="1"/>
        <v>45756.708333333001</v>
      </c>
      <c r="M39" s="16" cm="1">
        <f t="array" ref="M39">IFERROR(_xlfn.LET(
_xlpm.x,TRIM(C39),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" s="16" t="b">
        <f t="shared" si="2"/>
        <v>0</v>
      </c>
    </row>
    <row r="40" spans="1:14" x14ac:dyDescent="0.25">
      <c r="A40" s="5" t="s">
        <v>660</v>
      </c>
      <c r="B40" s="16">
        <v>207</v>
      </c>
      <c r="C40" s="16" t="str">
        <v>Clark I - CL-I 107 - 107A</v>
      </c>
      <c r="D40" s="6">
        <f>_xlfn.XLOOKUP(C40,'2023'!C:C,'2023'!A:A,"")</f>
        <v>45028.858333333003</v>
      </c>
      <c r="E40" s="6">
        <f>_xlfn.XLOOKUP(C40,'2023'!C:C,'2023'!B:B,"")</f>
        <v>45028.862500000003</v>
      </c>
      <c r="F40" s="19">
        <f t="shared" si="3"/>
        <v>45028.858333333003</v>
      </c>
      <c r="G40" s="6">
        <f>_xlfn.XLOOKUP(C40,'2024'!C:C,'2024'!A:A,"")</f>
        <v>45392.831250000003</v>
      </c>
      <c r="H40" s="6">
        <f>_xlfn.XLOOKUP(C41,'2024'!C:C,'2024'!B:B,"")</f>
        <v>45391.729166666999</v>
      </c>
      <c r="I40" s="19">
        <f t="shared" si="0"/>
        <v>45391.729166666999</v>
      </c>
      <c r="J40" s="6">
        <f>_xlfn.XLOOKUP(C40,'2025'!C:C,'2025'!A:A,"")</f>
        <v>45756.775000000001</v>
      </c>
      <c r="K40" s="6">
        <f>_xlfn.XLOOKUP(C40,'2025'!C:C,'2025'!B:B,"")</f>
        <v>45756.708333333001</v>
      </c>
      <c r="L40" s="19">
        <f t="shared" si="1"/>
        <v>45756.708333333001</v>
      </c>
      <c r="M40" s="16" cm="1">
        <f t="array" ref="M40">IFERROR(_xlfn.LET(
_xlpm.x,TRIM(C40),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0" s="16" t="b">
        <f t="shared" si="2"/>
        <v>0</v>
      </c>
    </row>
    <row r="41" spans="1:14" x14ac:dyDescent="0.25">
      <c r="A41" s="5" t="s">
        <v>451</v>
      </c>
      <c r="B41" s="16">
        <v>136</v>
      </c>
      <c r="C41" s="16" t="str">
        <v>Clark I - CL-I 107 - 107B</v>
      </c>
      <c r="D41" s="6">
        <f>_xlfn.XLOOKUP(C41,'2023'!C:C,'2023'!A:A,"")</f>
        <v>45028.793749999997</v>
      </c>
      <c r="E41" s="6">
        <f>_xlfn.XLOOKUP(C41,'2023'!C:C,'2023'!B:B,"")</f>
        <v>45027.720833332998</v>
      </c>
      <c r="F41" s="19">
        <f t="shared" si="3"/>
        <v>45027.720833332998</v>
      </c>
      <c r="G41" s="6">
        <f>_xlfn.XLOOKUP(C41,'2024'!C:C,'2024'!A:A,"")</f>
        <v>45392.71875</v>
      </c>
      <c r="H41" s="6">
        <f>_xlfn.XLOOKUP(C42,'2024'!C:C,'2024'!B:B,"")</f>
        <v>45392.729166666999</v>
      </c>
      <c r="I41" s="19">
        <f t="shared" si="0"/>
        <v>45392.71875</v>
      </c>
      <c r="J41" s="6">
        <f>_xlfn.XLOOKUP(C41,'2025'!C:C,'2025'!A:A,"")</f>
        <v>45756.708333333001</v>
      </c>
      <c r="K41" s="6">
        <f>_xlfn.XLOOKUP(C41,'2025'!C:C,'2025'!B:B,"")</f>
        <v>45756.708333333001</v>
      </c>
      <c r="L41" s="19">
        <f t="shared" si="1"/>
        <v>45756.708333333001</v>
      </c>
      <c r="M41" s="16" cm="1">
        <f t="array" ref="M41">IFERROR(_xlfn.LET(
_xlpm.x,TRIM(C41),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" s="16" t="b">
        <f t="shared" si="2"/>
        <v>0</v>
      </c>
    </row>
    <row r="42" spans="1:14" x14ac:dyDescent="0.25">
      <c r="A42" s="5" t="s">
        <v>451</v>
      </c>
      <c r="B42" s="16">
        <v>209</v>
      </c>
      <c r="C42" s="16" t="str">
        <v>Clark I - CL-I 108 - 108A</v>
      </c>
      <c r="D42" s="6">
        <f>_xlfn.XLOOKUP(C42,'2023'!C:C,'2023'!A:A,"")</f>
        <v>45027.891666666997</v>
      </c>
      <c r="E42" s="6" t="str">
        <f>_xlfn.XLOOKUP(C42,'2023'!C:C,'2023'!B:B,"")</f>
        <v>No Selection Time Issued</v>
      </c>
      <c r="F42" s="19">
        <f t="shared" si="3"/>
        <v>45027.891666666997</v>
      </c>
      <c r="G42" s="6">
        <f>_xlfn.XLOOKUP(C42,'2024'!C:C,'2024'!A:A,"")</f>
        <v>45392.827083333003</v>
      </c>
      <c r="H42" s="6">
        <f>_xlfn.XLOOKUP(C43,'2024'!C:C,'2024'!B:B,"")</f>
        <v>45391.9</v>
      </c>
      <c r="I42" s="19">
        <f t="shared" si="0"/>
        <v>45391.9</v>
      </c>
      <c r="J42" s="6" t="str">
        <f>_xlfn.XLOOKUP(C42,'2025'!C:C,'2025'!A:A,"")</f>
        <v/>
      </c>
      <c r="K42" s="6" t="str">
        <f>_xlfn.XLOOKUP(C42,'2025'!C:C,'2025'!B:B,"")</f>
        <v/>
      </c>
      <c r="L42" s="19" t="str">
        <f t="shared" si="1"/>
        <v/>
      </c>
      <c r="M42" s="16" cm="1">
        <f t="array" ref="M42">IFERROR(_xlfn.LET(
_xlpm.x,TRIM(C42),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" s="16" t="b">
        <f t="shared" si="2"/>
        <v>0</v>
      </c>
    </row>
    <row r="43" spans="1:14" x14ac:dyDescent="0.25">
      <c r="A43" s="5" t="s">
        <v>451</v>
      </c>
      <c r="B43" s="16">
        <v>128</v>
      </c>
      <c r="C43" s="16" t="str">
        <v>Clark I - CL-I 108 - 108B</v>
      </c>
      <c r="D43" s="6">
        <f>_xlfn.XLOOKUP(C43,'2023'!C:C,'2023'!A:A,"")</f>
        <v>45028.854166666999</v>
      </c>
      <c r="E43" s="6">
        <f>_xlfn.XLOOKUP(C43,'2023'!C:C,'2023'!B:B,"")</f>
        <v>45028.777083333</v>
      </c>
      <c r="F43" s="19">
        <f t="shared" si="3"/>
        <v>45028.777083333</v>
      </c>
      <c r="G43" s="6">
        <f>_xlfn.XLOOKUP(C43,'2024'!C:C,'2024'!A:A,"")</f>
        <v>45391.904166667002</v>
      </c>
      <c r="H43" s="6">
        <f>_xlfn.XLOOKUP(C44,'2024'!C:C,'2024'!B:B,"")</f>
        <v>45391.716666667002</v>
      </c>
      <c r="I43" s="19">
        <f t="shared" si="0"/>
        <v>45391.716666667002</v>
      </c>
      <c r="J43" s="6" t="str">
        <f>_xlfn.XLOOKUP(C43,'2025'!C:C,'2025'!A:A,"")</f>
        <v/>
      </c>
      <c r="K43" s="6" t="str">
        <f>_xlfn.XLOOKUP(C43,'2025'!C:C,'2025'!B:B,"")</f>
        <v/>
      </c>
      <c r="L43" s="19" t="str">
        <f t="shared" si="1"/>
        <v/>
      </c>
      <c r="M43" s="16" cm="1">
        <f t="array" ref="M43">IFERROR(_xlfn.LET(
_xlpm.x,TRIM(C43),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" s="16" t="b">
        <f t="shared" si="2"/>
        <v>0</v>
      </c>
    </row>
    <row r="44" spans="1:14" x14ac:dyDescent="0.25">
      <c r="A44" s="5" t="s">
        <v>210</v>
      </c>
      <c r="B44" s="16">
        <v>171</v>
      </c>
      <c r="C44" s="16" t="str">
        <v>Clark I - CL-I 109 - 109A</v>
      </c>
      <c r="D44" s="6">
        <f>_xlfn.XLOOKUP(C44,'2023'!C:C,'2023'!A:A,"")</f>
        <v>45028.764583333003</v>
      </c>
      <c r="E44" s="6" t="str">
        <f>_xlfn.XLOOKUP(C44,'2023'!C:C,'2023'!B:B,"")</f>
        <v>No Selection Time Issued</v>
      </c>
      <c r="F44" s="19">
        <f t="shared" si="3"/>
        <v>45028.764583333003</v>
      </c>
      <c r="G44" s="6">
        <f>_xlfn.XLOOKUP(C44,'2024'!C:C,'2024'!A:A,"")</f>
        <v>45391.829166666997</v>
      </c>
      <c r="H44" s="6">
        <f>_xlfn.XLOOKUP(C45,'2024'!C:C,'2024'!B:B,"")</f>
        <v>45391.760416666999</v>
      </c>
      <c r="I44" s="19">
        <f t="shared" si="0"/>
        <v>45391.760416666999</v>
      </c>
      <c r="J44" s="6">
        <f>_xlfn.XLOOKUP(C44,'2025'!C:C,'2025'!A:A,"")</f>
        <v>45756.797916666997</v>
      </c>
      <c r="K44" s="6">
        <f>_xlfn.XLOOKUP(C44,'2025'!C:C,'2025'!B:B,"")</f>
        <v>45755.772916667003</v>
      </c>
      <c r="L44" s="19">
        <f t="shared" si="1"/>
        <v>45755.772916667003</v>
      </c>
      <c r="M44" s="16" cm="1">
        <f t="array" ref="M44">IFERROR(_xlfn.LET(
_xlpm.x,TRIM(C44),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" s="16" t="b">
        <f t="shared" si="2"/>
        <v>0</v>
      </c>
    </row>
    <row r="45" spans="1:14" x14ac:dyDescent="0.25">
      <c r="A45" s="5" t="s">
        <v>210</v>
      </c>
      <c r="B45" s="16">
        <v>133</v>
      </c>
      <c r="C45" s="16" t="str">
        <v>Clark I - CL-I 109 - 109B</v>
      </c>
      <c r="D45" s="6">
        <f>_xlfn.XLOOKUP(C45,'2023'!C:C,'2023'!A:A,"")</f>
        <v>45027.885416666999</v>
      </c>
      <c r="E45" s="6">
        <f>_xlfn.XLOOKUP(C45,'2023'!C:C,'2023'!B:B,"")</f>
        <v>45027.885416666999</v>
      </c>
      <c r="F45" s="19">
        <f t="shared" si="3"/>
        <v>45027.885416666999</v>
      </c>
      <c r="G45" s="6">
        <f>_xlfn.XLOOKUP(C45,'2024'!C:C,'2024'!A:A,"")</f>
        <v>45392.747916667002</v>
      </c>
      <c r="H45" s="6">
        <f>_xlfn.XLOOKUP(C46,'2024'!C:C,'2024'!B:B,"")</f>
        <v>45391.712500000001</v>
      </c>
      <c r="I45" s="19">
        <f t="shared" si="0"/>
        <v>45391.712500000001</v>
      </c>
      <c r="J45" s="6">
        <f>_xlfn.XLOOKUP(C45,'2025'!C:C,'2025'!A:A,"")</f>
        <v>45755.772916667003</v>
      </c>
      <c r="K45" s="6">
        <f>_xlfn.XLOOKUP(C45,'2025'!C:C,'2025'!B:B,"")</f>
        <v>45755.772916667003</v>
      </c>
      <c r="L45" s="19">
        <f t="shared" si="1"/>
        <v>45755.772916667003</v>
      </c>
      <c r="M45" s="16" cm="1">
        <f t="array" ref="M45">IFERROR(_xlfn.LET(
_xlpm.x,TRIM(C45),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" s="16" t="b">
        <f t="shared" si="2"/>
        <v>0</v>
      </c>
    </row>
    <row r="46" spans="1:14" x14ac:dyDescent="0.25">
      <c r="A46" s="5" t="s">
        <v>210</v>
      </c>
      <c r="B46" s="16">
        <v>225</v>
      </c>
      <c r="C46" s="16" t="str">
        <v>Clark I - CL-I 110 - 110A</v>
      </c>
      <c r="D46" s="6">
        <f>_xlfn.XLOOKUP(C46,'2023'!C:C,'2023'!A:A,"")</f>
        <v>45028.822916666999</v>
      </c>
      <c r="E46" s="6">
        <f>_xlfn.XLOOKUP(C46,'2023'!C:C,'2023'!B:B,"")</f>
        <v>45027.714583333</v>
      </c>
      <c r="F46" s="19">
        <f t="shared" si="3"/>
        <v>45027.714583333</v>
      </c>
      <c r="G46" s="6">
        <f>_xlfn.XLOOKUP(C46,'2024'!C:C,'2024'!A:A,"")</f>
        <v>45392.785416667</v>
      </c>
      <c r="H46" s="6">
        <f>_xlfn.XLOOKUP(C47,'2024'!C:C,'2024'!B:B,"")</f>
        <v>45391.737500000003</v>
      </c>
      <c r="I46" s="19">
        <f t="shared" si="0"/>
        <v>45391.737500000003</v>
      </c>
      <c r="J46" s="6">
        <f>_xlfn.XLOOKUP(C46,'2025'!C:C,'2025'!A:A,"")</f>
        <v>45756.822916666999</v>
      </c>
      <c r="K46" s="6">
        <f>_xlfn.XLOOKUP(C46,'2025'!C:C,'2025'!B:B,"")</f>
        <v>45756.714583333</v>
      </c>
      <c r="L46" s="19">
        <f t="shared" si="1"/>
        <v>45756.714583333</v>
      </c>
      <c r="M46" s="16" cm="1">
        <f t="array" ref="M46">IFERROR(_xlfn.LET(
_xlpm.x,TRIM(C46),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6" s="16" t="b">
        <f t="shared" si="2"/>
        <v>0</v>
      </c>
    </row>
    <row r="47" spans="1:14" x14ac:dyDescent="0.25">
      <c r="A47" s="5" t="s">
        <v>210</v>
      </c>
      <c r="B47" s="16">
        <v>141</v>
      </c>
      <c r="C47" s="16" t="str">
        <v>Clark I - CL-I 110 - 110B</v>
      </c>
      <c r="D47" s="6">
        <f>_xlfn.XLOOKUP(C47,'2023'!C:C,'2023'!A:A,"")</f>
        <v>45028.735416666997</v>
      </c>
      <c r="E47" s="6">
        <f>_xlfn.XLOOKUP(C47,'2023'!C:C,'2023'!B:B,"")</f>
        <v>45027.775000000001</v>
      </c>
      <c r="F47" s="19">
        <f t="shared" si="3"/>
        <v>45027.775000000001</v>
      </c>
      <c r="G47" s="6">
        <f>_xlfn.XLOOKUP(C47,'2024'!C:C,'2024'!A:A,"")</f>
        <v>45391.902083333</v>
      </c>
      <c r="H47" s="6">
        <f>_xlfn.XLOOKUP(C48,'2024'!C:C,'2024'!B:B,"")</f>
        <v>45393.739583333001</v>
      </c>
      <c r="I47" s="19">
        <f t="shared" si="0"/>
        <v>45391.902083333</v>
      </c>
      <c r="J47" s="6">
        <f>_xlfn.XLOOKUP(C47,'2025'!C:C,'2025'!A:A,"")</f>
        <v>45756.714583333</v>
      </c>
      <c r="K47" s="6">
        <f>_xlfn.XLOOKUP(C47,'2025'!C:C,'2025'!B:B,"")</f>
        <v>45756.714583333</v>
      </c>
      <c r="L47" s="19">
        <f t="shared" si="1"/>
        <v>45756.714583333</v>
      </c>
      <c r="M47" s="16" cm="1">
        <f t="array" ref="M47">IFERROR(_xlfn.LET(
_xlpm.x,TRIM(C47),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" s="16" t="b">
        <f t="shared" si="2"/>
        <v>0</v>
      </c>
    </row>
    <row r="48" spans="1:14" x14ac:dyDescent="0.25">
      <c r="A48" s="5" t="s">
        <v>210</v>
      </c>
      <c r="B48" s="16">
        <v>188</v>
      </c>
      <c r="C48" s="16" t="str">
        <v>Clark I - CL-I 112 - 112A</v>
      </c>
      <c r="D48" s="6">
        <f>_xlfn.XLOOKUP(C48,'2023'!C:C,'2023'!A:A,"")</f>
        <v>45027.887499999997</v>
      </c>
      <c r="E48" s="6" t="str">
        <f>_xlfn.XLOOKUP(C48,'2023'!C:C,'2023'!B:B,"")</f>
        <v>No Selection Time Issued</v>
      </c>
      <c r="F48" s="19">
        <f t="shared" si="3"/>
        <v>45027.887499999997</v>
      </c>
      <c r="G48" s="6">
        <f>_xlfn.XLOOKUP(C48,'2024'!C:C,'2024'!A:A,"")</f>
        <v>45392.716666667002</v>
      </c>
      <c r="H48" s="6">
        <f>_xlfn.XLOOKUP(C49,'2024'!C:C,'2024'!B:B,"")</f>
        <v>45391.714583333</v>
      </c>
      <c r="I48" s="19">
        <f t="shared" si="0"/>
        <v>45391.714583333</v>
      </c>
      <c r="J48" s="6">
        <f>_xlfn.XLOOKUP(C48,'2025'!C:C,'2025'!A:A,"")</f>
        <v>45755.785416667</v>
      </c>
      <c r="K48" s="6">
        <f>_xlfn.XLOOKUP(C48,'2025'!C:C,'2025'!B:B,"")</f>
        <v>45755.785416667</v>
      </c>
      <c r="L48" s="19">
        <f t="shared" si="1"/>
        <v>45755.785416667</v>
      </c>
      <c r="M48" s="16" cm="1">
        <f t="array" ref="M48">IFERROR(_xlfn.LET(
_xlpm.x,TRIM(C48),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" s="16" t="b">
        <f t="shared" si="2"/>
        <v>0</v>
      </c>
    </row>
    <row r="49" spans="1:14" x14ac:dyDescent="0.25">
      <c r="A49" s="5" t="s">
        <v>206</v>
      </c>
      <c r="B49" s="16">
        <v>136</v>
      </c>
      <c r="C49" s="16" t="str">
        <v>Clark I - CL-I 112 - 112B</v>
      </c>
      <c r="D49" s="6">
        <f>_xlfn.XLOOKUP(C49,'2023'!C:C,'2023'!A:A,"")</f>
        <v>45027.747916667002</v>
      </c>
      <c r="E49" s="6">
        <f>_xlfn.XLOOKUP(C49,'2023'!C:C,'2023'!B:B,"")</f>
        <v>45027.889583333003</v>
      </c>
      <c r="F49" s="19">
        <f t="shared" si="3"/>
        <v>45027.747916667002</v>
      </c>
      <c r="G49" s="6">
        <f>_xlfn.XLOOKUP(C49,'2024'!C:C,'2024'!A:A,"")</f>
        <v>45392.847916667</v>
      </c>
      <c r="H49" s="6">
        <f>_xlfn.XLOOKUP(C50,'2024'!C:C,'2024'!B:B,"")</f>
        <v>45391.731249999997</v>
      </c>
      <c r="I49" s="19">
        <f t="shared" si="0"/>
        <v>45391.731249999997</v>
      </c>
      <c r="J49" s="6">
        <f>_xlfn.XLOOKUP(C49,'2025'!C:C,'2025'!A:A,"")</f>
        <v>45755.889583333003</v>
      </c>
      <c r="K49" s="6">
        <f>_xlfn.XLOOKUP(C49,'2025'!C:C,'2025'!B:B,"")</f>
        <v>45755.785416667</v>
      </c>
      <c r="L49" s="19">
        <f t="shared" si="1"/>
        <v>45755.785416667</v>
      </c>
      <c r="M49" s="16" cm="1">
        <f t="array" ref="M49">IFERROR(_xlfn.LET(
_xlpm.x,TRIM(C49),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" s="16" t="b">
        <f t="shared" si="2"/>
        <v>0</v>
      </c>
    </row>
    <row r="50" spans="1:14" x14ac:dyDescent="0.25">
      <c r="A50" s="5" t="s">
        <v>206</v>
      </c>
      <c r="B50" s="16">
        <v>179</v>
      </c>
      <c r="C50" s="16" t="str">
        <v>Clark I - CL-I 113 - 113A</v>
      </c>
      <c r="D50" s="6">
        <f>_xlfn.XLOOKUP(C50,'2023'!C:C,'2023'!A:A,"")</f>
        <v>45027.885416666999</v>
      </c>
      <c r="E50" s="6" t="str">
        <f>_xlfn.XLOOKUP(C50,'2023'!C:C,'2023'!B:B,"")</f>
        <v>No Selection Time Issued</v>
      </c>
      <c r="F50" s="19">
        <f t="shared" si="3"/>
        <v>45027.885416666999</v>
      </c>
      <c r="G50" s="6">
        <f>_xlfn.XLOOKUP(C50,'2024'!C:C,'2024'!A:A,"")</f>
        <v>45392.856249999997</v>
      </c>
      <c r="H50" s="6">
        <f>_xlfn.XLOOKUP(C51,'2024'!C:C,'2024'!B:B,"")</f>
        <v>45391.712500000001</v>
      </c>
      <c r="I50" s="19">
        <f t="shared" si="0"/>
        <v>45391.712500000001</v>
      </c>
      <c r="J50" s="6">
        <f>_xlfn.XLOOKUP(C50,'2025'!C:C,'2025'!A:A,"")</f>
        <v>45755.841666667002</v>
      </c>
      <c r="K50" s="6">
        <f>_xlfn.XLOOKUP(C50,'2025'!C:C,'2025'!B:B,"")</f>
        <v>45755.743750000001</v>
      </c>
      <c r="L50" s="19">
        <f t="shared" si="1"/>
        <v>45755.743750000001</v>
      </c>
      <c r="M50" s="16" cm="1">
        <f t="array" ref="M50">IFERROR(_xlfn.LET(
_xlpm.x,TRIM(C50),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" s="16" t="b">
        <f t="shared" si="2"/>
        <v>0</v>
      </c>
    </row>
    <row r="51" spans="1:14" x14ac:dyDescent="0.25">
      <c r="A51" s="5" t="s">
        <v>206</v>
      </c>
      <c r="B51" s="16">
        <v>137</v>
      </c>
      <c r="C51" s="16" t="str">
        <v>Clark I - CL-I 113 - 113B</v>
      </c>
      <c r="D51" s="6">
        <f>_xlfn.XLOOKUP(C51,'2023'!C:C,'2023'!A:A,"")</f>
        <v>45028.845833332998</v>
      </c>
      <c r="E51" s="6">
        <f>_xlfn.XLOOKUP(C51,'2023'!C:C,'2023'!B:B,"")</f>
        <v>45027.889583333003</v>
      </c>
      <c r="F51" s="19">
        <f t="shared" si="3"/>
        <v>45027.889583333003</v>
      </c>
      <c r="G51" s="6">
        <f>_xlfn.XLOOKUP(C51,'2024'!C:C,'2024'!A:A,"")</f>
        <v>45392.71875</v>
      </c>
      <c r="H51" s="6">
        <f>_xlfn.XLOOKUP(C52,'2024'!C:C,'2024'!B:B,"")</f>
        <v>45391.722916667</v>
      </c>
      <c r="I51" s="19">
        <f t="shared" si="0"/>
        <v>45391.722916667</v>
      </c>
      <c r="J51" s="6">
        <f>_xlfn.XLOOKUP(C51,'2025'!C:C,'2025'!A:A,"")</f>
        <v>45755.743750000001</v>
      </c>
      <c r="K51" s="6">
        <f>_xlfn.XLOOKUP(C51,'2025'!C:C,'2025'!B:B,"")</f>
        <v>45755.743750000001</v>
      </c>
      <c r="L51" s="19">
        <f t="shared" si="1"/>
        <v>45755.743750000001</v>
      </c>
      <c r="M51" s="16" cm="1">
        <f t="array" ref="M51">IFERROR(_xlfn.LET(
_xlpm.x,TRIM(C51),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" s="16" t="b">
        <f t="shared" si="2"/>
        <v>0</v>
      </c>
    </row>
    <row r="52" spans="1:14" x14ac:dyDescent="0.25">
      <c r="A52" s="5" t="s">
        <v>206</v>
      </c>
      <c r="B52" s="16">
        <v>181</v>
      </c>
      <c r="C52" s="16" t="str">
        <v>Clark I - CL-I 114 - 114A</v>
      </c>
      <c r="D52" s="6">
        <f>_xlfn.XLOOKUP(C52,'2023'!C:C,'2023'!A:A,"")</f>
        <v>45028.858333333003</v>
      </c>
      <c r="E52" s="6" t="str">
        <f>_xlfn.XLOOKUP(C52,'2023'!C:C,'2023'!B:B,"")</f>
        <v>No Selection Time Issued</v>
      </c>
      <c r="F52" s="19">
        <f t="shared" si="3"/>
        <v>45028.858333333003</v>
      </c>
      <c r="G52" s="6">
        <f>_xlfn.XLOOKUP(C52,'2024'!C:C,'2024'!A:A,"")</f>
        <v>45391.864583333001</v>
      </c>
      <c r="H52" s="6">
        <f>_xlfn.XLOOKUP(C53,'2024'!C:C,'2024'!B:B,"")</f>
        <v>45393.783333332998</v>
      </c>
      <c r="I52" s="19">
        <f t="shared" si="0"/>
        <v>45391.864583333001</v>
      </c>
      <c r="J52" s="6" t="str">
        <f>_xlfn.XLOOKUP(C52,'2025'!C:C,'2025'!A:A,"")</f>
        <v/>
      </c>
      <c r="K52" s="6" t="str">
        <f>_xlfn.XLOOKUP(C52,'2025'!C:C,'2025'!B:B,"")</f>
        <v/>
      </c>
      <c r="L52" s="19" t="str">
        <f t="shared" si="1"/>
        <v/>
      </c>
      <c r="M52" s="16" cm="1">
        <f t="array" ref="M52">IFERROR(_xlfn.LET(
_xlpm.x,TRIM(C52),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" s="16" t="b">
        <f t="shared" si="2"/>
        <v>0</v>
      </c>
    </row>
    <row r="53" spans="1:14" x14ac:dyDescent="0.25">
      <c r="A53" s="5" t="s">
        <v>206</v>
      </c>
      <c r="B53" s="16">
        <v>123</v>
      </c>
      <c r="C53" s="16" t="str">
        <v>Clark I - CL-I 114 - 114B</v>
      </c>
      <c r="D53" s="6">
        <f>_xlfn.XLOOKUP(C53,'2023'!C:C,'2023'!A:A,"")</f>
        <v>45027.766666666997</v>
      </c>
      <c r="E53" s="6">
        <f>_xlfn.XLOOKUP(C53,'2023'!C:C,'2023'!B:B,"")</f>
        <v>45029.708333333001</v>
      </c>
      <c r="F53" s="19">
        <f t="shared" si="3"/>
        <v>45027.766666666997</v>
      </c>
      <c r="G53" s="6">
        <f>_xlfn.XLOOKUP(C53,'2024'!C:C,'2024'!A:A,"")</f>
        <v>45391.866666667003</v>
      </c>
      <c r="H53" s="6" t="str">
        <f>_xlfn.XLOOKUP(C54,'2024'!C:C,'2024'!B:B,"")</f>
        <v/>
      </c>
      <c r="I53" s="19">
        <f t="shared" si="0"/>
        <v>45391.866666667003</v>
      </c>
      <c r="J53" s="6" t="str">
        <f>_xlfn.XLOOKUP(C53,'2025'!C:C,'2025'!A:A,"")</f>
        <v/>
      </c>
      <c r="K53" s="6" t="str">
        <f>_xlfn.XLOOKUP(C53,'2025'!C:C,'2025'!B:B,"")</f>
        <v/>
      </c>
      <c r="L53" s="19" t="str">
        <f t="shared" si="1"/>
        <v/>
      </c>
      <c r="M53" s="16" cm="1">
        <f t="array" ref="M53">IFERROR(_xlfn.LET(
_xlpm.x,TRIM(C53),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" s="16" t="b">
        <f t="shared" si="2"/>
        <v>0</v>
      </c>
    </row>
    <row r="54" spans="1:14" x14ac:dyDescent="0.25">
      <c r="A54" s="5" t="s">
        <v>206</v>
      </c>
      <c r="B54" s="16">
        <v>155</v>
      </c>
      <c r="C54" s="16" t="str">
        <v>Clark I - CL-I 115 - 115A</v>
      </c>
      <c r="D54" s="6">
        <f>_xlfn.XLOOKUP(C54,'2023'!C:C,'2023'!A:A,"")</f>
        <v>45027.868750000001</v>
      </c>
      <c r="E54" s="6">
        <f>_xlfn.XLOOKUP(C54,'2023'!C:C,'2023'!B:B,"")</f>
        <v>45028.747916667002</v>
      </c>
      <c r="F54" s="19">
        <f t="shared" si="3"/>
        <v>45027.868750000001</v>
      </c>
      <c r="G54" s="6" t="str">
        <f>_xlfn.XLOOKUP(C54,'2024'!C:C,'2024'!A:A,"")</f>
        <v/>
      </c>
      <c r="H54" s="6" t="str">
        <f>_xlfn.XLOOKUP(C55,'2024'!C:C,'2024'!B:B,"")</f>
        <v/>
      </c>
      <c r="I54" s="19" t="str">
        <f t="shared" si="0"/>
        <v/>
      </c>
      <c r="J54" s="6">
        <f>_xlfn.XLOOKUP(C54,'2025'!C:C,'2025'!A:A,"")</f>
        <v>45755.868750000001</v>
      </c>
      <c r="K54" s="6">
        <f>_xlfn.XLOOKUP(C54,'2025'!C:C,'2025'!B:B,"")</f>
        <v>45755.818749999999</v>
      </c>
      <c r="L54" s="19">
        <f t="shared" si="1"/>
        <v>45755.818749999999</v>
      </c>
      <c r="M54" s="16" cm="1">
        <f t="array" ref="M54">IFERROR(_xlfn.LET(
_xlpm.x,TRIM(C54),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" s="16" t="b">
        <f t="shared" si="2"/>
        <v>0</v>
      </c>
    </row>
    <row r="55" spans="1:14" x14ac:dyDescent="0.25">
      <c r="A55" s="5" t="s">
        <v>249</v>
      </c>
      <c r="B55" s="16">
        <v>153</v>
      </c>
      <c r="C55" s="16" t="str">
        <v>Clark I - CL-I 115 - 115B</v>
      </c>
      <c r="D55" s="6">
        <f>_xlfn.XLOOKUP(C55,'2023'!C:C,'2023'!A:A,"")</f>
        <v>45028.802083333001</v>
      </c>
      <c r="E55" s="6">
        <f>_xlfn.XLOOKUP(C55,'2023'!C:C,'2023'!B:B,"")</f>
        <v>45027.731249999997</v>
      </c>
      <c r="F55" s="19">
        <f t="shared" si="3"/>
        <v>45027.731249999997</v>
      </c>
      <c r="G55" s="6" t="str">
        <f>_xlfn.XLOOKUP(C55,'2024'!C:C,'2024'!A:A,"")</f>
        <v/>
      </c>
      <c r="H55" s="6" t="str">
        <f>_xlfn.XLOOKUP(C56,'2024'!C:C,'2024'!B:B,"")</f>
        <v/>
      </c>
      <c r="I55" s="19" t="str">
        <f t="shared" si="0"/>
        <v/>
      </c>
      <c r="J55" s="6">
        <f>_xlfn.XLOOKUP(C55,'2025'!C:C,'2025'!A:A,"")</f>
        <v>45755.818749999999</v>
      </c>
      <c r="K55" s="6">
        <f>_xlfn.XLOOKUP(C55,'2025'!C:C,'2025'!B:B,"")</f>
        <v>45755.818749999999</v>
      </c>
      <c r="L55" s="19">
        <f t="shared" si="1"/>
        <v>45755.818749999999</v>
      </c>
      <c r="M55" s="16" cm="1">
        <f t="array" ref="M55">IFERROR(_xlfn.LET(
_xlpm.x,TRIM(C55),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" s="16" t="b">
        <f t="shared" si="2"/>
        <v>0</v>
      </c>
    </row>
    <row r="56" spans="1:14" x14ac:dyDescent="0.25">
      <c r="A56" s="5" t="s">
        <v>249</v>
      </c>
      <c r="B56" s="16">
        <v>142</v>
      </c>
      <c r="C56" s="16" t="str">
        <v>Clark I - CL-I 116 - 116A</v>
      </c>
      <c r="D56" s="6">
        <f>_xlfn.XLOOKUP(C56,'2023'!C:C,'2023'!A:A,"")</f>
        <v>45028.831250000003</v>
      </c>
      <c r="E56" s="6">
        <f>_xlfn.XLOOKUP(C56,'2023'!C:C,'2023'!B:B,"")</f>
        <v>45027.75</v>
      </c>
      <c r="F56" s="19">
        <f t="shared" si="3"/>
        <v>45027.75</v>
      </c>
      <c r="G56" s="6" t="str">
        <f>_xlfn.XLOOKUP(C56,'2024'!C:C,'2024'!A:A,"")</f>
        <v/>
      </c>
      <c r="H56" s="6">
        <f>_xlfn.XLOOKUP(C57,'2024'!C:C,'2024'!B:B,"")</f>
        <v>45391.712500000001</v>
      </c>
      <c r="I56" s="19">
        <f t="shared" si="0"/>
        <v>45391.712500000001</v>
      </c>
      <c r="J56" s="6">
        <f>_xlfn.XLOOKUP(C56,'2025'!C:C,'2025'!A:A,"")</f>
        <v>45755.841666667002</v>
      </c>
      <c r="K56" s="6">
        <f>_xlfn.XLOOKUP(C56,'2025'!C:C,'2025'!B:B,"")</f>
        <v>45755.841666667002</v>
      </c>
      <c r="L56" s="19">
        <f t="shared" si="1"/>
        <v>45755.841666667002</v>
      </c>
      <c r="M56" s="16" cm="1">
        <f t="array" ref="M56">IFERROR(_xlfn.LET(
_xlpm.x,TRIM(C56),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" s="16" t="b">
        <f t="shared" si="2"/>
        <v>0</v>
      </c>
    </row>
    <row r="57" spans="1:14" x14ac:dyDescent="0.25">
      <c r="A57" s="5" t="s">
        <v>249</v>
      </c>
      <c r="B57" s="16">
        <v>140</v>
      </c>
      <c r="C57" s="16" t="str">
        <v>Clark I - CL-I 116 - 116B</v>
      </c>
      <c r="D57" s="6">
        <f>_xlfn.XLOOKUP(C57,'2023'!C:C,'2023'!A:A,"")</f>
        <v>45028.720833332998</v>
      </c>
      <c r="E57" s="6">
        <f>_xlfn.XLOOKUP(C57,'2023'!C:C,'2023'!B:B,"")</f>
        <v>45027.708333333001</v>
      </c>
      <c r="F57" s="19">
        <f t="shared" si="3"/>
        <v>45027.708333333001</v>
      </c>
      <c r="G57" s="6">
        <f>_xlfn.XLOOKUP(C57,'2024'!C:C,'2024'!A:A,"")</f>
        <v>45391.90625</v>
      </c>
      <c r="H57" s="6">
        <f>_xlfn.XLOOKUP(C58,'2024'!C:C,'2024'!B:B,"")</f>
        <v>45393.745833333</v>
      </c>
      <c r="I57" s="19">
        <f t="shared" si="0"/>
        <v>45391.90625</v>
      </c>
      <c r="J57" s="6">
        <f>_xlfn.XLOOKUP(C57,'2025'!C:C,'2025'!A:A,"")</f>
        <v>45755.893750000003</v>
      </c>
      <c r="K57" s="6">
        <f>_xlfn.XLOOKUP(C57,'2025'!C:C,'2025'!B:B,"")</f>
        <v>45755.841666667002</v>
      </c>
      <c r="L57" s="19">
        <f t="shared" si="1"/>
        <v>45755.841666667002</v>
      </c>
      <c r="M57" s="16" cm="1">
        <f t="array" ref="M57">IFERROR(_xlfn.LET(
_xlpm.x,TRIM(C57),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" s="16" t="b">
        <f t="shared" si="2"/>
        <v>0</v>
      </c>
    </row>
    <row r="58" spans="1:14" x14ac:dyDescent="0.25">
      <c r="A58" s="5" t="s">
        <v>249</v>
      </c>
      <c r="B58" s="16">
        <v>166</v>
      </c>
      <c r="C58" s="16" t="str">
        <v>Clark I - CL-I 117 - 117A</v>
      </c>
      <c r="D58" s="6">
        <f>_xlfn.XLOOKUP(C58,'2023'!C:C,'2023'!A:A,"")</f>
        <v>45028.745833333</v>
      </c>
      <c r="E58" s="6">
        <f>_xlfn.XLOOKUP(C58,'2023'!C:C,'2023'!B:B,"")</f>
        <v>45027.833333333001</v>
      </c>
      <c r="F58" s="19">
        <f t="shared" si="3"/>
        <v>45027.833333333001</v>
      </c>
      <c r="G58" s="6">
        <f>_xlfn.XLOOKUP(C58,'2024'!C:C,'2024'!A:A,"")</f>
        <v>45391.837500000001</v>
      </c>
      <c r="H58" s="6">
        <f>_xlfn.XLOOKUP(C59,'2024'!C:C,'2024'!B:B,"")</f>
        <v>45391.9</v>
      </c>
      <c r="I58" s="19">
        <f t="shared" si="0"/>
        <v>45391.837500000001</v>
      </c>
      <c r="J58" s="6">
        <f>_xlfn.XLOOKUP(C58,'2025'!C:C,'2025'!A:A,"")</f>
        <v>45755.766666666997</v>
      </c>
      <c r="K58" s="6">
        <f>_xlfn.XLOOKUP(C58,'2025'!C:C,'2025'!B:B,"")</f>
        <v>45755.766666666997</v>
      </c>
      <c r="L58" s="19">
        <f t="shared" si="1"/>
        <v>45755.766666666997</v>
      </c>
      <c r="M58" s="16" cm="1">
        <f t="array" ref="M58">IFERROR(_xlfn.LET(
_xlpm.x,TRIM(C58),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8" s="16" t="b">
        <f t="shared" si="2"/>
        <v>0</v>
      </c>
    </row>
    <row r="59" spans="1:14" x14ac:dyDescent="0.25">
      <c r="A59" s="5" t="s">
        <v>249</v>
      </c>
      <c r="B59" s="16">
        <v>172</v>
      </c>
      <c r="C59" s="16" t="str">
        <v>Clark I - CL-I 117 - 117B</v>
      </c>
      <c r="D59" s="6">
        <f>_xlfn.XLOOKUP(C59,'2023'!C:C,'2023'!A:A,"")</f>
        <v>45027.8</v>
      </c>
      <c r="E59" s="6">
        <f>_xlfn.XLOOKUP(C59,'2023'!C:C,'2023'!B:B,"")</f>
        <v>45027.714583333</v>
      </c>
      <c r="F59" s="19">
        <f t="shared" si="3"/>
        <v>45027.714583333</v>
      </c>
      <c r="G59" s="6">
        <f>_xlfn.XLOOKUP(C59,'2024'!C:C,'2024'!A:A,"")</f>
        <v>45391.816666667</v>
      </c>
      <c r="H59" s="6">
        <f>_xlfn.XLOOKUP(C60,'2024'!C:C,'2024'!B:B,"")</f>
        <v>45392.724999999999</v>
      </c>
      <c r="I59" s="19">
        <f t="shared" si="0"/>
        <v>45391.816666667</v>
      </c>
      <c r="J59" s="6">
        <f>_xlfn.XLOOKUP(C59,'2025'!C:C,'2025'!A:A,"")</f>
        <v>45755.847916667</v>
      </c>
      <c r="K59" s="6">
        <f>_xlfn.XLOOKUP(C59,'2025'!C:C,'2025'!B:B,"")</f>
        <v>45755.766666666997</v>
      </c>
      <c r="L59" s="19">
        <f t="shared" si="1"/>
        <v>45755.766666666997</v>
      </c>
      <c r="M59" s="16" cm="1">
        <f t="array" ref="M59">IFERROR(_xlfn.LET(
_xlpm.x,TRIM(C59),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" s="16" t="b">
        <f t="shared" si="2"/>
        <v>0</v>
      </c>
    </row>
    <row r="60" spans="1:14" x14ac:dyDescent="0.25">
      <c r="A60" s="5" t="s">
        <v>249</v>
      </c>
      <c r="B60" s="16">
        <v>143</v>
      </c>
      <c r="C60" s="16" t="str">
        <v>Clark I - CL-I 118 - 118A</v>
      </c>
      <c r="D60" s="6">
        <f>_xlfn.XLOOKUP(C60,'2023'!C:C,'2023'!A:A,"")</f>
        <v>45028.714583333</v>
      </c>
      <c r="E60" s="6">
        <f>_xlfn.XLOOKUP(C60,'2023'!C:C,'2023'!B:B,"")</f>
        <v>45027.729166666999</v>
      </c>
      <c r="F60" s="19">
        <f t="shared" si="3"/>
        <v>45027.729166666999</v>
      </c>
      <c r="G60" s="6">
        <f>_xlfn.XLOOKUP(C60,'2024'!C:C,'2024'!A:A,"")</f>
        <v>45392.820833332997</v>
      </c>
      <c r="H60" s="6">
        <f>_xlfn.XLOOKUP(C61,'2024'!C:C,'2024'!B:B,"")</f>
        <v>45391.729166666999</v>
      </c>
      <c r="I60" s="19">
        <f t="shared" si="0"/>
        <v>45391.729166666999</v>
      </c>
      <c r="J60" s="6">
        <f>_xlfn.XLOOKUP(C60,'2025'!C:C,'2025'!A:A,"")</f>
        <v>45756.820833332997</v>
      </c>
      <c r="K60" s="6">
        <f>_xlfn.XLOOKUP(C60,'2025'!C:C,'2025'!B:B,"")</f>
        <v>45756.724999999999</v>
      </c>
      <c r="L60" s="19">
        <f t="shared" si="1"/>
        <v>45756.724999999999</v>
      </c>
      <c r="M60" s="16" cm="1">
        <f t="array" ref="M60">IFERROR(_xlfn.LET(
_xlpm.x,TRIM(C60),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" s="16" t="b">
        <f t="shared" si="2"/>
        <v>0</v>
      </c>
    </row>
    <row r="61" spans="1:14" x14ac:dyDescent="0.25">
      <c r="A61" s="5" t="s">
        <v>127</v>
      </c>
      <c r="B61" s="16">
        <v>142</v>
      </c>
      <c r="C61" s="16" t="str">
        <v>Clark I - CL-I 118 - 118B</v>
      </c>
      <c r="D61" s="6">
        <f>_xlfn.XLOOKUP(C61,'2023'!C:C,'2023'!A:A,"")</f>
        <v>45028.839583333</v>
      </c>
      <c r="E61" s="6">
        <f>_xlfn.XLOOKUP(C61,'2023'!C:C,'2023'!B:B,"")</f>
        <v>45027.787499999999</v>
      </c>
      <c r="F61" s="19">
        <f t="shared" si="3"/>
        <v>45027.787499999999</v>
      </c>
      <c r="G61" s="6">
        <f>_xlfn.XLOOKUP(C61,'2024'!C:C,'2024'!A:A,"")</f>
        <v>45392.735416666997</v>
      </c>
      <c r="H61" s="6">
        <f>_xlfn.XLOOKUP(C62,'2024'!C:C,'2024'!B:B,"")</f>
        <v>45392.760416666999</v>
      </c>
      <c r="I61" s="19">
        <f t="shared" si="0"/>
        <v>45392.735416666997</v>
      </c>
      <c r="J61" s="6">
        <f>_xlfn.XLOOKUP(C61,'2025'!C:C,'2025'!A:A,"")</f>
        <v>45756.724999999999</v>
      </c>
      <c r="K61" s="6">
        <f>_xlfn.XLOOKUP(C61,'2025'!C:C,'2025'!B:B,"")</f>
        <v>45756.724999999999</v>
      </c>
      <c r="L61" s="19">
        <f t="shared" si="1"/>
        <v>45756.724999999999</v>
      </c>
      <c r="M61" s="16" cm="1">
        <f t="array" ref="M61">IFERROR(_xlfn.LET(
_xlpm.x,TRIM(C61),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" s="16" t="b">
        <f t="shared" si="2"/>
        <v>0</v>
      </c>
    </row>
    <row r="62" spans="1:14" x14ac:dyDescent="0.25">
      <c r="A62" s="5" t="s">
        <v>127</v>
      </c>
      <c r="B62" s="16">
        <v>156</v>
      </c>
      <c r="C62" s="16" t="str">
        <v>Clark I - CL-I 119 - 119A</v>
      </c>
      <c r="D62" s="6">
        <f>_xlfn.XLOOKUP(C62,'2023'!C:C,'2023'!A:A,"")</f>
        <v>45027.879166667</v>
      </c>
      <c r="E62" s="6">
        <f>_xlfn.XLOOKUP(C62,'2023'!C:C,'2023'!B:B,"")</f>
        <v>45028.720833332998</v>
      </c>
      <c r="F62" s="19">
        <f t="shared" si="3"/>
        <v>45027.879166667</v>
      </c>
      <c r="G62" s="6">
        <f>_xlfn.XLOOKUP(C62,'2024'!C:C,'2024'!A:A,"")</f>
        <v>45391.885416666999</v>
      </c>
      <c r="H62" s="6">
        <f>_xlfn.XLOOKUP(C63,'2024'!C:C,'2024'!B:B,"")</f>
        <v>45392.739583333001</v>
      </c>
      <c r="I62" s="19">
        <f t="shared" si="0"/>
        <v>45391.885416666999</v>
      </c>
      <c r="J62" s="6">
        <f>_xlfn.XLOOKUP(C62,'2025'!C:C,'2025'!A:A,"")</f>
        <v>45755.852083332997</v>
      </c>
      <c r="K62" s="6">
        <f>_xlfn.XLOOKUP(C62,'2025'!C:C,'2025'!B:B,"")</f>
        <v>45755.797916666997</v>
      </c>
      <c r="L62" s="19">
        <f t="shared" si="1"/>
        <v>45755.797916666997</v>
      </c>
      <c r="M62" s="16" cm="1">
        <f t="array" ref="M62">IFERROR(_xlfn.LET(
_xlpm.x,TRIM(C62),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" s="16" t="b">
        <f t="shared" si="2"/>
        <v>0</v>
      </c>
    </row>
    <row r="63" spans="1:14" x14ac:dyDescent="0.25">
      <c r="A63" s="5" t="s">
        <v>127</v>
      </c>
      <c r="B63" s="16">
        <v>156</v>
      </c>
      <c r="C63" s="16" t="str">
        <v>Clark I - CL-I 119 - 119B</v>
      </c>
      <c r="D63" s="6">
        <f>_xlfn.XLOOKUP(C63,'2023'!C:C,'2023'!A:A,"")</f>
        <v>45028.729166666999</v>
      </c>
      <c r="E63" s="6">
        <f>_xlfn.XLOOKUP(C63,'2023'!C:C,'2023'!B:B,"")</f>
        <v>45027.712500000001</v>
      </c>
      <c r="F63" s="19">
        <f t="shared" si="3"/>
        <v>45027.712500000001</v>
      </c>
      <c r="G63" s="6">
        <f>_xlfn.XLOOKUP(C63,'2024'!C:C,'2024'!A:A,"")</f>
        <v>45391.881249999999</v>
      </c>
      <c r="H63" s="6">
        <f>_xlfn.XLOOKUP(C64,'2024'!C:C,'2024'!B:B,"")</f>
        <v>45391.775000000001</v>
      </c>
      <c r="I63" s="19">
        <f t="shared" si="0"/>
        <v>45391.775000000001</v>
      </c>
      <c r="J63" s="6">
        <f>_xlfn.XLOOKUP(C63,'2025'!C:C,'2025'!A:A,"")</f>
        <v>45755.797916666997</v>
      </c>
      <c r="K63" s="6">
        <f>_xlfn.XLOOKUP(C63,'2025'!C:C,'2025'!B:B,"")</f>
        <v>45755.797916666997</v>
      </c>
      <c r="L63" s="19">
        <f t="shared" si="1"/>
        <v>45755.797916666997</v>
      </c>
      <c r="M63" s="16" cm="1">
        <f t="array" ref="M63">IFERROR(_xlfn.LET(
_xlpm.x,TRIM(C63),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" s="16" t="b">
        <f t="shared" si="2"/>
        <v>0</v>
      </c>
    </row>
    <row r="64" spans="1:14" x14ac:dyDescent="0.25">
      <c r="A64" s="5" t="s">
        <v>127</v>
      </c>
      <c r="B64" s="16">
        <v>170</v>
      </c>
      <c r="C64" s="16" t="str">
        <v>Clark I - CL-I 120 - 120A</v>
      </c>
      <c r="D64" s="6">
        <f>_xlfn.XLOOKUP(C64,'2023'!C:C,'2023'!A:A,"")</f>
        <v>45027.822916666999</v>
      </c>
      <c r="E64" s="6">
        <f>_xlfn.XLOOKUP(C64,'2023'!C:C,'2023'!B:B,"")</f>
        <v>45029.729166666999</v>
      </c>
      <c r="F64" s="19">
        <f t="shared" si="3"/>
        <v>45027.822916666999</v>
      </c>
      <c r="G64" s="6">
        <f>_xlfn.XLOOKUP(C64,'2024'!C:C,'2024'!A:A,"")</f>
        <v>45391.820833332997</v>
      </c>
      <c r="H64" s="6">
        <f>_xlfn.XLOOKUP(C65,'2024'!C:C,'2024'!B:B,"")</f>
        <v>45392.831250000003</v>
      </c>
      <c r="I64" s="19">
        <f t="shared" si="0"/>
        <v>45391.820833332997</v>
      </c>
      <c r="J64" s="6">
        <f>_xlfn.XLOOKUP(C64,'2025'!C:C,'2025'!A:A,"")</f>
        <v>45755.764583333003</v>
      </c>
      <c r="K64" s="6">
        <f>_xlfn.XLOOKUP(C64,'2025'!C:C,'2025'!B:B,"")</f>
        <v>45755.764583333003</v>
      </c>
      <c r="L64" s="19">
        <f t="shared" si="1"/>
        <v>45755.764583333003</v>
      </c>
      <c r="M64" s="16" cm="1">
        <f t="array" ref="M64">IFERROR(_xlfn.LET(
_xlpm.x,TRIM(C64),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" s="16" t="b">
        <f t="shared" si="2"/>
        <v>0</v>
      </c>
    </row>
    <row r="65" spans="1:14" x14ac:dyDescent="0.25">
      <c r="A65" s="5" t="s">
        <v>127</v>
      </c>
      <c r="B65" s="16">
        <v>132</v>
      </c>
      <c r="C65" s="16" t="str">
        <v>Clark I - CL-I 120 - 120B</v>
      </c>
      <c r="D65" s="6">
        <f>_xlfn.XLOOKUP(C65,'2023'!C:C,'2023'!A:A,"")</f>
        <v>45027.897916667003</v>
      </c>
      <c r="E65" s="6">
        <f>_xlfn.XLOOKUP(C65,'2023'!C:C,'2023'!B:B,"")</f>
        <v>45028.710416667003</v>
      </c>
      <c r="F65" s="19">
        <f t="shared" si="3"/>
        <v>45027.897916667003</v>
      </c>
      <c r="G65" s="6">
        <f>_xlfn.XLOOKUP(C65,'2024'!C:C,'2024'!A:A,"")</f>
        <v>45392.862500000003</v>
      </c>
      <c r="H65" s="6">
        <f>_xlfn.XLOOKUP(C66,'2024'!C:C,'2024'!B:B,"")</f>
        <v>45391.839583333</v>
      </c>
      <c r="I65" s="19">
        <f t="shared" si="0"/>
        <v>45391.839583333</v>
      </c>
      <c r="J65" s="6">
        <f>_xlfn.XLOOKUP(C65,'2025'!C:C,'2025'!A:A,"")</f>
        <v>45755.824999999997</v>
      </c>
      <c r="K65" s="6">
        <f>_xlfn.XLOOKUP(C65,'2025'!C:C,'2025'!B:B,"")</f>
        <v>45755.764583333003</v>
      </c>
      <c r="L65" s="19">
        <f t="shared" si="1"/>
        <v>45755.764583333003</v>
      </c>
      <c r="M65" s="16" cm="1">
        <f t="array" ref="M65">IFERROR(_xlfn.LET(
_xlpm.x,TRIM(C65),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" s="16" t="b">
        <f t="shared" si="2"/>
        <v>0</v>
      </c>
    </row>
    <row r="66" spans="1:14" x14ac:dyDescent="0.25">
      <c r="A66" s="5" t="s">
        <v>127</v>
      </c>
      <c r="B66" s="16">
        <v>168</v>
      </c>
      <c r="C66" s="16" t="str">
        <v>Clark I - CL-I 121 - 121A</v>
      </c>
      <c r="D66" s="6">
        <f>_xlfn.XLOOKUP(C66,'2023'!C:C,'2023'!A:A,"")</f>
        <v>45027.864583333001</v>
      </c>
      <c r="E66" s="6">
        <f>_xlfn.XLOOKUP(C66,'2023'!C:C,'2023'!B:B,"")</f>
        <v>45027.712500000001</v>
      </c>
      <c r="F66" s="19">
        <f t="shared" si="3"/>
        <v>45027.712500000001</v>
      </c>
      <c r="G66" s="6">
        <f>_xlfn.XLOOKUP(C66,'2024'!C:C,'2024'!A:A,"")</f>
        <v>45392.714583333</v>
      </c>
      <c r="H66" s="6">
        <f>_xlfn.XLOOKUP(C67,'2024'!C:C,'2024'!B:B,"")</f>
        <v>45392.779166667002</v>
      </c>
      <c r="I66" s="19">
        <f t="shared" ref="I66:I129" si="4">_xlfn.LET(
_xlpm.ind,G66,
_xlpm.grp,H66,
IF(AND(NOT(ISNUMBER(_xlpm.ind)),NOT(ISNUMBER(_xlpm.grp))),"",
MIN(IF(ISNUMBER(_xlpm.ind),_xlpm.ind,1E+99),IF(ISNUMBER(_xlpm.grp),_xlpm.grp,1E+99))
)
)</f>
        <v>45392.714583333</v>
      </c>
      <c r="J66" s="6">
        <f>_xlfn.XLOOKUP(C66,'2025'!C:C,'2025'!A:A,"")</f>
        <v>45755.793749999997</v>
      </c>
      <c r="K66" s="6">
        <f>_xlfn.XLOOKUP(C66,'2025'!C:C,'2025'!B:B,"")</f>
        <v>45755.793749999997</v>
      </c>
      <c r="L66" s="19">
        <f t="shared" ref="L66:L129" si="5">_xlfn.LET(_xlpm.ind,J66,_xlpm.grp,K66,IF(AND(NOT(ISNUMBER(_xlpm.ind)),NOT(ISNUMBER(_xlpm.grp))),"",MIN(IF(ISNUMBER(_xlpm.ind),_xlpm.ind,1E+99),IF(ISNUMBER(_xlpm.grp),_xlpm.grp,1E+99))))</f>
        <v>45755.793749999997</v>
      </c>
      <c r="M66" s="16" cm="1">
        <f t="array" ref="M66">IFERROR(_xlfn.LET(
_xlpm.x,TRIM(C66),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" s="16" t="b">
        <f t="shared" ref="N66:N129" si="6">OR(_xlfn.TEXTBEFORE(C66," - ")="Blaisdell",_xlfn.TEXTBEFORE(C66," - ")="Mudd",_xlfn.TEXTBEFORE(C66," - ")="Dialynas",_xlfn.TEXTBEFORE(C66," - ")="Sontag")</f>
        <v>0</v>
      </c>
    </row>
    <row r="67" spans="1:14" x14ac:dyDescent="0.25">
      <c r="A67" s="5" t="s">
        <v>315</v>
      </c>
      <c r="B67" s="16">
        <v>153</v>
      </c>
      <c r="C67" s="16" t="str">
        <v>Clark I - CL-I 121 - 121B</v>
      </c>
      <c r="D67" s="6">
        <f>_xlfn.XLOOKUP(C67,'2023'!C:C,'2023'!A:A,"")</f>
        <v>45028.785416667</v>
      </c>
      <c r="E67" s="6" t="str">
        <f>_xlfn.XLOOKUP(C67,'2023'!C:C,'2023'!B:B,"")</f>
        <v>No Selection Time Issued</v>
      </c>
      <c r="F67" s="19">
        <f t="shared" ref="F67:F130" si="7">_xlfn.LET(
_xlpm.ind,D67,
_xlpm.grp,E67,
IF(AND(NOT(ISNUMBER(_xlpm.ind)),NOT(ISNUMBER(_xlpm.grp))),"",
MIN(IF(ISNUMBER(_xlpm.ind),_xlpm.ind,1E+99),IF(ISNUMBER(_xlpm.grp),_xlpm.grp,1E+99))
)
)</f>
        <v>45028.785416667</v>
      </c>
      <c r="G67" s="6">
        <f>_xlfn.XLOOKUP(C67,'2024'!C:C,'2024'!A:A,"")</f>
        <v>45392.835416667003</v>
      </c>
      <c r="H67" s="6">
        <f>_xlfn.XLOOKUP(C68,'2024'!C:C,'2024'!B:B,"")</f>
        <v>45392.75</v>
      </c>
      <c r="I67" s="19">
        <f t="shared" si="4"/>
        <v>45392.75</v>
      </c>
      <c r="J67" s="6">
        <f>_xlfn.XLOOKUP(C67,'2025'!C:C,'2025'!A:A,"")</f>
        <v>45755.84375</v>
      </c>
      <c r="K67" s="6">
        <f>_xlfn.XLOOKUP(C67,'2025'!C:C,'2025'!B:B,"")</f>
        <v>45755.793749999997</v>
      </c>
      <c r="L67" s="19">
        <f t="shared" si="5"/>
        <v>45755.793749999997</v>
      </c>
      <c r="M67" s="16" cm="1">
        <f t="array" ref="M67">IFERROR(_xlfn.LET(
_xlpm.x,TRIM(C67),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" s="16" t="b">
        <f t="shared" si="6"/>
        <v>0</v>
      </c>
    </row>
    <row r="68" spans="1:14" x14ac:dyDescent="0.25">
      <c r="A68" s="5" t="s">
        <v>315</v>
      </c>
      <c r="B68" s="16">
        <v>138</v>
      </c>
      <c r="C68" s="16" t="str">
        <v>Clark I - CL-I 122 - 122A</v>
      </c>
      <c r="D68" s="6">
        <f>_xlfn.XLOOKUP(C68,'2023'!C:C,'2023'!A:A,"")</f>
        <v>45028.722916667</v>
      </c>
      <c r="E68" s="6">
        <f>_xlfn.XLOOKUP(C68,'2023'!C:C,'2023'!B:B,"")</f>
        <v>45028.731249999997</v>
      </c>
      <c r="F68" s="19">
        <f t="shared" si="7"/>
        <v>45028.722916667</v>
      </c>
      <c r="G68" s="6">
        <f>_xlfn.XLOOKUP(C68,'2024'!C:C,'2024'!A:A,"")</f>
        <v>45392.820833332997</v>
      </c>
      <c r="H68" s="6">
        <f>_xlfn.XLOOKUP(C69,'2024'!C:C,'2024'!B:B,"")</f>
        <v>45391.710416667003</v>
      </c>
      <c r="I68" s="19">
        <f t="shared" si="4"/>
        <v>45391.710416667003</v>
      </c>
      <c r="J68" s="6">
        <f>_xlfn.XLOOKUP(C68,'2025'!C:C,'2025'!A:A,"")</f>
        <v>45756.712500000001</v>
      </c>
      <c r="K68" s="6">
        <f>_xlfn.XLOOKUP(C68,'2025'!C:C,'2025'!B:B,"")</f>
        <v>45756.712500000001</v>
      </c>
      <c r="L68" s="19">
        <f t="shared" si="5"/>
        <v>45756.712500000001</v>
      </c>
      <c r="M68" s="16" cm="1">
        <f t="array" ref="M68">IFERROR(_xlfn.LET(
_xlpm.x,TRIM(C68),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" s="16" t="b">
        <f t="shared" si="6"/>
        <v>0</v>
      </c>
    </row>
    <row r="69" spans="1:14" x14ac:dyDescent="0.25">
      <c r="A69" s="5" t="s">
        <v>315</v>
      </c>
      <c r="B69" s="16">
        <v>141</v>
      </c>
      <c r="C69" s="16" t="str">
        <v>Clark I - CL-I 122 - 122B</v>
      </c>
      <c r="D69" s="6">
        <f>_xlfn.XLOOKUP(C69,'2023'!C:C,'2023'!A:A,"")</f>
        <v>45028.800000000003</v>
      </c>
      <c r="E69" s="6">
        <f>_xlfn.XLOOKUP(C69,'2023'!C:C,'2023'!B:B,"")</f>
        <v>45027.712500000001</v>
      </c>
      <c r="F69" s="19">
        <f t="shared" si="7"/>
        <v>45027.712500000001</v>
      </c>
      <c r="G69" s="6">
        <f>_xlfn.XLOOKUP(C69,'2024'!C:C,'2024'!A:A,"")</f>
        <v>45392.733333333003</v>
      </c>
      <c r="H69" s="6">
        <f>_xlfn.XLOOKUP(C70,'2024'!C:C,'2024'!B:B,"")</f>
        <v>45391.727083332997</v>
      </c>
      <c r="I69" s="19">
        <f t="shared" si="4"/>
        <v>45391.727083332997</v>
      </c>
      <c r="J69" s="6">
        <f>_xlfn.XLOOKUP(C69,'2025'!C:C,'2025'!A:A,"")</f>
        <v>45756.785416667</v>
      </c>
      <c r="K69" s="6">
        <f>_xlfn.XLOOKUP(C69,'2025'!C:C,'2025'!B:B,"")</f>
        <v>45756.712500000001</v>
      </c>
      <c r="L69" s="19">
        <f t="shared" si="5"/>
        <v>45756.712500000001</v>
      </c>
      <c r="M69" s="16" cm="1">
        <f t="array" ref="M69">IFERROR(_xlfn.LET(
_xlpm.x,TRIM(C69),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" s="16" t="b">
        <f t="shared" si="6"/>
        <v>0</v>
      </c>
    </row>
    <row r="70" spans="1:14" x14ac:dyDescent="0.25">
      <c r="A70" s="5" t="s">
        <v>180</v>
      </c>
      <c r="B70" s="16">
        <v>167</v>
      </c>
      <c r="C70" s="16" t="str">
        <v>Clark I - CL-I 123 - 123A</v>
      </c>
      <c r="D70" s="6" t="str">
        <f>_xlfn.XLOOKUP(C70,'2023'!C:C,'2023'!A:A,"")</f>
        <v/>
      </c>
      <c r="E70" s="6" t="str">
        <f>_xlfn.XLOOKUP(C70,'2023'!C:C,'2023'!B:B,"")</f>
        <v/>
      </c>
      <c r="F70" s="19" t="str">
        <f t="shared" si="7"/>
        <v/>
      </c>
      <c r="G70" s="6">
        <f>_xlfn.XLOOKUP(C70,'2024'!C:C,'2024'!A:A,"")</f>
        <v>45391.854166666999</v>
      </c>
      <c r="H70" s="6">
        <f>_xlfn.XLOOKUP(C71,'2024'!C:C,'2024'!B:B,"")</f>
        <v>45392.735416666997</v>
      </c>
      <c r="I70" s="19">
        <f t="shared" si="4"/>
        <v>45391.854166666999</v>
      </c>
      <c r="J70" s="6">
        <f>_xlfn.XLOOKUP(C70,'2025'!C:C,'2025'!A:A,"")</f>
        <v>45755.745833333</v>
      </c>
      <c r="K70" s="6">
        <f>_xlfn.XLOOKUP(C70,'2025'!C:C,'2025'!B:B,"")</f>
        <v>45755.745833333</v>
      </c>
      <c r="L70" s="19">
        <f t="shared" si="5"/>
        <v>45755.745833333</v>
      </c>
      <c r="M70" s="16" cm="1">
        <f t="array" ref="M70">IFERROR(_xlfn.LET(
_xlpm.x,TRIM(C70),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" s="16" t="b">
        <f t="shared" si="6"/>
        <v>0</v>
      </c>
    </row>
    <row r="71" spans="1:14" x14ac:dyDescent="0.25">
      <c r="A71" s="5" t="s">
        <v>180</v>
      </c>
      <c r="B71" s="16">
        <v>171</v>
      </c>
      <c r="C71" s="16" t="str">
        <v>Clark I - CL-I 123 - 123B</v>
      </c>
      <c r="D71" s="6" t="str">
        <f>_xlfn.XLOOKUP(C71,'2023'!C:C,'2023'!A:A,"")</f>
        <v/>
      </c>
      <c r="E71" s="6" t="str">
        <f>_xlfn.XLOOKUP(C71,'2023'!C:C,'2023'!B:B,"")</f>
        <v/>
      </c>
      <c r="F71" s="19" t="str">
        <f t="shared" si="7"/>
        <v/>
      </c>
      <c r="G71" s="6">
        <f>_xlfn.XLOOKUP(C71,'2024'!C:C,'2024'!A:A,"")</f>
        <v>45391.75</v>
      </c>
      <c r="H71" s="6">
        <f>_xlfn.XLOOKUP(C72,'2024'!C:C,'2024'!B:B,"")</f>
        <v>45392.724999999999</v>
      </c>
      <c r="I71" s="19">
        <f t="shared" si="4"/>
        <v>45391.75</v>
      </c>
      <c r="J71" s="6">
        <f>_xlfn.XLOOKUP(C71,'2025'!C:C,'2025'!A:A,"")</f>
        <v>45755.791666666999</v>
      </c>
      <c r="K71" s="6">
        <f>_xlfn.XLOOKUP(C71,'2025'!C:C,'2025'!B:B,"")</f>
        <v>45755.745833333</v>
      </c>
      <c r="L71" s="19">
        <f t="shared" si="5"/>
        <v>45755.745833333</v>
      </c>
      <c r="M71" s="16" cm="1">
        <f t="array" ref="M71">IFERROR(_xlfn.LET(
_xlpm.x,TRIM(C71),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" s="16" t="b">
        <f t="shared" si="6"/>
        <v>0</v>
      </c>
    </row>
    <row r="72" spans="1:14" x14ac:dyDescent="0.25">
      <c r="A72" s="5" t="s">
        <v>180</v>
      </c>
      <c r="B72" s="16">
        <v>149</v>
      </c>
      <c r="C72" s="16" t="str">
        <v>Clark I - CL-I 124 - 124A</v>
      </c>
      <c r="D72" s="6">
        <f>_xlfn.XLOOKUP(C72,'2023'!C:C,'2023'!A:A,"")</f>
        <v>45028.708333333001</v>
      </c>
      <c r="E72" s="6">
        <f>_xlfn.XLOOKUP(C72,'2023'!C:C,'2023'!B:B,"")</f>
        <v>45027.720833332998</v>
      </c>
      <c r="F72" s="19">
        <f t="shared" si="7"/>
        <v>45027.720833332998</v>
      </c>
      <c r="G72" s="6">
        <f>_xlfn.XLOOKUP(C72,'2024'!C:C,'2024'!A:A,"")</f>
        <v>45392.737500000003</v>
      </c>
      <c r="H72" s="6">
        <f>_xlfn.XLOOKUP(C73,'2024'!C:C,'2024'!B:B,"")</f>
        <v>45393.737500000003</v>
      </c>
      <c r="I72" s="19">
        <f t="shared" si="4"/>
        <v>45392.737500000003</v>
      </c>
      <c r="J72" s="6" t="str">
        <f>_xlfn.XLOOKUP(C72,'2025'!C:C,'2025'!A:A,"")</f>
        <v/>
      </c>
      <c r="K72" s="6" t="str">
        <f>_xlfn.XLOOKUP(C72,'2025'!C:C,'2025'!B:B,"")</f>
        <v/>
      </c>
      <c r="L72" s="19" t="str">
        <f t="shared" si="5"/>
        <v/>
      </c>
      <c r="M72" s="16" cm="1">
        <f t="array" ref="M72">IFERROR(_xlfn.LET(
_xlpm.x,TRIM(C72),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" s="16" t="b">
        <f t="shared" si="6"/>
        <v>0</v>
      </c>
    </row>
    <row r="73" spans="1:14" x14ac:dyDescent="0.25">
      <c r="A73" s="5" t="s">
        <v>491</v>
      </c>
      <c r="B73" s="16">
        <v>131</v>
      </c>
      <c r="C73" s="16" t="str">
        <v>Clark I - CL-I 124 - 124B</v>
      </c>
      <c r="D73" s="6">
        <f>_xlfn.XLOOKUP(C73,'2023'!C:C,'2023'!A:A,"")</f>
        <v>45028.835416667003</v>
      </c>
      <c r="E73" s="6" t="str">
        <f>_xlfn.XLOOKUP(C73,'2023'!C:C,'2023'!B:B,"")</f>
        <v>No Selection Time Issued</v>
      </c>
      <c r="F73" s="19">
        <f t="shared" si="7"/>
        <v>45028.835416667003</v>
      </c>
      <c r="G73" s="6">
        <f>_xlfn.XLOOKUP(C73,'2024'!C:C,'2024'!A:A,"")</f>
        <v>45392.833333333001</v>
      </c>
      <c r="H73" s="6">
        <f>_xlfn.XLOOKUP(C74,'2024'!C:C,'2024'!B:B,"")</f>
        <v>45392.739583333001</v>
      </c>
      <c r="I73" s="19">
        <f t="shared" si="4"/>
        <v>45392.739583333001</v>
      </c>
      <c r="J73" s="6" t="str">
        <f>_xlfn.XLOOKUP(C73,'2025'!C:C,'2025'!A:A,"")</f>
        <v/>
      </c>
      <c r="K73" s="6" t="str">
        <f>_xlfn.XLOOKUP(C73,'2025'!C:C,'2025'!B:B,"")</f>
        <v/>
      </c>
      <c r="L73" s="19" t="str">
        <f t="shared" si="5"/>
        <v/>
      </c>
      <c r="M73" s="16" cm="1">
        <f t="array" ref="M73">IFERROR(_xlfn.LET(
_xlpm.x,TRIM(C73),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" s="16" t="b">
        <f t="shared" si="6"/>
        <v>0</v>
      </c>
    </row>
    <row r="74" spans="1:14" x14ac:dyDescent="0.25">
      <c r="A74" s="5" t="s">
        <v>491</v>
      </c>
      <c r="B74" s="16">
        <v>171</v>
      </c>
      <c r="C74" s="16" t="str">
        <v>Clark I - CL-I 125 - 125A</v>
      </c>
      <c r="D74" s="6">
        <f>_xlfn.XLOOKUP(C74,'2023'!C:C,'2023'!A:A,"")</f>
        <v>45027.847916667</v>
      </c>
      <c r="E74" s="6">
        <f>_xlfn.XLOOKUP(C74,'2023'!C:C,'2023'!B:B,"")</f>
        <v>45027.797916666997</v>
      </c>
      <c r="F74" s="19">
        <f t="shared" si="7"/>
        <v>45027.797916666997</v>
      </c>
      <c r="G74" s="6">
        <f>_xlfn.XLOOKUP(C74,'2024'!C:C,'2024'!A:A,"")</f>
        <v>45391.822916666999</v>
      </c>
      <c r="H74" s="6">
        <f>_xlfn.XLOOKUP(C75,'2024'!C:C,'2024'!B:B,"")</f>
        <v>45391.708333333001</v>
      </c>
      <c r="I74" s="19">
        <f t="shared" si="4"/>
        <v>45391.708333333001</v>
      </c>
      <c r="J74" s="6">
        <f>_xlfn.XLOOKUP(C74,'2025'!C:C,'2025'!A:A,"")</f>
        <v>45756.831250000003</v>
      </c>
      <c r="K74" s="6">
        <f>_xlfn.XLOOKUP(C74,'2025'!C:C,'2025'!B:B,"")</f>
        <v>45755.733333333003</v>
      </c>
      <c r="L74" s="19">
        <f t="shared" si="5"/>
        <v>45755.733333333003</v>
      </c>
      <c r="M74" s="16" cm="1">
        <f t="array" ref="M74">IFERROR(_xlfn.LET(
_xlpm.x,TRIM(C74),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" s="16" t="b">
        <f t="shared" si="6"/>
        <v>0</v>
      </c>
    </row>
    <row r="75" spans="1:14" x14ac:dyDescent="0.25">
      <c r="A75" s="5" t="s">
        <v>491</v>
      </c>
      <c r="B75" s="16">
        <v>154</v>
      </c>
      <c r="C75" s="16" t="str">
        <v>Clark I - CL-I 125 - 125B</v>
      </c>
      <c r="D75" s="6">
        <f>_xlfn.XLOOKUP(C75,'2023'!C:C,'2023'!A:A,"")</f>
        <v>45029.820833332997</v>
      </c>
      <c r="E75" s="6" t="str">
        <f>_xlfn.XLOOKUP(C75,'2023'!C:C,'2023'!B:B,"")</f>
        <v>No Selection Time Issued</v>
      </c>
      <c r="F75" s="19">
        <f t="shared" si="7"/>
        <v>45029.820833332997</v>
      </c>
      <c r="G75" s="6">
        <f>_xlfn.XLOOKUP(C75,'2024'!C:C,'2024'!A:A,"")</f>
        <v>45391.791666666999</v>
      </c>
      <c r="H75" s="6" t="str">
        <f>_xlfn.XLOOKUP(C76,'2024'!C:C,'2024'!B:B,"")</f>
        <v>No Selection Time Issued</v>
      </c>
      <c r="I75" s="19">
        <f t="shared" si="4"/>
        <v>45391.791666666999</v>
      </c>
      <c r="J75" s="6">
        <f>_xlfn.XLOOKUP(C75,'2025'!C:C,'2025'!A:A,"")</f>
        <v>45755.733333333003</v>
      </c>
      <c r="K75" s="6">
        <f>_xlfn.XLOOKUP(C75,'2025'!C:C,'2025'!B:B,"")</f>
        <v>45755.733333333003</v>
      </c>
      <c r="L75" s="19">
        <f t="shared" si="5"/>
        <v>45755.733333333003</v>
      </c>
      <c r="M75" s="16" cm="1">
        <f t="array" ref="M75">IFERROR(_xlfn.LET(
_xlpm.x,TRIM(C75),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" s="16" t="b">
        <f t="shared" si="6"/>
        <v>0</v>
      </c>
    </row>
    <row r="76" spans="1:14" x14ac:dyDescent="0.25">
      <c r="A76" s="5" t="s">
        <v>416</v>
      </c>
      <c r="B76" s="16">
        <v>158</v>
      </c>
      <c r="C76" s="16" t="str">
        <v>Clark I - CL-I 126 - 126A</v>
      </c>
      <c r="D76" s="6">
        <f>_xlfn.XLOOKUP(C76,'2023'!C:C,'2023'!A:A,"")</f>
        <v>45027.816666667</v>
      </c>
      <c r="E76" s="6">
        <f>_xlfn.XLOOKUP(C76,'2023'!C:C,'2023'!B:B,"")</f>
        <v>45027.743750000001</v>
      </c>
      <c r="F76" s="19">
        <f t="shared" si="7"/>
        <v>45027.743750000001</v>
      </c>
      <c r="G76" s="6">
        <f>_xlfn.XLOOKUP(C76,'2024'!C:C,'2024'!A:A,"")</f>
        <v>45392.716666667002</v>
      </c>
      <c r="H76" s="6">
        <f>_xlfn.XLOOKUP(C77,'2024'!C:C,'2024'!B:B,"")</f>
        <v>45391.772916667003</v>
      </c>
      <c r="I76" s="19">
        <f t="shared" si="4"/>
        <v>45391.772916667003</v>
      </c>
      <c r="J76" s="6">
        <f>_xlfn.XLOOKUP(C76,'2025'!C:C,'2025'!A:A,"")</f>
        <v>45755.845833332998</v>
      </c>
      <c r="K76" s="6">
        <f>_xlfn.XLOOKUP(C76,'2025'!C:C,'2025'!B:B,"")</f>
        <v>45755.845833332998</v>
      </c>
      <c r="L76" s="19">
        <f t="shared" si="5"/>
        <v>45755.845833332998</v>
      </c>
      <c r="M76" s="16" cm="1">
        <f t="array" ref="M76">IFERROR(_xlfn.LET(
_xlpm.x,TRIM(C76),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" s="16" t="b">
        <f t="shared" si="6"/>
        <v>0</v>
      </c>
    </row>
    <row r="77" spans="1:14" x14ac:dyDescent="0.25">
      <c r="A77" s="5" t="s">
        <v>416</v>
      </c>
      <c r="B77" s="16">
        <v>154</v>
      </c>
      <c r="C77" s="16" t="str">
        <v>Clark I - CL-I 126 - 126B</v>
      </c>
      <c r="D77" s="6">
        <f>_xlfn.XLOOKUP(C77,'2023'!C:C,'2023'!A:A,"")</f>
        <v>45027.90625</v>
      </c>
      <c r="E77" s="6" t="str">
        <f>_xlfn.XLOOKUP(C77,'2023'!C:C,'2023'!B:B,"")</f>
        <v>No Selection Time Issued</v>
      </c>
      <c r="F77" s="19">
        <f t="shared" si="7"/>
        <v>45027.90625</v>
      </c>
      <c r="G77" s="6">
        <f>_xlfn.XLOOKUP(C77,'2024'!C:C,'2024'!A:A,"")</f>
        <v>45392.760416666999</v>
      </c>
      <c r="H77" s="6" t="str">
        <f>_xlfn.XLOOKUP(C78,'2024'!C:C,'2024'!B:B,"")</f>
        <v>No Selection Time Issued</v>
      </c>
      <c r="I77" s="19">
        <f t="shared" si="4"/>
        <v>45392.760416666999</v>
      </c>
      <c r="J77" s="6">
        <f>_xlfn.XLOOKUP(C77,'2025'!C:C,'2025'!A:A,"")</f>
        <v>45756.800000000003</v>
      </c>
      <c r="K77" s="6">
        <f>_xlfn.XLOOKUP(C77,'2025'!C:C,'2025'!B:B,"")</f>
        <v>45755.845833332998</v>
      </c>
      <c r="L77" s="19">
        <f t="shared" si="5"/>
        <v>45755.845833332998</v>
      </c>
      <c r="M77" s="16" cm="1">
        <f t="array" ref="M77">IFERROR(_xlfn.LET(
_xlpm.x,TRIM(C77),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" s="16" t="b">
        <f t="shared" si="6"/>
        <v>0</v>
      </c>
    </row>
    <row r="78" spans="1:14" x14ac:dyDescent="0.25">
      <c r="A78" s="5" t="s">
        <v>416</v>
      </c>
      <c r="B78" s="16">
        <v>139</v>
      </c>
      <c r="C78" s="16" t="str">
        <v>Clark I - CL-I 127 - 127A</v>
      </c>
      <c r="D78" s="6">
        <f>_xlfn.XLOOKUP(C78,'2023'!C:C,'2023'!A:A,"")</f>
        <v>45028.720833332998</v>
      </c>
      <c r="E78" s="6">
        <f>_xlfn.XLOOKUP(C78,'2023'!C:C,'2023'!B:B,"")</f>
        <v>45027.727083332997</v>
      </c>
      <c r="F78" s="19">
        <f t="shared" si="7"/>
        <v>45027.727083332997</v>
      </c>
      <c r="G78" s="6">
        <f>_xlfn.XLOOKUP(C78,'2024'!C:C,'2024'!A:A,"")</f>
        <v>45392.847916667</v>
      </c>
      <c r="H78" s="6">
        <f>_xlfn.XLOOKUP(C79,'2024'!C:C,'2024'!B:B,"")</f>
        <v>45391.747916667002</v>
      </c>
      <c r="I78" s="19">
        <f t="shared" si="4"/>
        <v>45391.747916667002</v>
      </c>
      <c r="J78" s="6">
        <f>_xlfn.XLOOKUP(C78,'2025'!C:C,'2025'!A:A,"")</f>
        <v>45756.714583333</v>
      </c>
      <c r="K78" s="6">
        <f>_xlfn.XLOOKUP(C78,'2025'!C:C,'2025'!B:B,"")</f>
        <v>45756.714583333</v>
      </c>
      <c r="L78" s="19">
        <f t="shared" si="5"/>
        <v>45756.714583333</v>
      </c>
      <c r="M78" s="16" cm="1">
        <f t="array" ref="M78">IFERROR(_xlfn.LET(
_xlpm.x,TRIM(C78),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" s="16" t="b">
        <f t="shared" si="6"/>
        <v>0</v>
      </c>
    </row>
    <row r="79" spans="1:14" x14ac:dyDescent="0.25">
      <c r="A79" s="5" t="s">
        <v>355</v>
      </c>
      <c r="B79" s="16">
        <v>144</v>
      </c>
      <c r="C79" s="16" t="str">
        <v>Clark I - CL-I 127 - 127B</v>
      </c>
      <c r="D79" s="6">
        <f>_xlfn.XLOOKUP(C79,'2023'!C:C,'2023'!A:A,"")</f>
        <v>45028.78125</v>
      </c>
      <c r="E79" s="6" t="str">
        <f>_xlfn.XLOOKUP(C79,'2023'!C:C,'2023'!B:B,"")</f>
        <v>No Selection Time Issued</v>
      </c>
      <c r="F79" s="19">
        <f t="shared" si="7"/>
        <v>45028.78125</v>
      </c>
      <c r="G79" s="6">
        <f>_xlfn.XLOOKUP(C79,'2024'!C:C,'2024'!A:A,"")</f>
        <v>45392.71875</v>
      </c>
      <c r="H79" s="6">
        <f>_xlfn.XLOOKUP(C80,'2024'!C:C,'2024'!B:B,"")</f>
        <v>45393.729166666999</v>
      </c>
      <c r="I79" s="19">
        <f t="shared" si="4"/>
        <v>45392.71875</v>
      </c>
      <c r="J79" s="6">
        <f>_xlfn.XLOOKUP(C79,'2025'!C:C,'2025'!A:A,"")</f>
        <v>45756.770833333001</v>
      </c>
      <c r="K79" s="6">
        <f>_xlfn.XLOOKUP(C79,'2025'!C:C,'2025'!B:B,"")</f>
        <v>45756.714583333</v>
      </c>
      <c r="L79" s="19">
        <f t="shared" si="5"/>
        <v>45756.714583333</v>
      </c>
      <c r="M79" s="16" cm="1">
        <f t="array" ref="M79">IFERROR(_xlfn.LET(
_xlpm.x,TRIM(C79),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" s="16" t="b">
        <f t="shared" si="6"/>
        <v>0</v>
      </c>
    </row>
    <row r="80" spans="1:14" x14ac:dyDescent="0.25">
      <c r="A80" s="5" t="s">
        <v>355</v>
      </c>
      <c r="B80" s="16">
        <v>138</v>
      </c>
      <c r="C80" s="16" t="str">
        <v>Clark I - CL-I 129 - 129A</v>
      </c>
      <c r="D80" s="6">
        <f>_xlfn.XLOOKUP(C80,'2023'!C:C,'2023'!A:A,"")</f>
        <v>45028.71875</v>
      </c>
      <c r="E80" s="6">
        <f>_xlfn.XLOOKUP(C80,'2023'!C:C,'2023'!B:B,"")</f>
        <v>45029.731249999997</v>
      </c>
      <c r="F80" s="19">
        <f t="shared" si="7"/>
        <v>45028.71875</v>
      </c>
      <c r="G80" s="6">
        <f>_xlfn.XLOOKUP(C80,'2024'!C:C,'2024'!A:A,"")</f>
        <v>45392.739583333001</v>
      </c>
      <c r="H80" s="6">
        <f>_xlfn.XLOOKUP(C81,'2024'!C:C,'2024'!B:B,"")</f>
        <v>45393.724999999999</v>
      </c>
      <c r="I80" s="19">
        <f t="shared" si="4"/>
        <v>45392.739583333001</v>
      </c>
      <c r="J80" s="6">
        <f>_xlfn.XLOOKUP(C80,'2025'!C:C,'2025'!A:A,"")</f>
        <v>45756.75</v>
      </c>
      <c r="K80" s="6">
        <f>_xlfn.XLOOKUP(C80,'2025'!C:C,'2025'!B:B,"")</f>
        <v>45756.71875</v>
      </c>
      <c r="L80" s="19">
        <f t="shared" si="5"/>
        <v>45756.71875</v>
      </c>
      <c r="M80" s="16" cm="1">
        <f t="array" ref="M80">IFERROR(_xlfn.LET(
_xlpm.x,TRIM(C80),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" s="16" t="b">
        <f t="shared" si="6"/>
        <v>0</v>
      </c>
    </row>
    <row r="81" spans="1:14" x14ac:dyDescent="0.25">
      <c r="A81" s="5" t="s">
        <v>355</v>
      </c>
      <c r="B81" s="16">
        <v>143</v>
      </c>
      <c r="C81" s="16" t="str">
        <v>Clark I - CL-I 129 - 129B</v>
      </c>
      <c r="D81" s="6">
        <f>_xlfn.XLOOKUP(C81,'2023'!C:C,'2023'!A:A,"")</f>
        <v>45028.820833332997</v>
      </c>
      <c r="E81" s="6">
        <f>_xlfn.XLOOKUP(C81,'2023'!C:C,'2023'!B:B,"")</f>
        <v>45029.727083332997</v>
      </c>
      <c r="F81" s="19">
        <f t="shared" si="7"/>
        <v>45028.820833332997</v>
      </c>
      <c r="G81" s="6">
        <f>_xlfn.XLOOKUP(C81,'2024'!C:C,'2024'!A:A,"")</f>
        <v>45392.785416667</v>
      </c>
      <c r="H81" s="6">
        <f>_xlfn.XLOOKUP(C82,'2024'!C:C,'2024'!B:B,"")</f>
        <v>45391.720833332998</v>
      </c>
      <c r="I81" s="19">
        <f t="shared" si="4"/>
        <v>45391.720833332998</v>
      </c>
      <c r="J81" s="6">
        <f>_xlfn.XLOOKUP(C81,'2025'!C:C,'2025'!A:A,"")</f>
        <v>45756.71875</v>
      </c>
      <c r="K81" s="6">
        <f>_xlfn.XLOOKUP(C81,'2025'!C:C,'2025'!B:B,"")</f>
        <v>45756.71875</v>
      </c>
      <c r="L81" s="19">
        <f t="shared" si="5"/>
        <v>45756.71875</v>
      </c>
      <c r="M81" s="16" cm="1">
        <f t="array" ref="M81">IFERROR(_xlfn.LET(
_xlpm.x,TRIM(C81),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" s="16" t="b">
        <f t="shared" si="6"/>
        <v>0</v>
      </c>
    </row>
    <row r="82" spans="1:14" x14ac:dyDescent="0.25">
      <c r="A82" s="5" t="s">
        <v>329</v>
      </c>
      <c r="B82" s="16">
        <v>155</v>
      </c>
      <c r="C82" s="16" t="str">
        <v>Clark I - CL-I 130 - 130A</v>
      </c>
      <c r="D82" s="6">
        <f>_xlfn.XLOOKUP(C82,'2023'!C:C,'2023'!A:A,"")</f>
        <v>45027.866666667003</v>
      </c>
      <c r="E82" s="6">
        <f>_xlfn.XLOOKUP(C82,'2023'!C:C,'2023'!B:B,"")</f>
        <v>45027.789583332997</v>
      </c>
      <c r="F82" s="19">
        <f t="shared" si="7"/>
        <v>45027.789583332997</v>
      </c>
      <c r="G82" s="6">
        <f>_xlfn.XLOOKUP(C82,'2024'!C:C,'2024'!A:A,"")</f>
        <v>45392.791666666999</v>
      </c>
      <c r="H82" s="6">
        <f>_xlfn.XLOOKUP(C83,'2024'!C:C,'2024'!B:B,"")</f>
        <v>45393.779166667002</v>
      </c>
      <c r="I82" s="19">
        <f t="shared" si="4"/>
        <v>45392.791666666999</v>
      </c>
      <c r="J82" s="6">
        <f>_xlfn.XLOOKUP(C82,'2025'!C:C,'2025'!A:A,"")</f>
        <v>45756.78125</v>
      </c>
      <c r="K82" s="6">
        <f>_xlfn.XLOOKUP(C82,'2025'!C:C,'2025'!B:B,"")</f>
        <v>45755.872916667002</v>
      </c>
      <c r="L82" s="19">
        <f t="shared" si="5"/>
        <v>45755.872916667002</v>
      </c>
      <c r="M82" s="16" cm="1">
        <f t="array" ref="M82">IFERROR(_xlfn.LET(
_xlpm.x,TRIM(C82),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" s="16" t="b">
        <f t="shared" si="6"/>
        <v>0</v>
      </c>
    </row>
    <row r="83" spans="1:14" x14ac:dyDescent="0.25">
      <c r="A83" s="5" t="s">
        <v>329</v>
      </c>
      <c r="B83" s="16">
        <v>154</v>
      </c>
      <c r="C83" s="16" t="str">
        <v>Clark I - CL-I 130 - 130B</v>
      </c>
      <c r="D83" s="6">
        <f>_xlfn.XLOOKUP(C83,'2023'!C:C,'2023'!A:A,"")</f>
        <v>45028.727083332997</v>
      </c>
      <c r="E83" s="6">
        <f>_xlfn.XLOOKUP(C83,'2023'!C:C,'2023'!B:B,"")</f>
        <v>45027.708333333001</v>
      </c>
      <c r="F83" s="19">
        <f t="shared" si="7"/>
        <v>45027.708333333001</v>
      </c>
      <c r="G83" s="6">
        <f>_xlfn.XLOOKUP(C83,'2024'!C:C,'2024'!A:A,"")</f>
        <v>45392.720833332998</v>
      </c>
      <c r="H83" s="6">
        <f>_xlfn.XLOOKUP(C84,'2024'!C:C,'2024'!B:B,"")</f>
        <v>45392.714583333</v>
      </c>
      <c r="I83" s="19">
        <f t="shared" si="4"/>
        <v>45392.714583333</v>
      </c>
      <c r="J83" s="6">
        <f>_xlfn.XLOOKUP(C83,'2025'!C:C,'2025'!A:A,"")</f>
        <v>45755.872916667002</v>
      </c>
      <c r="K83" s="6">
        <f>_xlfn.XLOOKUP(C83,'2025'!C:C,'2025'!B:B,"")</f>
        <v>45755.872916667002</v>
      </c>
      <c r="L83" s="19">
        <f t="shared" si="5"/>
        <v>45755.872916667002</v>
      </c>
      <c r="M83" s="16" cm="1">
        <f t="array" ref="M83">IFERROR(_xlfn.LET(
_xlpm.x,TRIM(C83),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" s="16" t="b">
        <f t="shared" si="6"/>
        <v>0</v>
      </c>
    </row>
    <row r="84" spans="1:14" x14ac:dyDescent="0.25">
      <c r="A84" s="5" t="s">
        <v>621</v>
      </c>
      <c r="B84" s="16">
        <v>154</v>
      </c>
      <c r="C84" s="16" t="str">
        <v>Clark I - CL-I 132 - 132A</v>
      </c>
      <c r="D84" s="6">
        <f>_xlfn.XLOOKUP(C84,'2023'!C:C,'2023'!A:A,"")</f>
        <v>45027.895833333001</v>
      </c>
      <c r="E84" s="6" t="str">
        <f>_xlfn.XLOOKUP(C84,'2023'!C:C,'2023'!B:B,"")</f>
        <v>No Selection Time Issued</v>
      </c>
      <c r="F84" s="19">
        <f t="shared" si="7"/>
        <v>45027.895833333001</v>
      </c>
      <c r="G84" s="6">
        <f>_xlfn.XLOOKUP(C84,'2024'!C:C,'2024'!A:A,"")</f>
        <v>45393.789583332997</v>
      </c>
      <c r="H84" s="6">
        <f>_xlfn.XLOOKUP(C85,'2024'!C:C,'2024'!B:B,"")</f>
        <v>45391.797916666997</v>
      </c>
      <c r="I84" s="19">
        <f t="shared" si="4"/>
        <v>45391.797916666997</v>
      </c>
      <c r="J84" s="6">
        <f>_xlfn.XLOOKUP(C84,'2025'!C:C,'2025'!A:A,"")</f>
        <v>45756.712500000001</v>
      </c>
      <c r="K84" s="6">
        <f>_xlfn.XLOOKUP(C84,'2025'!C:C,'2025'!B:B,"")</f>
        <v>45756.712500000001</v>
      </c>
      <c r="L84" s="19">
        <f t="shared" si="5"/>
        <v>45756.712500000001</v>
      </c>
      <c r="M84" s="16" cm="1">
        <f t="array" ref="M84">IFERROR(_xlfn.LET(
_xlpm.x,TRIM(C84),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" s="16" t="b">
        <f t="shared" si="6"/>
        <v>0</v>
      </c>
    </row>
    <row r="85" spans="1:14" x14ac:dyDescent="0.25">
      <c r="A85" s="5" t="s">
        <v>621</v>
      </c>
      <c r="B85" s="16">
        <v>154</v>
      </c>
      <c r="C85" s="16" t="str">
        <v>Clark I - CL-I 132 - 132B</v>
      </c>
      <c r="D85" s="6">
        <f>_xlfn.XLOOKUP(C85,'2023'!C:C,'2023'!A:A,"")</f>
        <v>45028.85</v>
      </c>
      <c r="E85" s="6">
        <f>_xlfn.XLOOKUP(C85,'2023'!C:C,'2023'!B:B,"")</f>
        <v>45028.766666666997</v>
      </c>
      <c r="F85" s="19">
        <f t="shared" si="7"/>
        <v>45028.766666666997</v>
      </c>
      <c r="G85" s="6">
        <f>_xlfn.XLOOKUP(C85,'2024'!C:C,'2024'!A:A,"")</f>
        <v>45392.733333333003</v>
      </c>
      <c r="H85" s="6">
        <f>_xlfn.XLOOKUP(C86,'2024'!C:C,'2024'!B:B,"")</f>
        <v>45392.822916666999</v>
      </c>
      <c r="I85" s="19">
        <f t="shared" si="4"/>
        <v>45392.733333333003</v>
      </c>
      <c r="J85" s="6">
        <f>_xlfn.XLOOKUP(C85,'2025'!C:C,'2025'!A:A,"")</f>
        <v>45756.827083333003</v>
      </c>
      <c r="K85" s="6">
        <f>_xlfn.XLOOKUP(C85,'2025'!C:C,'2025'!B:B,"")</f>
        <v>45756.712500000001</v>
      </c>
      <c r="L85" s="19">
        <f t="shared" si="5"/>
        <v>45756.712500000001</v>
      </c>
      <c r="M85" s="16" cm="1">
        <f t="array" ref="M85">IFERROR(_xlfn.LET(
_xlpm.x,TRIM(C85),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" s="16" t="b">
        <f t="shared" si="6"/>
        <v>0</v>
      </c>
    </row>
    <row r="86" spans="1:14" x14ac:dyDescent="0.25">
      <c r="A86" s="5" t="s">
        <v>358</v>
      </c>
      <c r="B86" s="16">
        <v>131</v>
      </c>
      <c r="C86" s="16" t="str">
        <v>Clark I - CL-I 133 - 133A</v>
      </c>
      <c r="D86" s="6">
        <f>_xlfn.XLOOKUP(C86,'2023'!C:C,'2023'!A:A,"")</f>
        <v>45028.75</v>
      </c>
      <c r="E86" s="6">
        <f>_xlfn.XLOOKUP(C86,'2023'!C:C,'2023'!B:B,"")</f>
        <v>45027.729166666999</v>
      </c>
      <c r="F86" s="19">
        <f t="shared" si="7"/>
        <v>45027.729166666999</v>
      </c>
      <c r="G86" s="6">
        <f>_xlfn.XLOOKUP(C86,'2024'!C:C,'2024'!A:A,"")</f>
        <v>45392.78125</v>
      </c>
      <c r="H86" s="6">
        <f>_xlfn.XLOOKUP(C87,'2024'!C:C,'2024'!B:B,"")</f>
        <v>45391.737500000003</v>
      </c>
      <c r="I86" s="19">
        <f t="shared" si="4"/>
        <v>45391.737500000003</v>
      </c>
      <c r="J86" s="6">
        <f>_xlfn.XLOOKUP(C86,'2025'!C:C,'2025'!A:A,"")</f>
        <v>45755.768750000003</v>
      </c>
      <c r="K86" s="6">
        <f>_xlfn.XLOOKUP(C86,'2025'!C:C,'2025'!B:B,"")</f>
        <v>45755.768750000003</v>
      </c>
      <c r="L86" s="19">
        <f t="shared" si="5"/>
        <v>45755.768750000003</v>
      </c>
      <c r="M86" s="16" cm="1">
        <f t="array" ref="M86">IFERROR(_xlfn.LET(
_xlpm.x,TRIM(C86),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6" s="16" t="b">
        <f t="shared" si="6"/>
        <v>0</v>
      </c>
    </row>
    <row r="87" spans="1:14" x14ac:dyDescent="0.25">
      <c r="A87" s="5" t="s">
        <v>358</v>
      </c>
      <c r="B87" s="16">
        <v>133</v>
      </c>
      <c r="C87" s="16" t="str">
        <v>Clark I - CL-I 133 - 133B</v>
      </c>
      <c r="D87" s="6">
        <f>_xlfn.XLOOKUP(C87,'2023'!C:C,'2023'!A:A,"")</f>
        <v>45028.722916667</v>
      </c>
      <c r="E87" s="6" t="str">
        <f>_xlfn.XLOOKUP(C87,'2023'!C:C,'2023'!B:B,"")</f>
        <v>No Selection Time Issued</v>
      </c>
      <c r="F87" s="19">
        <f t="shared" si="7"/>
        <v>45028.722916667</v>
      </c>
      <c r="G87" s="6">
        <f>_xlfn.XLOOKUP(C87,'2024'!C:C,'2024'!A:A,"")</f>
        <v>45392.735416666997</v>
      </c>
      <c r="H87" s="6">
        <f>_xlfn.XLOOKUP(C88,'2024'!C:C,'2024'!B:B,"")</f>
        <v>45391.733333333003</v>
      </c>
      <c r="I87" s="19">
        <f t="shared" si="4"/>
        <v>45391.733333333003</v>
      </c>
      <c r="J87" s="6">
        <f>_xlfn.XLOOKUP(C87,'2025'!C:C,'2025'!A:A,"")</f>
        <v>45757.829166666997</v>
      </c>
      <c r="K87" s="6">
        <f>_xlfn.XLOOKUP(C87,'2025'!C:C,'2025'!B:B,"")</f>
        <v>45755.768750000003</v>
      </c>
      <c r="L87" s="19">
        <f t="shared" si="5"/>
        <v>45755.768750000003</v>
      </c>
      <c r="M87" s="16" cm="1">
        <f t="array" ref="M87">IFERROR(_xlfn.LET(
_xlpm.x,TRIM(C87),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7" s="16" t="b">
        <f t="shared" si="6"/>
        <v>0</v>
      </c>
    </row>
    <row r="88" spans="1:14" x14ac:dyDescent="0.25">
      <c r="A88" s="5" t="s">
        <v>358</v>
      </c>
      <c r="B88" s="16">
        <v>201</v>
      </c>
      <c r="C88" s="16" t="str">
        <v>Clark I - CL-I 134 - 134A</v>
      </c>
      <c r="D88" s="6">
        <f>_xlfn.XLOOKUP(C88,'2023'!C:C,'2023'!A:A,"")</f>
        <v>45027.883333332997</v>
      </c>
      <c r="E88" s="6">
        <f>_xlfn.XLOOKUP(C88,'2023'!C:C,'2023'!B:B,"")</f>
        <v>45027.735416666997</v>
      </c>
      <c r="F88" s="19">
        <f t="shared" si="7"/>
        <v>45027.735416666997</v>
      </c>
      <c r="G88" s="6">
        <f>_xlfn.XLOOKUP(C88,'2024'!C:C,'2024'!A:A,"")</f>
        <v>45391.814583332998</v>
      </c>
      <c r="H88" s="6">
        <f>_xlfn.XLOOKUP(C89,'2024'!C:C,'2024'!B:B,"")</f>
        <v>45391.712500000001</v>
      </c>
      <c r="I88" s="19">
        <f t="shared" si="4"/>
        <v>45391.712500000001</v>
      </c>
      <c r="J88" s="6">
        <f>_xlfn.XLOOKUP(C88,'2025'!C:C,'2025'!A:A,"")</f>
        <v>45756.835416667003</v>
      </c>
      <c r="K88" s="6">
        <f>_xlfn.XLOOKUP(C88,'2025'!C:C,'2025'!B:B,"")</f>
        <v>45755.762499999997</v>
      </c>
      <c r="L88" s="19">
        <f t="shared" si="5"/>
        <v>45755.762499999997</v>
      </c>
      <c r="M88" s="16" cm="1">
        <f t="array" ref="M88">IFERROR(_xlfn.LET(
_xlpm.x,TRIM(C88),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8" s="16" t="b">
        <f t="shared" si="6"/>
        <v>0</v>
      </c>
    </row>
    <row r="89" spans="1:14" x14ac:dyDescent="0.25">
      <c r="A89" s="5" t="s">
        <v>358</v>
      </c>
      <c r="B89" s="16">
        <v>164</v>
      </c>
      <c r="C89" s="16" t="str">
        <v>Clark I - CL-I 134 - 134B</v>
      </c>
      <c r="D89" s="6">
        <f>_xlfn.XLOOKUP(C89,'2023'!C:C,'2023'!A:A,"")</f>
        <v>45027.777083333</v>
      </c>
      <c r="E89" s="6">
        <f>_xlfn.XLOOKUP(C89,'2023'!C:C,'2023'!B:B,"")</f>
        <v>45028.837500000001</v>
      </c>
      <c r="F89" s="19">
        <f t="shared" si="7"/>
        <v>45027.777083333</v>
      </c>
      <c r="G89" s="6">
        <f>_xlfn.XLOOKUP(C89,'2024'!C:C,'2024'!A:A,"")</f>
        <v>45391.879166667</v>
      </c>
      <c r="H89" s="6">
        <f>_xlfn.XLOOKUP(C90,'2024'!C:C,'2024'!B:B,"")</f>
        <v>45391.737500000003</v>
      </c>
      <c r="I89" s="19">
        <f t="shared" si="4"/>
        <v>45391.737500000003</v>
      </c>
      <c r="J89" s="6">
        <f>_xlfn.XLOOKUP(C89,'2025'!C:C,'2025'!A:A,"")</f>
        <v>45755.762499999997</v>
      </c>
      <c r="K89" s="6">
        <f>_xlfn.XLOOKUP(C89,'2025'!C:C,'2025'!B:B,"")</f>
        <v>45755.762499999997</v>
      </c>
      <c r="L89" s="19">
        <f t="shared" si="5"/>
        <v>45755.762499999997</v>
      </c>
      <c r="M89" s="16" cm="1">
        <f t="array" ref="M89">IFERROR(_xlfn.LET(
_xlpm.x,TRIM(C89),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9" s="16" t="b">
        <f t="shared" si="6"/>
        <v>0</v>
      </c>
    </row>
    <row r="90" spans="1:14" x14ac:dyDescent="0.25">
      <c r="A90" s="5" t="s">
        <v>358</v>
      </c>
      <c r="B90" s="16">
        <v>177</v>
      </c>
      <c r="C90" s="16" t="str">
        <v>Clark I - CL-I 200 - 200A</v>
      </c>
      <c r="D90" s="6">
        <f>_xlfn.XLOOKUP(C90,'2023'!C:C,'2023'!A:A,"")</f>
        <v>45027.787499999999</v>
      </c>
      <c r="E90" s="6">
        <f>_xlfn.XLOOKUP(C90,'2023'!C:C,'2023'!B:B,"")</f>
        <v>45027.710416667003</v>
      </c>
      <c r="F90" s="19">
        <f t="shared" si="7"/>
        <v>45027.710416667003</v>
      </c>
      <c r="G90" s="6">
        <f>_xlfn.XLOOKUP(C90,'2024'!C:C,'2024'!A:A,"")</f>
        <v>45391.852083332997</v>
      </c>
      <c r="H90" s="6">
        <f>_xlfn.XLOOKUP(C91,'2024'!C:C,'2024'!B:B,"")</f>
        <v>45391.783333332998</v>
      </c>
      <c r="I90" s="19">
        <f t="shared" si="4"/>
        <v>45391.783333332998</v>
      </c>
      <c r="J90" s="6">
        <f>_xlfn.XLOOKUP(C90,'2025'!C:C,'2025'!A:A,"")</f>
        <v>45755.837500000001</v>
      </c>
      <c r="K90" s="6">
        <f>_xlfn.XLOOKUP(C90,'2025'!C:C,'2025'!B:B,"")</f>
        <v>45755.75</v>
      </c>
      <c r="L90" s="19">
        <f t="shared" si="5"/>
        <v>45755.75</v>
      </c>
      <c r="M90" s="16" cm="1">
        <f t="array" ref="M90">IFERROR(_xlfn.LET(
_xlpm.x,TRIM(C90),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0" s="16" t="b">
        <f t="shared" si="6"/>
        <v>0</v>
      </c>
    </row>
    <row r="91" spans="1:14" x14ac:dyDescent="0.25">
      <c r="A91" s="5" t="s">
        <v>358</v>
      </c>
      <c r="B91" s="16">
        <v>173</v>
      </c>
      <c r="C91" s="16" t="str">
        <v>Clark I - CL-I 200 - 200B</v>
      </c>
      <c r="D91" s="6">
        <f>_xlfn.XLOOKUP(C91,'2023'!C:C,'2023'!A:A,"")</f>
        <v>45028.768750000003</v>
      </c>
      <c r="E91" s="6">
        <f>_xlfn.XLOOKUP(C91,'2023'!C:C,'2023'!B:B,"")</f>
        <v>45027.733333333003</v>
      </c>
      <c r="F91" s="19">
        <f t="shared" si="7"/>
        <v>45027.733333333003</v>
      </c>
      <c r="G91" s="6">
        <f>_xlfn.XLOOKUP(C91,'2024'!C:C,'2024'!A:A,"")</f>
        <v>45391.783333332998</v>
      </c>
      <c r="H91" s="6">
        <f>_xlfn.XLOOKUP(C92,'2024'!C:C,'2024'!B:B,"")</f>
        <v>45393.783333332998</v>
      </c>
      <c r="I91" s="19">
        <f t="shared" si="4"/>
        <v>45391.783333332998</v>
      </c>
      <c r="J91" s="6">
        <f>_xlfn.XLOOKUP(C91,'2025'!C:C,'2025'!A:A,"")</f>
        <v>45755.75</v>
      </c>
      <c r="K91" s="6">
        <f>_xlfn.XLOOKUP(C91,'2025'!C:C,'2025'!B:B,"")</f>
        <v>45755.75</v>
      </c>
      <c r="L91" s="19">
        <f t="shared" si="5"/>
        <v>45755.75</v>
      </c>
      <c r="M91" s="16" cm="1">
        <f t="array" ref="M91">IFERROR(_xlfn.LET(
_xlpm.x,TRIM(C91),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1" s="16" t="b">
        <f t="shared" si="6"/>
        <v>0</v>
      </c>
    </row>
    <row r="92" spans="1:14" x14ac:dyDescent="0.25">
      <c r="A92" s="5" t="s">
        <v>125</v>
      </c>
      <c r="B92" s="16">
        <v>141</v>
      </c>
      <c r="C92" s="16" t="str">
        <v>Clark I - CL-I 201 - 201A</v>
      </c>
      <c r="D92" s="6">
        <f>_xlfn.XLOOKUP(C92,'2023'!C:C,'2023'!A:A,"")</f>
        <v>45027.710416667003</v>
      </c>
      <c r="E92" s="6">
        <f>_xlfn.XLOOKUP(C92,'2023'!C:C,'2023'!B:B,"")</f>
        <v>45027.770833333001</v>
      </c>
      <c r="F92" s="19">
        <f t="shared" si="7"/>
        <v>45027.710416667003</v>
      </c>
      <c r="G92" s="6">
        <f>_xlfn.XLOOKUP(C92,'2024'!C:C,'2024'!A:A,"")</f>
        <v>45392.720833332998</v>
      </c>
      <c r="H92" s="6">
        <f>_xlfn.XLOOKUP(C93,'2024'!C:C,'2024'!B:B,"")</f>
        <v>45391.743750000001</v>
      </c>
      <c r="I92" s="19">
        <f t="shared" si="4"/>
        <v>45391.743750000001</v>
      </c>
      <c r="J92" s="6">
        <f>_xlfn.XLOOKUP(C92,'2025'!C:C,'2025'!A:A,"")</f>
        <v>45756.779166667002</v>
      </c>
      <c r="K92" s="6">
        <f>_xlfn.XLOOKUP(C92,'2025'!C:C,'2025'!B:B,"")</f>
        <v>45756.71875</v>
      </c>
      <c r="L92" s="19">
        <f t="shared" si="5"/>
        <v>45756.71875</v>
      </c>
      <c r="M92" s="16" cm="1">
        <f t="array" ref="M92">IFERROR(_xlfn.LET(
_xlpm.x,TRIM(C92),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2" s="16" t="b">
        <f t="shared" si="6"/>
        <v>0</v>
      </c>
    </row>
    <row r="93" spans="1:14" x14ac:dyDescent="0.25">
      <c r="A93" s="5" t="s">
        <v>125</v>
      </c>
      <c r="B93" s="16">
        <v>143</v>
      </c>
      <c r="C93" s="16" t="str">
        <v>Clark I - CL-I 201 - 201B</v>
      </c>
      <c r="D93" s="6">
        <f>_xlfn.XLOOKUP(C93,'2023'!C:C,'2023'!A:A,"")</f>
        <v>45027.841666667002</v>
      </c>
      <c r="E93" s="6" t="str">
        <f>_xlfn.XLOOKUP(C93,'2023'!C:C,'2023'!B:B,"")</f>
        <v>No Selection Time Issued</v>
      </c>
      <c r="F93" s="19">
        <f t="shared" si="7"/>
        <v>45027.841666667002</v>
      </c>
      <c r="G93" s="6">
        <f>_xlfn.XLOOKUP(C93,'2024'!C:C,'2024'!A:A,"")</f>
        <v>45392.858333333003</v>
      </c>
      <c r="H93" s="6">
        <f>_xlfn.XLOOKUP(C94,'2024'!C:C,'2024'!B:B,"")</f>
        <v>45391.762499999997</v>
      </c>
      <c r="I93" s="19">
        <f t="shared" si="4"/>
        <v>45391.762499999997</v>
      </c>
      <c r="J93" s="6">
        <f>_xlfn.XLOOKUP(C93,'2025'!C:C,'2025'!A:A,"")</f>
        <v>45756.71875</v>
      </c>
      <c r="K93" s="6">
        <f>_xlfn.XLOOKUP(C93,'2025'!C:C,'2025'!B:B,"")</f>
        <v>45756.71875</v>
      </c>
      <c r="L93" s="19">
        <f t="shared" si="5"/>
        <v>45756.71875</v>
      </c>
      <c r="M93" s="16" cm="1">
        <f t="array" ref="M93">IFERROR(_xlfn.LET(
_xlpm.x,TRIM(C93),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3" s="16" t="b">
        <f t="shared" si="6"/>
        <v>0</v>
      </c>
    </row>
    <row r="94" spans="1:14" x14ac:dyDescent="0.25">
      <c r="A94" s="5" t="s">
        <v>125</v>
      </c>
      <c r="B94" s="16">
        <v>156</v>
      </c>
      <c r="C94" s="16" t="str">
        <v>Clark I - CL-I 202 - 202A</v>
      </c>
      <c r="D94" s="6">
        <f>_xlfn.XLOOKUP(C94,'2023'!C:C,'2023'!A:A,"")</f>
        <v>45027.814583332998</v>
      </c>
      <c r="E94" s="6">
        <f>_xlfn.XLOOKUP(C94,'2023'!C:C,'2023'!B:B,"")</f>
        <v>45027.841666667002</v>
      </c>
      <c r="F94" s="19">
        <f t="shared" si="7"/>
        <v>45027.814583332998</v>
      </c>
      <c r="G94" s="6">
        <f>_xlfn.XLOOKUP(C94,'2024'!C:C,'2024'!A:A,"")</f>
        <v>45392.814583332998</v>
      </c>
      <c r="H94" s="6">
        <f>_xlfn.XLOOKUP(C95,'2024'!C:C,'2024'!B:B,"")</f>
        <v>45391.775000000001</v>
      </c>
      <c r="I94" s="19">
        <f t="shared" si="4"/>
        <v>45391.775000000001</v>
      </c>
      <c r="J94" s="6">
        <f>_xlfn.XLOOKUP(C94,'2025'!C:C,'2025'!A:A,"")</f>
        <v>45755.766666666997</v>
      </c>
      <c r="K94" s="6">
        <f>_xlfn.XLOOKUP(C94,'2025'!C:C,'2025'!B:B,"")</f>
        <v>45755.766666666997</v>
      </c>
      <c r="L94" s="19">
        <f t="shared" si="5"/>
        <v>45755.766666666997</v>
      </c>
      <c r="M94" s="16" cm="1">
        <f t="array" ref="M94">IFERROR(_xlfn.LET(
_xlpm.x,TRIM(C94),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4" s="16" t="b">
        <f t="shared" si="6"/>
        <v>0</v>
      </c>
    </row>
    <row r="95" spans="1:14" x14ac:dyDescent="0.25">
      <c r="A95" s="5" t="s">
        <v>167</v>
      </c>
      <c r="B95" s="16">
        <v>153</v>
      </c>
      <c r="C95" s="16" t="str">
        <v>Clark I - CL-I 202 - 202B</v>
      </c>
      <c r="D95" s="6">
        <f>_xlfn.XLOOKUP(C95,'2023'!C:C,'2023'!A:A,"")</f>
        <v>45027.90625</v>
      </c>
      <c r="E95" s="6">
        <f>_xlfn.XLOOKUP(C95,'2023'!C:C,'2023'!B:B,"")</f>
        <v>45027.716666667002</v>
      </c>
      <c r="F95" s="19">
        <f t="shared" si="7"/>
        <v>45027.716666667002</v>
      </c>
      <c r="G95" s="6">
        <f>_xlfn.XLOOKUP(C95,'2024'!C:C,'2024'!A:A,"")</f>
        <v>45391.9</v>
      </c>
      <c r="H95" s="6">
        <f>_xlfn.XLOOKUP(C96,'2024'!C:C,'2024'!B:B,"")</f>
        <v>45391.787499999999</v>
      </c>
      <c r="I95" s="19">
        <f t="shared" si="4"/>
        <v>45391.787499999999</v>
      </c>
      <c r="J95" s="6">
        <f>_xlfn.XLOOKUP(C95,'2025'!C:C,'2025'!A:A,"")</f>
        <v>45755.854166666999</v>
      </c>
      <c r="K95" s="6">
        <f>_xlfn.XLOOKUP(C95,'2025'!C:C,'2025'!B:B,"")</f>
        <v>45755.766666666997</v>
      </c>
      <c r="L95" s="19">
        <f t="shared" si="5"/>
        <v>45755.766666666997</v>
      </c>
      <c r="M95" s="16" cm="1">
        <f t="array" ref="M95">IFERROR(_xlfn.LET(
_xlpm.x,TRIM(C95),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5" s="16" t="b">
        <f t="shared" si="6"/>
        <v>0</v>
      </c>
    </row>
    <row r="96" spans="1:14" x14ac:dyDescent="0.25">
      <c r="A96" s="5" t="s">
        <v>167</v>
      </c>
      <c r="B96" s="16">
        <v>226</v>
      </c>
      <c r="C96" s="16" t="str">
        <v>Clark I - CL-I 203 - 203A</v>
      </c>
      <c r="D96" s="6">
        <f>_xlfn.XLOOKUP(C96,'2023'!C:C,'2023'!A:A,"")</f>
        <v>45028.835416667003</v>
      </c>
      <c r="E96" s="6">
        <f>_xlfn.XLOOKUP(C96,'2023'!C:C,'2023'!B:B,"")</f>
        <v>45027.764583333003</v>
      </c>
      <c r="F96" s="19">
        <f t="shared" si="7"/>
        <v>45027.764583333003</v>
      </c>
      <c r="G96" s="6">
        <f>_xlfn.XLOOKUP(C96,'2024'!C:C,'2024'!A:A,"")</f>
        <v>45392.766666666997</v>
      </c>
      <c r="H96" s="6">
        <f>_xlfn.XLOOKUP(C97,'2024'!C:C,'2024'!B:B,"")</f>
        <v>45391.708333333001</v>
      </c>
      <c r="I96" s="19">
        <f t="shared" si="4"/>
        <v>45391.708333333001</v>
      </c>
      <c r="J96" s="6">
        <f>_xlfn.XLOOKUP(C96,'2025'!C:C,'2025'!A:A,"")</f>
        <v>45756.816666667</v>
      </c>
      <c r="K96" s="6">
        <f>_xlfn.XLOOKUP(C96,'2025'!C:C,'2025'!B:B,"")</f>
        <v>45756.71875</v>
      </c>
      <c r="L96" s="19">
        <f t="shared" si="5"/>
        <v>45756.71875</v>
      </c>
      <c r="M96" s="16" cm="1">
        <f t="array" ref="M96">IFERROR(_xlfn.LET(
_xlpm.x,TRIM(C96),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96" s="16" t="b">
        <f t="shared" si="6"/>
        <v>0</v>
      </c>
    </row>
    <row r="97" spans="1:14" x14ac:dyDescent="0.25">
      <c r="A97" s="5" t="s">
        <v>167</v>
      </c>
      <c r="B97" s="16">
        <v>204</v>
      </c>
      <c r="C97" s="16" t="str">
        <v>Clark I - CL-I 203 - 203B</v>
      </c>
      <c r="D97" s="6">
        <f>_xlfn.XLOOKUP(C97,'2023'!C:C,'2023'!A:A,"")</f>
        <v>45028.793749999997</v>
      </c>
      <c r="E97" s="6" t="str">
        <f>_xlfn.XLOOKUP(C97,'2023'!C:C,'2023'!B:B,"")</f>
        <v>No Selection Time Issued</v>
      </c>
      <c r="F97" s="19">
        <f t="shared" si="7"/>
        <v>45028.793749999997</v>
      </c>
      <c r="G97" s="6">
        <f>_xlfn.XLOOKUP(C97,'2024'!C:C,'2024'!A:A,"")</f>
        <v>45392.833333333001</v>
      </c>
      <c r="H97" s="6" t="str">
        <f>_xlfn.XLOOKUP(C98,'2024'!C:C,'2024'!B:B,"")</f>
        <v>No Selection Time Issued</v>
      </c>
      <c r="I97" s="19">
        <f t="shared" si="4"/>
        <v>45392.833333333001</v>
      </c>
      <c r="J97" s="6">
        <f>_xlfn.XLOOKUP(C97,'2025'!C:C,'2025'!A:A,"")</f>
        <v>45756.71875</v>
      </c>
      <c r="K97" s="6">
        <f>_xlfn.XLOOKUP(C97,'2025'!C:C,'2025'!B:B,"")</f>
        <v>45756.71875</v>
      </c>
      <c r="L97" s="19">
        <f t="shared" si="5"/>
        <v>45756.71875</v>
      </c>
      <c r="M97" s="16" cm="1">
        <f t="array" ref="M97">IFERROR(_xlfn.LET(
_xlpm.x,TRIM(C97),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97" s="16" t="b">
        <f t="shared" si="6"/>
        <v>0</v>
      </c>
    </row>
    <row r="98" spans="1:14" x14ac:dyDescent="0.25">
      <c r="A98" s="5" t="s">
        <v>167</v>
      </c>
      <c r="B98" s="16">
        <v>165</v>
      </c>
      <c r="C98" s="16" t="str">
        <v>Clark I - CL-I 203 - 203C</v>
      </c>
      <c r="D98" s="6">
        <f>_xlfn.XLOOKUP(C98,'2023'!C:C,'2023'!A:A,"")</f>
        <v>45028.783333332998</v>
      </c>
      <c r="E98" s="6">
        <f>_xlfn.XLOOKUP(C98,'2023'!C:C,'2023'!B:B,"")</f>
        <v>45027.710416667003</v>
      </c>
      <c r="F98" s="19">
        <f t="shared" si="7"/>
        <v>45027.710416667003</v>
      </c>
      <c r="G98" s="6">
        <f>_xlfn.XLOOKUP(C98,'2024'!C:C,'2024'!A:A,"")</f>
        <v>45392.729166666999</v>
      </c>
      <c r="H98" s="6">
        <f>_xlfn.XLOOKUP(C99,'2024'!C:C,'2024'!B:B,"")</f>
        <v>45391.712500000001</v>
      </c>
      <c r="I98" s="19">
        <f t="shared" si="4"/>
        <v>45391.712500000001</v>
      </c>
      <c r="J98" s="6">
        <f>_xlfn.XLOOKUP(C98,'2025'!C:C,'2025'!A:A,"")</f>
        <v>45756.802083333001</v>
      </c>
      <c r="K98" s="6">
        <f>_xlfn.XLOOKUP(C98,'2025'!C:C,'2025'!B:B,"")</f>
        <v>45756.71875</v>
      </c>
      <c r="L98" s="19">
        <f t="shared" si="5"/>
        <v>45756.71875</v>
      </c>
      <c r="M98" s="16" cm="1">
        <f t="array" ref="M98">IFERROR(_xlfn.LET(
_xlpm.x,TRIM(C98),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8" s="16" t="b">
        <f t="shared" si="6"/>
        <v>0</v>
      </c>
    </row>
    <row r="99" spans="1:14" x14ac:dyDescent="0.25">
      <c r="A99" s="5" t="s">
        <v>546</v>
      </c>
      <c r="B99" s="16">
        <v>156</v>
      </c>
      <c r="C99" s="16" t="str">
        <v>Clark I - CL-I 205 - 205A</v>
      </c>
      <c r="D99" s="6">
        <f>_xlfn.XLOOKUP(C99,'2023'!C:C,'2023'!A:A,"")</f>
        <v>45027.770833333001</v>
      </c>
      <c r="E99" s="6">
        <f>_xlfn.XLOOKUP(C99,'2023'!C:C,'2023'!B:B,"")</f>
        <v>45027.743750000001</v>
      </c>
      <c r="F99" s="19">
        <f t="shared" si="7"/>
        <v>45027.743750000001</v>
      </c>
      <c r="G99" s="6">
        <f>_xlfn.XLOOKUP(C99,'2024'!C:C,'2024'!A:A,"")</f>
        <v>45391.797916666997</v>
      </c>
      <c r="H99" s="6">
        <f>_xlfn.XLOOKUP(C100,'2024'!C:C,'2024'!B:B,"")</f>
        <v>45393.816666667</v>
      </c>
      <c r="I99" s="19">
        <f t="shared" si="4"/>
        <v>45391.797916666997</v>
      </c>
      <c r="J99" s="6">
        <f>_xlfn.XLOOKUP(C99,'2025'!C:C,'2025'!A:A,"")</f>
        <v>45755.797916666997</v>
      </c>
      <c r="K99" s="6">
        <f>_xlfn.XLOOKUP(C99,'2025'!C:C,'2025'!B:B,"")</f>
        <v>45755.797916666997</v>
      </c>
      <c r="L99" s="19">
        <f t="shared" si="5"/>
        <v>45755.797916666997</v>
      </c>
      <c r="M99" s="16" cm="1">
        <f t="array" ref="M99">IFERROR(_xlfn.LET(
_xlpm.x,TRIM(C99),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99" s="16" t="b">
        <f t="shared" si="6"/>
        <v>0</v>
      </c>
    </row>
    <row r="100" spans="1:14" x14ac:dyDescent="0.25">
      <c r="A100" s="5" t="s">
        <v>546</v>
      </c>
      <c r="B100" s="16">
        <v>154</v>
      </c>
      <c r="C100" s="16" t="str">
        <v>Clark I - CL-I 205 - 205B</v>
      </c>
      <c r="D100" s="6">
        <f>_xlfn.XLOOKUP(C100,'2023'!C:C,'2023'!A:A,"")</f>
        <v>45027.868750000001</v>
      </c>
      <c r="E100" s="6">
        <f>_xlfn.XLOOKUP(C100,'2023'!C:C,'2023'!B:B,"")</f>
        <v>45028.745833333</v>
      </c>
      <c r="F100" s="19">
        <f t="shared" si="7"/>
        <v>45027.868750000001</v>
      </c>
      <c r="G100" s="6">
        <f>_xlfn.XLOOKUP(C100,'2024'!C:C,'2024'!A:A,"")</f>
        <v>45391.854166666999</v>
      </c>
      <c r="H100" s="6">
        <f>_xlfn.XLOOKUP(C101,'2024'!C:C,'2024'!B:B,"")</f>
        <v>45392.727083332997</v>
      </c>
      <c r="I100" s="19">
        <f t="shared" si="4"/>
        <v>45391.854166666999</v>
      </c>
      <c r="J100" s="6">
        <f>_xlfn.XLOOKUP(C100,'2025'!C:C,'2025'!A:A,"")</f>
        <v>45756.764583333003</v>
      </c>
      <c r="K100" s="6">
        <f>_xlfn.XLOOKUP(C100,'2025'!C:C,'2025'!B:B,"")</f>
        <v>45755.797916666997</v>
      </c>
      <c r="L100" s="19">
        <f t="shared" si="5"/>
        <v>45755.797916666997</v>
      </c>
      <c r="M100" s="16" cm="1">
        <f t="array" ref="M100">IFERROR(_xlfn.LET(
_xlpm.x,TRIM(C100),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0" s="16" t="b">
        <f t="shared" si="6"/>
        <v>0</v>
      </c>
    </row>
    <row r="101" spans="1:14" x14ac:dyDescent="0.25">
      <c r="A101" s="5" t="s">
        <v>129</v>
      </c>
      <c r="B101" s="16">
        <v>140</v>
      </c>
      <c r="C101" s="16" t="str">
        <v>Clark I - CL-I 206 - 206A</v>
      </c>
      <c r="D101" s="6">
        <f>_xlfn.XLOOKUP(C101,'2023'!C:C,'2023'!A:A,"")</f>
        <v>45027.84375</v>
      </c>
      <c r="E101" s="6" t="str">
        <f>_xlfn.XLOOKUP(C101,'2023'!C:C,'2023'!B:B,"")</f>
        <v>No Selection Time Issued</v>
      </c>
      <c r="F101" s="19">
        <f t="shared" si="7"/>
        <v>45027.84375</v>
      </c>
      <c r="G101" s="6">
        <f>_xlfn.XLOOKUP(C101,'2024'!C:C,'2024'!A:A,"")</f>
        <v>45391.852083332997</v>
      </c>
      <c r="H101" s="6">
        <f>_xlfn.XLOOKUP(C102,'2024'!C:C,'2024'!B:B,"")</f>
        <v>45391.737500000003</v>
      </c>
      <c r="I101" s="19">
        <f t="shared" si="4"/>
        <v>45391.737500000003</v>
      </c>
      <c r="J101" s="6">
        <f>_xlfn.XLOOKUP(C101,'2025'!C:C,'2025'!A:A,"")</f>
        <v>45756.710416667003</v>
      </c>
      <c r="K101" s="6">
        <f>_xlfn.XLOOKUP(C101,'2025'!C:C,'2025'!B:B,"")</f>
        <v>45756.710416667003</v>
      </c>
      <c r="L101" s="19">
        <f t="shared" si="5"/>
        <v>45756.710416667003</v>
      </c>
      <c r="M101" s="16" cm="1">
        <f t="array" ref="M101">IFERROR(_xlfn.LET(
_xlpm.x,TRIM(C101),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1" s="16" t="b">
        <f t="shared" si="6"/>
        <v>0</v>
      </c>
    </row>
    <row r="102" spans="1:14" x14ac:dyDescent="0.25">
      <c r="A102" s="5" t="s">
        <v>129</v>
      </c>
      <c r="B102" s="16">
        <v>144</v>
      </c>
      <c r="C102" s="16" t="str">
        <v>Clark I - CL-I 206 - 206B</v>
      </c>
      <c r="D102" s="6">
        <f>_xlfn.XLOOKUP(C102,'2023'!C:C,'2023'!A:A,"")</f>
        <v>45028.800000000003</v>
      </c>
      <c r="E102" s="6">
        <f>_xlfn.XLOOKUP(C102,'2023'!C:C,'2023'!B:B,"")</f>
        <v>45027.743750000001</v>
      </c>
      <c r="F102" s="19">
        <f t="shared" si="7"/>
        <v>45027.743750000001</v>
      </c>
      <c r="G102" s="6">
        <f>_xlfn.XLOOKUP(C102,'2024'!C:C,'2024'!A:A,"")</f>
        <v>45391.820833332997</v>
      </c>
      <c r="H102" s="6">
        <f>_xlfn.XLOOKUP(C103,'2024'!C:C,'2024'!B:B,"")</f>
        <v>45393.722916667</v>
      </c>
      <c r="I102" s="19">
        <f t="shared" si="4"/>
        <v>45391.820833332997</v>
      </c>
      <c r="J102" s="6">
        <f>_xlfn.XLOOKUP(C102,'2025'!C:C,'2025'!A:A,"")</f>
        <v>45756.743750000001</v>
      </c>
      <c r="K102" s="6">
        <f>_xlfn.XLOOKUP(C102,'2025'!C:C,'2025'!B:B,"")</f>
        <v>45756.710416667003</v>
      </c>
      <c r="L102" s="19">
        <f t="shared" si="5"/>
        <v>45756.710416667003</v>
      </c>
      <c r="M102" s="16" cm="1">
        <f t="array" ref="M102">IFERROR(_xlfn.LET(
_xlpm.x,TRIM(C102),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2" s="16" t="b">
        <f t="shared" si="6"/>
        <v>0</v>
      </c>
    </row>
    <row r="103" spans="1:14" x14ac:dyDescent="0.25">
      <c r="A103" s="5" t="s">
        <v>129</v>
      </c>
      <c r="B103" s="16">
        <v>213</v>
      </c>
      <c r="C103" s="16" t="str">
        <v>Clark I - CL-I 207 - 207A</v>
      </c>
      <c r="D103" s="6">
        <f>_xlfn.XLOOKUP(C103,'2023'!C:C,'2023'!A:A,"")</f>
        <v>45027.772916667003</v>
      </c>
      <c r="E103" s="6">
        <f>_xlfn.XLOOKUP(C103,'2023'!C:C,'2023'!B:B,"")</f>
        <v>45029.75</v>
      </c>
      <c r="F103" s="19">
        <f t="shared" si="7"/>
        <v>45027.772916667003</v>
      </c>
      <c r="G103" s="6">
        <f>_xlfn.XLOOKUP(C103,'2024'!C:C,'2024'!A:A,"")</f>
        <v>45392.722916667</v>
      </c>
      <c r="H103" s="6">
        <f>_xlfn.XLOOKUP(C104,'2024'!C:C,'2024'!B:B,"")</f>
        <v>45391.833333333001</v>
      </c>
      <c r="I103" s="19">
        <f t="shared" si="4"/>
        <v>45391.833333333001</v>
      </c>
      <c r="J103" s="6">
        <f>_xlfn.XLOOKUP(C103,'2025'!C:C,'2025'!A:A,"")</f>
        <v>45755.745833333</v>
      </c>
      <c r="K103" s="6">
        <f>_xlfn.XLOOKUP(C103,'2025'!C:C,'2025'!B:B,"")</f>
        <v>45755.745833333</v>
      </c>
      <c r="L103" s="19">
        <f t="shared" si="5"/>
        <v>45755.745833333</v>
      </c>
      <c r="M103" s="16" cm="1">
        <f t="array" ref="M103">IFERROR(_xlfn.LET(
_xlpm.x,TRIM(C103),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3" s="16" t="b">
        <f t="shared" si="6"/>
        <v>0</v>
      </c>
    </row>
    <row r="104" spans="1:14" x14ac:dyDescent="0.25">
      <c r="A104" s="5" t="s">
        <v>129</v>
      </c>
      <c r="B104" s="16">
        <v>172</v>
      </c>
      <c r="C104" s="16" t="str">
        <v>Clark I - CL-I 207 - 207B</v>
      </c>
      <c r="D104" s="6">
        <f>_xlfn.XLOOKUP(C104,'2023'!C:C,'2023'!A:A,"")</f>
        <v>45027.797916666997</v>
      </c>
      <c r="E104" s="6">
        <f>_xlfn.XLOOKUP(C104,'2023'!C:C,'2023'!B:B,"")</f>
        <v>45027.760416666999</v>
      </c>
      <c r="F104" s="19">
        <f t="shared" si="7"/>
        <v>45027.760416666999</v>
      </c>
      <c r="G104" s="6">
        <f>_xlfn.XLOOKUP(C104,'2024'!C:C,'2024'!A:A,"")</f>
        <v>45391.777083333</v>
      </c>
      <c r="H104" s="6">
        <f>_xlfn.XLOOKUP(C105,'2024'!C:C,'2024'!B:B,"")</f>
        <v>45391.71875</v>
      </c>
      <c r="I104" s="19">
        <f t="shared" si="4"/>
        <v>45391.71875</v>
      </c>
      <c r="J104" s="6">
        <f>_xlfn.XLOOKUP(C104,'2025'!C:C,'2025'!A:A,"")</f>
        <v>45755.887499999997</v>
      </c>
      <c r="K104" s="6">
        <f>_xlfn.XLOOKUP(C104,'2025'!C:C,'2025'!B:B,"")</f>
        <v>45755.745833333</v>
      </c>
      <c r="L104" s="19">
        <f t="shared" si="5"/>
        <v>45755.745833333</v>
      </c>
      <c r="M104" s="16" cm="1">
        <f t="array" ref="M104">IFERROR(_xlfn.LET(
_xlpm.x,TRIM(C104),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4" s="16" t="b">
        <f t="shared" si="6"/>
        <v>0</v>
      </c>
    </row>
    <row r="105" spans="1:14" x14ac:dyDescent="0.25">
      <c r="A105" s="5" t="s">
        <v>129</v>
      </c>
      <c r="B105" s="16">
        <v>150</v>
      </c>
      <c r="C105" s="16" t="str">
        <v>Clark I - CL-I 208 - 208A</v>
      </c>
      <c r="D105" s="6">
        <f>_xlfn.XLOOKUP(C105,'2023'!C:C,'2023'!A:A,"")</f>
        <v>45027.75</v>
      </c>
      <c r="E105" s="6">
        <f>_xlfn.XLOOKUP(C105,'2023'!C:C,'2023'!B:B,"")</f>
        <v>45027.712500000001</v>
      </c>
      <c r="F105" s="19">
        <f t="shared" si="7"/>
        <v>45027.712500000001</v>
      </c>
      <c r="G105" s="6">
        <f>_xlfn.XLOOKUP(C105,'2024'!C:C,'2024'!A:A,"")</f>
        <v>45392.800000000003</v>
      </c>
      <c r="H105" s="6">
        <f>_xlfn.XLOOKUP(C106,'2024'!C:C,'2024'!B:B,"")</f>
        <v>45391.716666667002</v>
      </c>
      <c r="I105" s="19">
        <f t="shared" si="4"/>
        <v>45391.716666667002</v>
      </c>
      <c r="J105" s="6">
        <f>_xlfn.XLOOKUP(C105,'2025'!C:C,'2025'!A:A,"")</f>
        <v>45756.833333333001</v>
      </c>
      <c r="K105" s="6">
        <f>_xlfn.XLOOKUP(C105,'2025'!C:C,'2025'!B:B,"")</f>
        <v>45756.716666667002</v>
      </c>
      <c r="L105" s="19">
        <f t="shared" si="5"/>
        <v>45756.716666667002</v>
      </c>
      <c r="M105" s="16" cm="1">
        <f t="array" ref="M105">IFERROR(_xlfn.LET(
_xlpm.x,TRIM(C105),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5" s="16" t="b">
        <f t="shared" si="6"/>
        <v>0</v>
      </c>
    </row>
    <row r="106" spans="1:14" x14ac:dyDescent="0.25">
      <c r="A106" s="5" t="s">
        <v>129</v>
      </c>
      <c r="B106" s="16">
        <v>131</v>
      </c>
      <c r="C106" s="16" t="str">
        <v>Clark I - CL-I 208 - 208B</v>
      </c>
      <c r="D106" s="6">
        <f>_xlfn.XLOOKUP(C106,'2023'!C:C,'2023'!A:A,"")</f>
        <v>45027.816666667</v>
      </c>
      <c r="E106" s="6">
        <f>_xlfn.XLOOKUP(C106,'2023'!C:C,'2023'!B:B,"")</f>
        <v>45028.770833333001</v>
      </c>
      <c r="F106" s="19">
        <f t="shared" si="7"/>
        <v>45027.816666667</v>
      </c>
      <c r="G106" s="6">
        <f>_xlfn.XLOOKUP(C106,'2024'!C:C,'2024'!A:A,"")</f>
        <v>45392.735416666997</v>
      </c>
      <c r="H106" s="6">
        <f>_xlfn.XLOOKUP(C107,'2024'!C:C,'2024'!B:B,"")</f>
        <v>45391.722916667</v>
      </c>
      <c r="I106" s="19">
        <f t="shared" si="4"/>
        <v>45391.722916667</v>
      </c>
      <c r="J106" s="6">
        <f>_xlfn.XLOOKUP(C106,'2025'!C:C,'2025'!A:A,"")</f>
        <v>45756.716666667002</v>
      </c>
      <c r="K106" s="6">
        <f>_xlfn.XLOOKUP(C106,'2025'!C:C,'2025'!B:B,"")</f>
        <v>45756.716666667002</v>
      </c>
      <c r="L106" s="19">
        <f t="shared" si="5"/>
        <v>45756.716666667002</v>
      </c>
      <c r="M106" s="16" cm="1">
        <f t="array" ref="M106">IFERROR(_xlfn.LET(
_xlpm.x,TRIM(C106),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6" s="16" t="b">
        <f t="shared" si="6"/>
        <v>0</v>
      </c>
    </row>
    <row r="107" spans="1:14" x14ac:dyDescent="0.25">
      <c r="A107" s="5" t="s">
        <v>653</v>
      </c>
      <c r="B107" s="16">
        <v>155</v>
      </c>
      <c r="C107" s="16" t="str">
        <v>Clark I - CL-I 209 - 209A</v>
      </c>
      <c r="D107" s="6">
        <f>_xlfn.XLOOKUP(C107,'2023'!C:C,'2023'!A:A,"")</f>
        <v>45027.816666667</v>
      </c>
      <c r="E107" s="6">
        <f>_xlfn.XLOOKUP(C107,'2023'!C:C,'2023'!B:B,"")</f>
        <v>45027.714583333</v>
      </c>
      <c r="F107" s="19">
        <f t="shared" si="7"/>
        <v>45027.714583333</v>
      </c>
      <c r="G107" s="6">
        <f>_xlfn.XLOOKUP(C107,'2024'!C:C,'2024'!A:A,"")</f>
        <v>45391.839583333</v>
      </c>
      <c r="H107" s="6">
        <f>_xlfn.XLOOKUP(C108,'2024'!C:C,'2024'!B:B,"")</f>
        <v>45393.814583332998</v>
      </c>
      <c r="I107" s="19">
        <f t="shared" si="4"/>
        <v>45391.839583333</v>
      </c>
      <c r="J107" s="6">
        <f>_xlfn.XLOOKUP(C107,'2025'!C:C,'2025'!A:A,"")</f>
        <v>45755.897916667003</v>
      </c>
      <c r="K107" s="6">
        <f>_xlfn.XLOOKUP(C107,'2025'!C:C,'2025'!B:B,"")</f>
        <v>45755.822916666999</v>
      </c>
      <c r="L107" s="19">
        <f t="shared" si="5"/>
        <v>45755.822916666999</v>
      </c>
      <c r="M107" s="16" cm="1">
        <f t="array" ref="M107">IFERROR(_xlfn.LET(
_xlpm.x,TRIM(C107),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7" s="16" t="b">
        <f t="shared" si="6"/>
        <v>0</v>
      </c>
    </row>
    <row r="108" spans="1:14" x14ac:dyDescent="0.25">
      <c r="A108" s="5" t="s">
        <v>653</v>
      </c>
      <c r="B108" s="16">
        <v>153</v>
      </c>
      <c r="C108" s="16" t="str">
        <v>Clark I - CL-I 209 - 209B</v>
      </c>
      <c r="D108" s="6">
        <f>_xlfn.XLOOKUP(C108,'2023'!C:C,'2023'!A:A,"")</f>
        <v>45027.870833333</v>
      </c>
      <c r="E108" s="6" t="str">
        <f>_xlfn.XLOOKUP(C108,'2023'!C:C,'2023'!B:B,"")</f>
        <v>No Selection Time Issued</v>
      </c>
      <c r="F108" s="19">
        <f t="shared" si="7"/>
        <v>45027.870833333</v>
      </c>
      <c r="G108" s="6">
        <f>_xlfn.XLOOKUP(C108,'2024'!C:C,'2024'!A:A,"")</f>
        <v>45391.883333332997</v>
      </c>
      <c r="H108" s="6">
        <f>_xlfn.XLOOKUP(C109,'2024'!C:C,'2024'!B:B,"")</f>
        <v>45391.768750000003</v>
      </c>
      <c r="I108" s="19">
        <f t="shared" si="4"/>
        <v>45391.768750000003</v>
      </c>
      <c r="J108" s="6">
        <f>_xlfn.XLOOKUP(C108,'2025'!C:C,'2025'!A:A,"")</f>
        <v>45755.822916666999</v>
      </c>
      <c r="K108" s="6">
        <f>_xlfn.XLOOKUP(C108,'2025'!C:C,'2025'!B:B,"")</f>
        <v>45755.822916666999</v>
      </c>
      <c r="L108" s="19">
        <f t="shared" si="5"/>
        <v>45755.822916666999</v>
      </c>
      <c r="M108" s="16" cm="1">
        <f t="array" ref="M108">IFERROR(_xlfn.LET(
_xlpm.x,TRIM(C108),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8" s="16" t="b">
        <f t="shared" si="6"/>
        <v>0</v>
      </c>
    </row>
    <row r="109" spans="1:14" x14ac:dyDescent="0.25">
      <c r="A109" s="5" t="s">
        <v>653</v>
      </c>
      <c r="B109" s="16">
        <v>154</v>
      </c>
      <c r="C109" s="16" t="str">
        <v>Clark I - CL-I 210 - 210A</v>
      </c>
      <c r="D109" s="6">
        <f>_xlfn.XLOOKUP(C109,'2023'!C:C,'2023'!A:A,"")</f>
        <v>45027.8125</v>
      </c>
      <c r="E109" s="6" t="str">
        <f>_xlfn.XLOOKUP(C109,'2023'!C:C,'2023'!B:B,"")</f>
        <v>No Selection Time Issued</v>
      </c>
      <c r="F109" s="19">
        <f t="shared" si="7"/>
        <v>45027.8125</v>
      </c>
      <c r="G109" s="6">
        <f>_xlfn.XLOOKUP(C109,'2024'!C:C,'2024'!A:A,"")</f>
        <v>45392.727083332997</v>
      </c>
      <c r="H109" s="6">
        <f>_xlfn.XLOOKUP(C110,'2024'!C:C,'2024'!B:B,"")</f>
        <v>45393.779166667002</v>
      </c>
      <c r="I109" s="19">
        <f t="shared" si="4"/>
        <v>45392.727083332997</v>
      </c>
      <c r="J109" s="6">
        <f>_xlfn.XLOOKUP(C109,'2025'!C:C,'2025'!A:A,"")</f>
        <v>45755.872916667002</v>
      </c>
      <c r="K109" s="6">
        <f>_xlfn.XLOOKUP(C109,'2025'!C:C,'2025'!B:B,"")</f>
        <v>45755.772916667003</v>
      </c>
      <c r="L109" s="19">
        <f t="shared" si="5"/>
        <v>45755.772916667003</v>
      </c>
      <c r="M109" s="16" cm="1">
        <f t="array" ref="M109">IFERROR(_xlfn.LET(
_xlpm.x,TRIM(C109),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09" s="16" t="b">
        <f t="shared" si="6"/>
        <v>0</v>
      </c>
    </row>
    <row r="110" spans="1:14" x14ac:dyDescent="0.25">
      <c r="A110" s="5" t="s">
        <v>426</v>
      </c>
      <c r="B110" s="16">
        <v>154</v>
      </c>
      <c r="C110" s="16" t="str">
        <v>Clark I - CL-I 210 - 210B</v>
      </c>
      <c r="D110" s="6">
        <f>_xlfn.XLOOKUP(C110,'2023'!C:C,'2023'!A:A,"")</f>
        <v>45028.789583332997</v>
      </c>
      <c r="E110" s="6">
        <f>_xlfn.XLOOKUP(C110,'2023'!C:C,'2023'!B:B,"")</f>
        <v>45029.747916667002</v>
      </c>
      <c r="F110" s="19">
        <f t="shared" si="7"/>
        <v>45028.789583332997</v>
      </c>
      <c r="G110" s="6">
        <f>_xlfn.XLOOKUP(C110,'2024'!C:C,'2024'!A:A,"")</f>
        <v>45392.835416667003</v>
      </c>
      <c r="H110" s="6">
        <f>_xlfn.XLOOKUP(C111,'2024'!C:C,'2024'!B:B,"")</f>
        <v>45393.724999999999</v>
      </c>
      <c r="I110" s="19">
        <f t="shared" si="4"/>
        <v>45392.835416667003</v>
      </c>
      <c r="J110" s="6">
        <f>_xlfn.XLOOKUP(C110,'2025'!C:C,'2025'!A:A,"")</f>
        <v>45755.772916667003</v>
      </c>
      <c r="K110" s="6">
        <f>_xlfn.XLOOKUP(C110,'2025'!C:C,'2025'!B:B,"")</f>
        <v>45755.772916667003</v>
      </c>
      <c r="L110" s="19">
        <f t="shared" si="5"/>
        <v>45755.772916667003</v>
      </c>
      <c r="M110" s="16" cm="1">
        <f t="array" ref="M110">IFERROR(_xlfn.LET(
_xlpm.x,TRIM(C110),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0" s="16" t="b">
        <f t="shared" si="6"/>
        <v>0</v>
      </c>
    </row>
    <row r="111" spans="1:14" x14ac:dyDescent="0.25">
      <c r="A111" s="5" t="s">
        <v>426</v>
      </c>
      <c r="B111" s="16">
        <v>143</v>
      </c>
      <c r="C111" s="16" t="str">
        <v>Clark I - CL-I 211 - 211A</v>
      </c>
      <c r="D111" s="6">
        <f>_xlfn.XLOOKUP(C111,'2023'!C:C,'2023'!A:A,"")</f>
        <v>45027.885416666999</v>
      </c>
      <c r="E111" s="6" t="str">
        <f>_xlfn.XLOOKUP(C111,'2023'!C:C,'2023'!B:B,"")</f>
        <v>No Selection Time Issued</v>
      </c>
      <c r="F111" s="19">
        <f t="shared" si="7"/>
        <v>45027.885416666999</v>
      </c>
      <c r="G111" s="6">
        <f>_xlfn.XLOOKUP(C111,'2024'!C:C,'2024'!A:A,"")</f>
        <v>45392.783333332998</v>
      </c>
      <c r="H111" s="6">
        <f>_xlfn.XLOOKUP(C112,'2024'!C:C,'2024'!B:B,"")</f>
        <v>45392.743750000001</v>
      </c>
      <c r="I111" s="19">
        <f t="shared" si="4"/>
        <v>45392.743750000001</v>
      </c>
      <c r="J111" s="6">
        <f>_xlfn.XLOOKUP(C111,'2025'!C:C,'2025'!A:A,"")</f>
        <v>45756.710416667003</v>
      </c>
      <c r="K111" s="6">
        <f>_xlfn.XLOOKUP(C111,'2025'!C:C,'2025'!B:B,"")</f>
        <v>45756.710416667003</v>
      </c>
      <c r="L111" s="19">
        <f t="shared" si="5"/>
        <v>45756.710416667003</v>
      </c>
      <c r="M111" s="16" cm="1">
        <f t="array" ref="M111">IFERROR(_xlfn.LET(
_xlpm.x,TRIM(C111),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1" s="16" t="b">
        <f t="shared" si="6"/>
        <v>0</v>
      </c>
    </row>
    <row r="112" spans="1:14" x14ac:dyDescent="0.25">
      <c r="A112" s="5" t="s">
        <v>426</v>
      </c>
      <c r="B112" s="16">
        <v>134</v>
      </c>
      <c r="C112" s="16" t="str">
        <v>Clark I - CL-I 211 - 211B</v>
      </c>
      <c r="D112" s="6">
        <f>_xlfn.XLOOKUP(C112,'2023'!C:C,'2023'!A:A,"")</f>
        <v>45028.856249999997</v>
      </c>
      <c r="E112" s="6">
        <f>_xlfn.XLOOKUP(C112,'2023'!C:C,'2023'!B:B,"")</f>
        <v>45029.729166666999</v>
      </c>
      <c r="F112" s="19">
        <f t="shared" si="7"/>
        <v>45028.856249999997</v>
      </c>
      <c r="G112" s="6">
        <f>_xlfn.XLOOKUP(C112,'2024'!C:C,'2024'!A:A,"")</f>
        <v>45392.733333333003</v>
      </c>
      <c r="H112" s="6">
        <f>_xlfn.XLOOKUP(C113,'2024'!C:C,'2024'!B:B,"")</f>
        <v>45392.745833333</v>
      </c>
      <c r="I112" s="19">
        <f t="shared" si="4"/>
        <v>45392.733333333003</v>
      </c>
      <c r="J112" s="6">
        <f>_xlfn.XLOOKUP(C112,'2025'!C:C,'2025'!A:A,"")</f>
        <v>45756.795833333003</v>
      </c>
      <c r="K112" s="6">
        <f>_xlfn.XLOOKUP(C112,'2025'!C:C,'2025'!B:B,"")</f>
        <v>45756.710416667003</v>
      </c>
      <c r="L112" s="19">
        <f t="shared" si="5"/>
        <v>45756.710416667003</v>
      </c>
      <c r="M112" s="16" cm="1">
        <f t="array" ref="M112">IFERROR(_xlfn.LET(
_xlpm.x,TRIM(C112),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2" s="16" t="b">
        <f t="shared" si="6"/>
        <v>0</v>
      </c>
    </row>
    <row r="113" spans="1:14" x14ac:dyDescent="0.25">
      <c r="A113" s="5" t="s">
        <v>426</v>
      </c>
      <c r="B113" s="16">
        <v>145</v>
      </c>
      <c r="C113" s="16" t="str">
        <v>Clark I - CL-I 212 - 212A</v>
      </c>
      <c r="D113" s="6">
        <f>_xlfn.XLOOKUP(C113,'2023'!C:C,'2023'!A:A,"")</f>
        <v>45027.84375</v>
      </c>
      <c r="E113" s="6">
        <f>_xlfn.XLOOKUP(C113,'2023'!C:C,'2023'!B:B,"")</f>
        <v>45027.722916667</v>
      </c>
      <c r="F113" s="19">
        <f t="shared" si="7"/>
        <v>45027.722916667</v>
      </c>
      <c r="G113" s="6">
        <f>_xlfn.XLOOKUP(C113,'2024'!C:C,'2024'!A:A,"")</f>
        <v>45391.775000000001</v>
      </c>
      <c r="H113" s="6">
        <f>_xlfn.XLOOKUP(C114,'2024'!C:C,'2024'!B:B,"")</f>
        <v>45393.739583333001</v>
      </c>
      <c r="I113" s="19">
        <f t="shared" si="4"/>
        <v>45391.775000000001</v>
      </c>
      <c r="J113" s="6">
        <f>_xlfn.XLOOKUP(C113,'2025'!C:C,'2025'!A:A,"")</f>
        <v>45756.708333333001</v>
      </c>
      <c r="K113" s="6">
        <f>_xlfn.XLOOKUP(C113,'2025'!C:C,'2025'!B:B,"")</f>
        <v>45756.708333333001</v>
      </c>
      <c r="L113" s="19">
        <f t="shared" si="5"/>
        <v>45756.708333333001</v>
      </c>
      <c r="M113" s="16" cm="1">
        <f t="array" ref="M113">IFERROR(_xlfn.LET(
_xlpm.x,TRIM(C113),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3" s="16" t="b">
        <f t="shared" si="6"/>
        <v>0</v>
      </c>
    </row>
    <row r="114" spans="1:14" x14ac:dyDescent="0.25">
      <c r="A114" s="5" t="s">
        <v>426</v>
      </c>
      <c r="B114" s="16">
        <v>138</v>
      </c>
      <c r="C114" s="16" t="str">
        <v>Clark I - CL-I 212 - 212B</v>
      </c>
      <c r="D114" s="6">
        <f>_xlfn.XLOOKUP(C114,'2023'!C:C,'2023'!A:A,"")</f>
        <v>45027.845833332998</v>
      </c>
      <c r="E114" s="6">
        <f>_xlfn.XLOOKUP(C114,'2023'!C:C,'2023'!B:B,"")</f>
        <v>45027.716666667002</v>
      </c>
      <c r="F114" s="19">
        <f t="shared" si="7"/>
        <v>45027.716666667002</v>
      </c>
      <c r="G114" s="6">
        <f>_xlfn.XLOOKUP(C114,'2024'!C:C,'2024'!A:A,"")</f>
        <v>45391.893750000003</v>
      </c>
      <c r="H114" s="6">
        <f>_xlfn.XLOOKUP(C115,'2024'!C:C,'2024'!B:B,"")</f>
        <v>45391.731249999997</v>
      </c>
      <c r="I114" s="19">
        <f t="shared" si="4"/>
        <v>45391.731249999997</v>
      </c>
      <c r="J114" s="6">
        <f>_xlfn.XLOOKUP(C114,'2025'!C:C,'2025'!A:A,"")</f>
        <v>45756.75</v>
      </c>
      <c r="K114" s="6">
        <f>_xlfn.XLOOKUP(C114,'2025'!C:C,'2025'!B:B,"")</f>
        <v>45756.708333333001</v>
      </c>
      <c r="L114" s="19">
        <f t="shared" si="5"/>
        <v>45756.708333333001</v>
      </c>
      <c r="M114" s="16" cm="1">
        <f t="array" ref="M114">IFERROR(_xlfn.LET(
_xlpm.x,TRIM(C114),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4" s="16" t="b">
        <f t="shared" si="6"/>
        <v>0</v>
      </c>
    </row>
    <row r="115" spans="1:14" x14ac:dyDescent="0.25">
      <c r="A115" s="5" t="s">
        <v>426</v>
      </c>
      <c r="B115" s="16">
        <v>155</v>
      </c>
      <c r="C115" s="16" t="str">
        <v>Clark I - CL-I 213 - 213A</v>
      </c>
      <c r="D115" s="6">
        <f>_xlfn.XLOOKUP(C115,'2023'!C:C,'2023'!A:A,"")</f>
        <v>45027.789583332997</v>
      </c>
      <c r="E115" s="6" t="str">
        <f>_xlfn.XLOOKUP(C115,'2023'!C:C,'2023'!B:B,"")</f>
        <v>No Selection Time Issued</v>
      </c>
      <c r="F115" s="19">
        <f t="shared" si="7"/>
        <v>45027.789583332997</v>
      </c>
      <c r="G115" s="6">
        <f>_xlfn.XLOOKUP(C115,'2024'!C:C,'2024'!A:A,"")</f>
        <v>45391.783333332998</v>
      </c>
      <c r="H115" s="6">
        <f>_xlfn.XLOOKUP(C116,'2024'!C:C,'2024'!B:B,"")</f>
        <v>45391.729166666999</v>
      </c>
      <c r="I115" s="19">
        <f t="shared" si="4"/>
        <v>45391.729166666999</v>
      </c>
      <c r="J115" s="6">
        <f>_xlfn.XLOOKUP(C115,'2025'!C:C,'2025'!A:A,"")</f>
        <v>45756.841666667002</v>
      </c>
      <c r="K115" s="6">
        <f>_xlfn.XLOOKUP(C115,'2025'!C:C,'2025'!B:B,"")</f>
        <v>45755.762499999997</v>
      </c>
      <c r="L115" s="19">
        <f t="shared" si="5"/>
        <v>45755.762499999997</v>
      </c>
      <c r="M115" s="16" cm="1">
        <f t="array" ref="M115">IFERROR(_xlfn.LET(
_xlpm.x,TRIM(C115),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5" s="16" t="b">
        <f t="shared" si="6"/>
        <v>0</v>
      </c>
    </row>
    <row r="116" spans="1:14" x14ac:dyDescent="0.25">
      <c r="A116" s="5" t="s">
        <v>109</v>
      </c>
      <c r="B116" s="16">
        <v>154</v>
      </c>
      <c r="C116" s="16" t="str">
        <v>Clark I - CL-I 213 - 213B</v>
      </c>
      <c r="D116" s="6">
        <f>_xlfn.XLOOKUP(C116,'2023'!C:C,'2023'!A:A,"")</f>
        <v>45028.747916667002</v>
      </c>
      <c r="E116" s="6">
        <f>_xlfn.XLOOKUP(C116,'2023'!C:C,'2023'!B:B,"")</f>
        <v>45027.714583333</v>
      </c>
      <c r="F116" s="19">
        <f t="shared" si="7"/>
        <v>45027.714583333</v>
      </c>
      <c r="G116" s="6">
        <f>_xlfn.XLOOKUP(C116,'2024'!C:C,'2024'!A:A,"")</f>
        <v>45391.864583333001</v>
      </c>
      <c r="H116" s="6">
        <f>_xlfn.XLOOKUP(C117,'2024'!C:C,'2024'!B:B,"")</f>
        <v>45391.733333333003</v>
      </c>
      <c r="I116" s="19">
        <f t="shared" si="4"/>
        <v>45391.733333333003</v>
      </c>
      <c r="J116" s="6">
        <f>_xlfn.XLOOKUP(C116,'2025'!C:C,'2025'!A:A,"")</f>
        <v>45755.762499999997</v>
      </c>
      <c r="K116" s="6">
        <f>_xlfn.XLOOKUP(C116,'2025'!C:C,'2025'!B:B,"")</f>
        <v>45755.762499999997</v>
      </c>
      <c r="L116" s="19">
        <f t="shared" si="5"/>
        <v>45755.762499999997</v>
      </c>
      <c r="M116" s="16" cm="1">
        <f t="array" ref="M116">IFERROR(_xlfn.LET(
_xlpm.x,TRIM(C116),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6" s="16" t="b">
        <f t="shared" si="6"/>
        <v>0</v>
      </c>
    </row>
    <row r="117" spans="1:14" x14ac:dyDescent="0.25">
      <c r="A117" s="5" t="s">
        <v>109</v>
      </c>
      <c r="B117" s="16">
        <v>234</v>
      </c>
      <c r="C117" s="16" t="str">
        <v>Clark I - CL-I 214 - 214A</v>
      </c>
      <c r="D117" s="6">
        <f>_xlfn.XLOOKUP(C117,'2023'!C:C,'2023'!A:A,"")</f>
        <v>45028.824999999997</v>
      </c>
      <c r="E117" s="6">
        <f>_xlfn.XLOOKUP(C117,'2023'!C:C,'2023'!B:B,"")</f>
        <v>45029.724999999999</v>
      </c>
      <c r="F117" s="19">
        <f t="shared" si="7"/>
        <v>45028.824999999997</v>
      </c>
      <c r="G117" s="6">
        <f>_xlfn.XLOOKUP(C117,'2024'!C:C,'2024'!A:A,"")</f>
        <v>45393.78125</v>
      </c>
      <c r="H117" s="6" t="str">
        <f>_xlfn.XLOOKUP(C118,'2024'!C:C,'2024'!B:B,"")</f>
        <v>No Selection Time Issued</v>
      </c>
      <c r="I117" s="19">
        <f t="shared" si="4"/>
        <v>45393.78125</v>
      </c>
      <c r="J117" s="6">
        <f>_xlfn.XLOOKUP(C117,'2025'!C:C,'2025'!A:A,"")</f>
        <v>45756.772916667003</v>
      </c>
      <c r="K117" s="6">
        <f>_xlfn.XLOOKUP(C117,'2025'!C:C,'2025'!B:B,"")</f>
        <v>45756.708333333001</v>
      </c>
      <c r="L117" s="19">
        <f t="shared" si="5"/>
        <v>45756.708333333001</v>
      </c>
      <c r="M117" s="16" cm="1">
        <f t="array" ref="M117">IFERROR(_xlfn.LET(
_xlpm.x,TRIM(C117),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17" s="16" t="b">
        <f t="shared" si="6"/>
        <v>0</v>
      </c>
    </row>
    <row r="118" spans="1:14" x14ac:dyDescent="0.25">
      <c r="A118" s="5" t="s">
        <v>109</v>
      </c>
      <c r="B118" s="16">
        <v>205</v>
      </c>
      <c r="C118" s="16" t="str">
        <v>Clark I - CL-I 214 - 214B</v>
      </c>
      <c r="D118" s="6">
        <f>_xlfn.XLOOKUP(C118,'2023'!C:C,'2023'!A:A,"")</f>
        <v>45028.797916666997</v>
      </c>
      <c r="E118" s="6">
        <f>_xlfn.XLOOKUP(C118,'2023'!C:C,'2023'!B:B,"")</f>
        <v>45027.727083332997</v>
      </c>
      <c r="F118" s="19">
        <f t="shared" si="7"/>
        <v>45027.727083332997</v>
      </c>
      <c r="G118" s="6">
        <f>_xlfn.XLOOKUP(C118,'2024'!C:C,'2024'!A:A,"")</f>
        <v>45393.824999999997</v>
      </c>
      <c r="H118" s="6">
        <f>_xlfn.XLOOKUP(C119,'2024'!C:C,'2024'!B:B,"")</f>
        <v>45391.791666666999</v>
      </c>
      <c r="I118" s="19">
        <f t="shared" si="4"/>
        <v>45391.791666666999</v>
      </c>
      <c r="J118" s="6">
        <f>_xlfn.XLOOKUP(C118,'2025'!C:C,'2025'!A:A,"")</f>
        <v>45757.741666667003</v>
      </c>
      <c r="K118" s="6">
        <f>_xlfn.XLOOKUP(C118,'2025'!C:C,'2025'!B:B,"")</f>
        <v>45756.708333333001</v>
      </c>
      <c r="L118" s="19">
        <f t="shared" si="5"/>
        <v>45756.708333333001</v>
      </c>
      <c r="M118" s="16" cm="1">
        <f t="array" ref="M118">IFERROR(_xlfn.LET(
_xlpm.x,TRIM(C118),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18" s="16" t="b">
        <f t="shared" si="6"/>
        <v>0</v>
      </c>
    </row>
    <row r="119" spans="1:14" x14ac:dyDescent="0.25">
      <c r="A119" s="5" t="s">
        <v>547</v>
      </c>
      <c r="B119" s="16">
        <v>165</v>
      </c>
      <c r="C119" s="16" t="str">
        <v>Clark I - CL-I 214 - 214C</v>
      </c>
      <c r="D119" s="6">
        <f>_xlfn.XLOOKUP(C119,'2023'!C:C,'2023'!A:A,"")</f>
        <v>45028.733333333003</v>
      </c>
      <c r="E119" s="6" t="str">
        <f>_xlfn.XLOOKUP(C119,'2023'!C:C,'2023'!B:B,"")</f>
        <v>No Selection Time Issued</v>
      </c>
      <c r="F119" s="19">
        <f t="shared" si="7"/>
        <v>45028.733333333003</v>
      </c>
      <c r="G119" s="6">
        <f>_xlfn.XLOOKUP(C119,'2024'!C:C,'2024'!A:A,"")</f>
        <v>45391.71875</v>
      </c>
      <c r="H119" s="6" t="str">
        <f>_xlfn.XLOOKUP(C120,'2024'!C:C,'2024'!B:B,"")</f>
        <v>No Selection Time Issued</v>
      </c>
      <c r="I119" s="19">
        <f t="shared" si="4"/>
        <v>45391.71875</v>
      </c>
      <c r="J119" s="6">
        <f>_xlfn.XLOOKUP(C119,'2025'!C:C,'2025'!A:A,"")</f>
        <v>45756.708333333001</v>
      </c>
      <c r="K119" s="6">
        <f>_xlfn.XLOOKUP(C119,'2025'!C:C,'2025'!B:B,"")</f>
        <v>45756.708333333001</v>
      </c>
      <c r="L119" s="19">
        <f t="shared" si="5"/>
        <v>45756.708333333001</v>
      </c>
      <c r="M119" s="16" cm="1">
        <f t="array" ref="M119">IFERROR(_xlfn.LET(
_xlpm.x,TRIM(C119),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19" s="16" t="b">
        <f t="shared" si="6"/>
        <v>0</v>
      </c>
    </row>
    <row r="120" spans="1:14" x14ac:dyDescent="0.25">
      <c r="A120" s="5" t="s">
        <v>547</v>
      </c>
      <c r="B120" s="16">
        <v>152</v>
      </c>
      <c r="C120" s="16" t="str">
        <v>Clark I - CL-I 216 - 216A</v>
      </c>
      <c r="D120" s="6">
        <f>_xlfn.XLOOKUP(C120,'2023'!C:C,'2023'!A:A,"")</f>
        <v>45027.829166666997</v>
      </c>
      <c r="E120" s="6">
        <f>_xlfn.XLOOKUP(C120,'2023'!C:C,'2023'!B:B,"")</f>
        <v>45027.772916667003</v>
      </c>
      <c r="F120" s="19">
        <f t="shared" si="7"/>
        <v>45027.772916667003</v>
      </c>
      <c r="G120" s="6">
        <f>_xlfn.XLOOKUP(C120,'2024'!C:C,'2024'!A:A,"")</f>
        <v>45392.724999999999</v>
      </c>
      <c r="H120" s="6">
        <f>_xlfn.XLOOKUP(C121,'2024'!C:C,'2024'!B:B,"")</f>
        <v>45393.793749999997</v>
      </c>
      <c r="I120" s="19">
        <f t="shared" si="4"/>
        <v>45392.724999999999</v>
      </c>
      <c r="J120" s="6">
        <f>_xlfn.XLOOKUP(C120,'2025'!C:C,'2025'!A:A,"")</f>
        <v>45756.712500000001</v>
      </c>
      <c r="K120" s="6">
        <f>_xlfn.XLOOKUP(C120,'2025'!C:C,'2025'!B:B,"")</f>
        <v>45756.712500000001</v>
      </c>
      <c r="L120" s="19">
        <f t="shared" si="5"/>
        <v>45756.712500000001</v>
      </c>
      <c r="M120" s="16" cm="1">
        <f t="array" ref="M120">IFERROR(_xlfn.LET(
_xlpm.x,TRIM(C120),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0" s="16" t="b">
        <f t="shared" si="6"/>
        <v>0</v>
      </c>
    </row>
    <row r="121" spans="1:14" x14ac:dyDescent="0.25">
      <c r="A121" s="5" t="s">
        <v>401</v>
      </c>
      <c r="B121" s="16">
        <v>154</v>
      </c>
      <c r="C121" s="16" t="str">
        <v>Clark I - CL-I 216 - 216B</v>
      </c>
      <c r="D121" s="6">
        <f>_xlfn.XLOOKUP(C121,'2023'!C:C,'2023'!A:A,"")</f>
        <v>45027.904166667002</v>
      </c>
      <c r="E121" s="6">
        <f>_xlfn.XLOOKUP(C121,'2023'!C:C,'2023'!B:B,"")</f>
        <v>45027.772916667003</v>
      </c>
      <c r="F121" s="19">
        <f t="shared" si="7"/>
        <v>45027.772916667003</v>
      </c>
      <c r="G121" s="6">
        <f>_xlfn.XLOOKUP(C121,'2024'!C:C,'2024'!A:A,"")</f>
        <v>45392.833333333001</v>
      </c>
      <c r="H121" s="6">
        <f>_xlfn.XLOOKUP(C122,'2024'!C:C,'2024'!B:B,"")</f>
        <v>45393.743750000001</v>
      </c>
      <c r="I121" s="19">
        <f t="shared" si="4"/>
        <v>45392.833333333001</v>
      </c>
      <c r="J121" s="6">
        <f>_xlfn.XLOOKUP(C121,'2025'!C:C,'2025'!A:A,"")</f>
        <v>45756.75</v>
      </c>
      <c r="K121" s="6">
        <f>_xlfn.XLOOKUP(C121,'2025'!C:C,'2025'!B:B,"")</f>
        <v>45756.712500000001</v>
      </c>
      <c r="L121" s="19">
        <f t="shared" si="5"/>
        <v>45756.712500000001</v>
      </c>
      <c r="M121" s="16" cm="1">
        <f t="array" ref="M121">IFERROR(_xlfn.LET(
_xlpm.x,TRIM(C121),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1" s="16" t="b">
        <f t="shared" si="6"/>
        <v>0</v>
      </c>
    </row>
    <row r="122" spans="1:14" x14ac:dyDescent="0.25">
      <c r="A122" s="5" t="s">
        <v>401</v>
      </c>
      <c r="B122" s="16">
        <v>138</v>
      </c>
      <c r="C122" s="16" t="str">
        <v>Clark I - CL-I 217 - 217A</v>
      </c>
      <c r="D122" s="6">
        <f>_xlfn.XLOOKUP(C122,'2023'!C:C,'2023'!A:A,"")</f>
        <v>45027.833333333001</v>
      </c>
      <c r="E122" s="6">
        <f>_xlfn.XLOOKUP(C122,'2023'!C:C,'2023'!B:B,"")</f>
        <v>45029.818749999999</v>
      </c>
      <c r="F122" s="19">
        <f t="shared" si="7"/>
        <v>45027.833333333001</v>
      </c>
      <c r="G122" s="6">
        <f>_xlfn.XLOOKUP(C122,'2024'!C:C,'2024'!A:A,"")</f>
        <v>45392.841666667002</v>
      </c>
      <c r="H122" s="6">
        <f>_xlfn.XLOOKUP(C123,'2024'!C:C,'2024'!B:B,"")</f>
        <v>45393.708333333001</v>
      </c>
      <c r="I122" s="19">
        <f t="shared" si="4"/>
        <v>45392.841666667002</v>
      </c>
      <c r="J122" s="6">
        <f>_xlfn.XLOOKUP(C122,'2025'!C:C,'2025'!A:A,"")</f>
        <v>45755.75</v>
      </c>
      <c r="K122" s="6">
        <f>_xlfn.XLOOKUP(C122,'2025'!C:C,'2025'!B:B,"")</f>
        <v>45755.75</v>
      </c>
      <c r="L122" s="19">
        <f t="shared" si="5"/>
        <v>45755.75</v>
      </c>
      <c r="M122" s="16" cm="1">
        <f t="array" ref="M122">IFERROR(_xlfn.LET(
_xlpm.x,TRIM(C122),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2" s="16" t="b">
        <f t="shared" si="6"/>
        <v>0</v>
      </c>
    </row>
    <row r="123" spans="1:14" x14ac:dyDescent="0.25">
      <c r="A123" s="5" t="s">
        <v>602</v>
      </c>
      <c r="B123" s="16">
        <v>143</v>
      </c>
      <c r="C123" s="16" t="str">
        <v>Clark I - CL-I 217 - 217B</v>
      </c>
      <c r="D123" s="6">
        <f>_xlfn.XLOOKUP(C123,'2023'!C:C,'2023'!A:A,"")</f>
        <v>45027.887499999997</v>
      </c>
      <c r="E123" s="6">
        <f>_xlfn.XLOOKUP(C123,'2023'!C:C,'2023'!B:B,"")</f>
        <v>45027.829166666997</v>
      </c>
      <c r="F123" s="19">
        <f t="shared" si="7"/>
        <v>45027.829166666997</v>
      </c>
      <c r="G123" s="6">
        <f>_xlfn.XLOOKUP(C123,'2024'!C:C,'2024'!A:A,"")</f>
        <v>45392.71875</v>
      </c>
      <c r="H123" s="6" t="str">
        <f>_xlfn.XLOOKUP(C124,'2024'!C:C,'2024'!B:B,"")</f>
        <v>No Selection Time Issued</v>
      </c>
      <c r="I123" s="19">
        <f t="shared" si="4"/>
        <v>45392.71875</v>
      </c>
      <c r="J123" s="6">
        <f>_xlfn.XLOOKUP(C123,'2025'!C:C,'2025'!A:A,"")</f>
        <v>45755.883333332997</v>
      </c>
      <c r="K123" s="6">
        <f>_xlfn.XLOOKUP(C123,'2025'!C:C,'2025'!B:B,"")</f>
        <v>45755.75</v>
      </c>
      <c r="L123" s="19">
        <f t="shared" si="5"/>
        <v>45755.75</v>
      </c>
      <c r="M123" s="16" cm="1">
        <f t="array" ref="M123">IFERROR(_xlfn.LET(
_xlpm.x,TRIM(C123),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3" s="16" t="b">
        <f t="shared" si="6"/>
        <v>0</v>
      </c>
    </row>
    <row r="124" spans="1:14" x14ac:dyDescent="0.25">
      <c r="A124" s="5" t="s">
        <v>602</v>
      </c>
      <c r="B124" s="16">
        <v>201</v>
      </c>
      <c r="C124" s="16" t="str">
        <v>Clark I - CL-I 218 - 218A</v>
      </c>
      <c r="D124" s="6">
        <f>_xlfn.XLOOKUP(C124,'2023'!C:C,'2023'!A:A,"")</f>
        <v>45027.764583333003</v>
      </c>
      <c r="E124" s="6">
        <f>_xlfn.XLOOKUP(C124,'2023'!C:C,'2023'!B:B,"")</f>
        <v>45028.787499999999</v>
      </c>
      <c r="F124" s="19">
        <f t="shared" si="7"/>
        <v>45027.764583333003</v>
      </c>
      <c r="G124" s="6">
        <f>_xlfn.XLOOKUP(C124,'2024'!C:C,'2024'!A:A,"")</f>
        <v>45391.787499999999</v>
      </c>
      <c r="H124" s="6">
        <f>_xlfn.XLOOKUP(C125,'2024'!C:C,'2024'!B:B,"")</f>
        <v>45393.722916667</v>
      </c>
      <c r="I124" s="19">
        <f t="shared" si="4"/>
        <v>45391.787499999999</v>
      </c>
      <c r="J124" s="6">
        <f>_xlfn.XLOOKUP(C124,'2025'!C:C,'2025'!A:A,"")</f>
        <v>45755.745833333</v>
      </c>
      <c r="K124" s="6">
        <f>_xlfn.XLOOKUP(C124,'2025'!C:C,'2025'!B:B,"")</f>
        <v>45755.745833333</v>
      </c>
      <c r="L124" s="19">
        <f t="shared" si="5"/>
        <v>45755.745833333</v>
      </c>
      <c r="M124" s="16" cm="1">
        <f t="array" ref="M124">IFERROR(_xlfn.LET(
_xlpm.x,TRIM(C124),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4" s="16" t="b">
        <f t="shared" si="6"/>
        <v>0</v>
      </c>
    </row>
    <row r="125" spans="1:14" x14ac:dyDescent="0.25">
      <c r="A125" s="5" t="s">
        <v>602</v>
      </c>
      <c r="B125" s="16">
        <v>166</v>
      </c>
      <c r="C125" s="16" t="str">
        <v>Clark I - CL-I 218 - 218B</v>
      </c>
      <c r="D125" s="6">
        <f>_xlfn.XLOOKUP(C125,'2023'!C:C,'2023'!A:A,"")</f>
        <v>45027.9</v>
      </c>
      <c r="E125" s="6">
        <f>_xlfn.XLOOKUP(C125,'2023'!C:C,'2023'!B:B,"")</f>
        <v>45027.712500000001</v>
      </c>
      <c r="F125" s="19">
        <f t="shared" si="7"/>
        <v>45027.712500000001</v>
      </c>
      <c r="G125" s="6">
        <f>_xlfn.XLOOKUP(C125,'2024'!C:C,'2024'!A:A,"")</f>
        <v>45391.845833332998</v>
      </c>
      <c r="H125" s="6">
        <f>_xlfn.XLOOKUP(C126,'2024'!C:C,'2024'!B:B,"")</f>
        <v>45392.737500000003</v>
      </c>
      <c r="I125" s="19">
        <f t="shared" si="4"/>
        <v>45391.845833332998</v>
      </c>
      <c r="J125" s="6">
        <f>_xlfn.XLOOKUP(C125,'2025'!C:C,'2025'!A:A,"")</f>
        <v>45755.775000000001</v>
      </c>
      <c r="K125" s="6">
        <f>_xlfn.XLOOKUP(C125,'2025'!C:C,'2025'!B:B,"")</f>
        <v>45755.745833333</v>
      </c>
      <c r="L125" s="19">
        <f t="shared" si="5"/>
        <v>45755.745833333</v>
      </c>
      <c r="M125" s="16" cm="1">
        <f t="array" ref="M125">IFERROR(_xlfn.LET(
_xlpm.x,TRIM(C125),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5" s="16" t="b">
        <f t="shared" si="6"/>
        <v>0</v>
      </c>
    </row>
    <row r="126" spans="1:14" x14ac:dyDescent="0.25">
      <c r="A126" s="5" t="s">
        <v>307</v>
      </c>
      <c r="B126" s="16">
        <v>132</v>
      </c>
      <c r="C126" s="16" t="str">
        <v>Clark I - CL-I 219 - 219A</v>
      </c>
      <c r="D126" s="6">
        <f>_xlfn.XLOOKUP(C126,'2023'!C:C,'2023'!A:A,"")</f>
        <v>45027.90625</v>
      </c>
      <c r="E126" s="6">
        <f>_xlfn.XLOOKUP(C126,'2023'!C:C,'2023'!B:B,"")</f>
        <v>45027.722916667</v>
      </c>
      <c r="F126" s="19">
        <f t="shared" si="7"/>
        <v>45027.722916667</v>
      </c>
      <c r="G126" s="6">
        <f>_xlfn.XLOOKUP(C126,'2024'!C:C,'2024'!A:A,"")</f>
        <v>45392.837500000001</v>
      </c>
      <c r="H126" s="6">
        <f>_xlfn.XLOOKUP(C127,'2024'!C:C,'2024'!B:B,"")</f>
        <v>45391.712500000001</v>
      </c>
      <c r="I126" s="19">
        <f t="shared" si="4"/>
        <v>45391.712500000001</v>
      </c>
      <c r="J126" s="6">
        <f>_xlfn.XLOOKUP(C126,'2025'!C:C,'2025'!A:A,"")</f>
        <v>45756.727083332997</v>
      </c>
      <c r="K126" s="6">
        <f>_xlfn.XLOOKUP(C126,'2025'!C:C,'2025'!B:B,"")</f>
        <v>45756.727083332997</v>
      </c>
      <c r="L126" s="19">
        <f t="shared" si="5"/>
        <v>45756.727083332997</v>
      </c>
      <c r="M126" s="16" cm="1">
        <f t="array" ref="M126">IFERROR(_xlfn.LET(
_xlpm.x,TRIM(C126),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6" s="16" t="b">
        <f t="shared" si="6"/>
        <v>0</v>
      </c>
    </row>
    <row r="127" spans="1:14" x14ac:dyDescent="0.25">
      <c r="A127" s="5" t="s">
        <v>307</v>
      </c>
      <c r="B127" s="16">
        <v>131</v>
      </c>
      <c r="C127" s="16" t="str">
        <v>Clark I - CL-I 219 - 219B</v>
      </c>
      <c r="D127" s="6">
        <f>_xlfn.XLOOKUP(C127,'2023'!C:C,'2023'!A:A,"")</f>
        <v>45027.85</v>
      </c>
      <c r="E127" s="6">
        <f>_xlfn.XLOOKUP(C127,'2023'!C:C,'2023'!B:B,"")</f>
        <v>45028.735416666997</v>
      </c>
      <c r="F127" s="19">
        <f t="shared" si="7"/>
        <v>45027.85</v>
      </c>
      <c r="G127" s="6">
        <f>_xlfn.XLOOKUP(C127,'2024'!C:C,'2024'!A:A,"")</f>
        <v>45392.724999999999</v>
      </c>
      <c r="H127" s="6">
        <f>_xlfn.XLOOKUP(C128,'2024'!C:C,'2024'!B:B,"")</f>
        <v>45393.708333333001</v>
      </c>
      <c r="I127" s="19">
        <f t="shared" si="4"/>
        <v>45392.724999999999</v>
      </c>
      <c r="J127" s="6">
        <f>_xlfn.XLOOKUP(C127,'2025'!C:C,'2025'!A:A,"")</f>
        <v>45756.764583333003</v>
      </c>
      <c r="K127" s="6">
        <f>_xlfn.XLOOKUP(C127,'2025'!C:C,'2025'!B:B,"")</f>
        <v>45756.727083332997</v>
      </c>
      <c r="L127" s="19">
        <f t="shared" si="5"/>
        <v>45756.727083332997</v>
      </c>
      <c r="M127" s="16" cm="1">
        <f t="array" ref="M127">IFERROR(_xlfn.LET(
_xlpm.x,TRIM(C127),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7" s="16" t="b">
        <f t="shared" si="6"/>
        <v>0</v>
      </c>
    </row>
    <row r="128" spans="1:14" x14ac:dyDescent="0.25">
      <c r="A128" s="5" t="s">
        <v>307</v>
      </c>
      <c r="B128" s="16">
        <v>156</v>
      </c>
      <c r="C128" s="16" t="str">
        <v>Clark I - CL-I 220 - 220A</v>
      </c>
      <c r="D128" s="6">
        <f>_xlfn.XLOOKUP(C128,'2023'!C:C,'2023'!A:A,"")</f>
        <v>45027.8</v>
      </c>
      <c r="E128" s="6" t="str">
        <f>_xlfn.XLOOKUP(C128,'2023'!C:C,'2023'!B:B,"")</f>
        <v>No Selection Time Issued</v>
      </c>
      <c r="F128" s="19">
        <f t="shared" si="7"/>
        <v>45027.8</v>
      </c>
      <c r="G128" s="6">
        <f>_xlfn.XLOOKUP(C128,'2024'!C:C,'2024'!A:A,"")</f>
        <v>45392.724999999999</v>
      </c>
      <c r="H128" s="6">
        <f>_xlfn.XLOOKUP(C129,'2024'!C:C,'2024'!B:B,"")</f>
        <v>45392.779166667002</v>
      </c>
      <c r="I128" s="19">
        <f t="shared" si="4"/>
        <v>45392.724999999999</v>
      </c>
      <c r="J128" s="6">
        <f>_xlfn.XLOOKUP(C128,'2025'!C:C,'2025'!A:A,"")</f>
        <v>45756.795833333003</v>
      </c>
      <c r="K128" s="6">
        <f>_xlfn.XLOOKUP(C128,'2025'!C:C,'2025'!B:B,"")</f>
        <v>45755.747916667002</v>
      </c>
      <c r="L128" s="19">
        <f t="shared" si="5"/>
        <v>45755.747916667002</v>
      </c>
      <c r="M128" s="16" cm="1">
        <f t="array" ref="M128">IFERROR(_xlfn.LET(
_xlpm.x,TRIM(C128),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8" s="16" t="b">
        <f t="shared" si="6"/>
        <v>0</v>
      </c>
    </row>
    <row r="129" spans="1:14" x14ac:dyDescent="0.25">
      <c r="A129" s="5" t="s">
        <v>65</v>
      </c>
      <c r="B129" s="16">
        <v>154</v>
      </c>
      <c r="C129" s="16" t="str">
        <v>Clark I - CL-I 220 - 220B</v>
      </c>
      <c r="D129" s="6">
        <f>_xlfn.XLOOKUP(C129,'2023'!C:C,'2023'!A:A,"")</f>
        <v>45027.852083332997</v>
      </c>
      <c r="E129" s="6">
        <f>_xlfn.XLOOKUP(C129,'2023'!C:C,'2023'!B:B,"")</f>
        <v>45027.727083332997</v>
      </c>
      <c r="F129" s="19">
        <f t="shared" si="7"/>
        <v>45027.727083332997</v>
      </c>
      <c r="G129" s="6">
        <f>_xlfn.XLOOKUP(C129,'2024'!C:C,'2024'!A:A,"")</f>
        <v>45392.8125</v>
      </c>
      <c r="H129" s="6" t="str">
        <f>_xlfn.XLOOKUP(C130,'2024'!C:C,'2024'!B:B,"")</f>
        <v/>
      </c>
      <c r="I129" s="19">
        <f t="shared" si="4"/>
        <v>45392.8125</v>
      </c>
      <c r="J129" s="6">
        <f>_xlfn.XLOOKUP(C129,'2025'!C:C,'2025'!A:A,"")</f>
        <v>45755.747916667002</v>
      </c>
      <c r="K129" s="6">
        <f>_xlfn.XLOOKUP(C129,'2025'!C:C,'2025'!B:B,"")</f>
        <v>45755.747916667002</v>
      </c>
      <c r="L129" s="19">
        <f t="shared" si="5"/>
        <v>45755.747916667002</v>
      </c>
      <c r="M129" s="16" cm="1">
        <f t="array" ref="M129">IFERROR(_xlfn.LET(
_xlpm.x,TRIM(C129),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29" s="16" t="b">
        <f t="shared" si="6"/>
        <v>0</v>
      </c>
    </row>
    <row r="130" spans="1:14" x14ac:dyDescent="0.25">
      <c r="A130" s="5" t="s">
        <v>65</v>
      </c>
      <c r="B130" s="16">
        <v>181</v>
      </c>
      <c r="C130" s="16" t="str">
        <v>Clark III - 100</v>
      </c>
      <c r="D130" s="6">
        <f>_xlfn.XLOOKUP(C130,'2023'!C:C,'2023'!A:A,"")</f>
        <v>45027.741666667003</v>
      </c>
      <c r="E130" s="6">
        <f>_xlfn.XLOOKUP(C130,'2023'!C:C,'2023'!B:B,"")</f>
        <v>45029.845833332998</v>
      </c>
      <c r="F130" s="19">
        <f t="shared" si="7"/>
        <v>45027.741666667003</v>
      </c>
      <c r="G130" s="6" t="str">
        <f>_xlfn.XLOOKUP(C130,'2024'!C:C,'2024'!A:A,"")</f>
        <v/>
      </c>
      <c r="H130" s="6">
        <f>_xlfn.XLOOKUP(C131,'2024'!C:C,'2024'!B:B,"")</f>
        <v>45391.722916667</v>
      </c>
      <c r="I130" s="19">
        <f t="shared" ref="I130:I193" si="8">_xlfn.LET(
_xlpm.ind,G130,
_xlpm.grp,H130,
IF(AND(NOT(ISNUMBER(_xlpm.ind)),NOT(ISNUMBER(_xlpm.grp))),"",
MIN(IF(ISNUMBER(_xlpm.ind),_xlpm.ind,1E+99),IF(ISNUMBER(_xlpm.grp),_xlpm.grp,1E+99))
)
)</f>
        <v>45391.722916667</v>
      </c>
      <c r="J130" s="6">
        <f>_xlfn.XLOOKUP(C130,'2025'!C:C,'2025'!A:A,"")</f>
        <v>45755.716666667002</v>
      </c>
      <c r="K130" s="6" t="str">
        <f>_xlfn.XLOOKUP(C130,'2025'!C:C,'2025'!B:B,"")</f>
        <v>No Selection Time Issued</v>
      </c>
      <c r="L130" s="19">
        <f t="shared" ref="L130:L193" si="9">_xlfn.LET(_xlpm.ind,J130,_xlpm.grp,K130,IF(AND(NOT(ISNUMBER(_xlpm.ind)),NOT(ISNUMBER(_xlpm.grp))),"",MIN(IF(ISNUMBER(_xlpm.ind),_xlpm.ind,1E+99),IF(ISNUMBER(_xlpm.grp),_xlpm.grp,1E+99))))</f>
        <v>45755.716666667002</v>
      </c>
      <c r="M130" s="16" cm="1">
        <f t="array" ref="M130">IFERROR(_xlfn.LET(
_xlpm.x,TRIM(C130),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0" s="16" t="b">
        <f t="shared" ref="N130:N193" si="10">OR(_xlfn.TEXTBEFORE(C130," - ")="Blaisdell",_xlfn.TEXTBEFORE(C130," - ")="Mudd",_xlfn.TEXTBEFORE(C130," - ")="Dialynas",_xlfn.TEXTBEFORE(C130," - ")="Sontag")</f>
        <v>0</v>
      </c>
    </row>
    <row r="131" spans="1:14" x14ac:dyDescent="0.25">
      <c r="A131" s="5" t="s">
        <v>65</v>
      </c>
      <c r="B131" s="16">
        <v>322</v>
      </c>
      <c r="C131" s="16" t="str">
        <v>Clark III - 101</v>
      </c>
      <c r="D131" s="6">
        <f>_xlfn.XLOOKUP(C131,'2023'!C:C,'2023'!A:A,"")</f>
        <v>45028.75</v>
      </c>
      <c r="E131" s="6">
        <f>_xlfn.XLOOKUP(C131,'2023'!C:C,'2023'!B:B,"")</f>
        <v>45027.710416667003</v>
      </c>
      <c r="F131" s="19">
        <f t="shared" ref="F131:F194" si="11">_xlfn.LET(
_xlpm.ind,D131,
_xlpm.grp,E131,
IF(AND(NOT(ISNUMBER(_xlpm.ind)),NOT(ISNUMBER(_xlpm.grp))),"",
MIN(IF(ISNUMBER(_xlpm.ind),_xlpm.ind,1E+99),IF(ISNUMBER(_xlpm.grp),_xlpm.grp,1E+99))
)
)</f>
        <v>45027.710416667003</v>
      </c>
      <c r="G131" s="6">
        <f>_xlfn.XLOOKUP(C131,'2024'!C:C,'2024'!A:A,"")</f>
        <v>45392.858333333003</v>
      </c>
      <c r="H131" s="6" t="str">
        <f>_xlfn.XLOOKUP(C132,'2024'!C:C,'2024'!B:B,"")</f>
        <v/>
      </c>
      <c r="I131" s="19">
        <f t="shared" si="8"/>
        <v>45392.858333333003</v>
      </c>
      <c r="J131" s="6">
        <f>_xlfn.XLOOKUP(C131,'2025'!C:C,'2025'!A:A,"")</f>
        <v>45756.762499999997</v>
      </c>
      <c r="K131" s="6">
        <f>_xlfn.XLOOKUP(C131,'2025'!C:C,'2025'!B:B,"")</f>
        <v>45756.762499999997</v>
      </c>
      <c r="L131" s="19">
        <f t="shared" si="9"/>
        <v>45756.762499999997</v>
      </c>
      <c r="M131" s="16" cm="1">
        <f t="array" ref="M131">IFERROR(_xlfn.LET(
_xlpm.x,TRIM(C131),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31" s="16" t="b">
        <f t="shared" si="10"/>
        <v>0</v>
      </c>
    </row>
    <row r="132" spans="1:14" x14ac:dyDescent="0.25">
      <c r="A132" s="5" t="s">
        <v>65</v>
      </c>
      <c r="B132" s="16">
        <v>102</v>
      </c>
      <c r="C132" s="16" t="str">
        <v>Clark III - 102</v>
      </c>
      <c r="D132" s="6">
        <f>_xlfn.XLOOKUP(C132,'2023'!C:C,'2023'!A:A,"")</f>
        <v>45027.881249999999</v>
      </c>
      <c r="E132" s="6">
        <f>_xlfn.XLOOKUP(C132,'2023'!C:C,'2023'!B:B,"")</f>
        <v>45027.745833333</v>
      </c>
      <c r="F132" s="19">
        <f t="shared" si="11"/>
        <v>45027.745833333</v>
      </c>
      <c r="G132" s="6" t="str">
        <f>_xlfn.XLOOKUP(C132,'2024'!C:C,'2024'!A:A,"")</f>
        <v/>
      </c>
      <c r="H132" s="6">
        <f>_xlfn.XLOOKUP(C133,'2024'!C:C,'2024'!B:B,"")</f>
        <v>45392.824999999997</v>
      </c>
      <c r="I132" s="19">
        <f t="shared" si="8"/>
        <v>45392.824999999997</v>
      </c>
      <c r="J132" s="6">
        <f>_xlfn.XLOOKUP(C132,'2025'!C:C,'2025'!A:A,"")</f>
        <v>45755.872916667002</v>
      </c>
      <c r="K132" s="6" t="str">
        <f>_xlfn.XLOOKUP(C132,'2025'!C:C,'2025'!B:B,"")</f>
        <v>No Selection Time Issued</v>
      </c>
      <c r="L132" s="19">
        <f t="shared" si="9"/>
        <v>45755.872916667002</v>
      </c>
      <c r="M132" s="16" cm="1">
        <f t="array" ref="M132">IFERROR(_xlfn.LET(
_xlpm.x,TRIM(C132),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2" s="16" t="b">
        <f t="shared" si="10"/>
        <v>0</v>
      </c>
    </row>
    <row r="133" spans="1:14" x14ac:dyDescent="0.25">
      <c r="A133" s="5" t="s">
        <v>65</v>
      </c>
      <c r="B133" s="16">
        <v>332</v>
      </c>
      <c r="C133" s="16" t="str">
        <v>Clark III - 103</v>
      </c>
      <c r="D133" s="6">
        <f>_xlfn.XLOOKUP(C133,'2023'!C:C,'2023'!A:A,"")</f>
        <v>45027.797916666997</v>
      </c>
      <c r="E133" s="6">
        <f>_xlfn.XLOOKUP(C133,'2023'!C:C,'2023'!B:B,"")</f>
        <v>45027.710416667003</v>
      </c>
      <c r="F133" s="19">
        <f t="shared" si="11"/>
        <v>45027.710416667003</v>
      </c>
      <c r="G133" s="6">
        <f>_xlfn.XLOOKUP(C133,'2024'!C:C,'2024'!A:A,"")</f>
        <v>45392.747916667002</v>
      </c>
      <c r="H133" s="6" t="str">
        <f>_xlfn.XLOOKUP(C134,'2024'!C:C,'2024'!B:B,"")</f>
        <v/>
      </c>
      <c r="I133" s="19">
        <f t="shared" si="8"/>
        <v>45392.747916667002</v>
      </c>
      <c r="J133" s="6">
        <f>_xlfn.XLOOKUP(C133,'2025'!C:C,'2025'!A:A,"")</f>
        <v>45755.866666667003</v>
      </c>
      <c r="K133" s="6">
        <f>_xlfn.XLOOKUP(C133,'2025'!C:C,'2025'!B:B,"")</f>
        <v>45755.866666667003</v>
      </c>
      <c r="L133" s="19">
        <f t="shared" si="9"/>
        <v>45755.866666667003</v>
      </c>
      <c r="M133" s="16" cm="1">
        <f t="array" ref="M133">IFERROR(_xlfn.LET(
_xlpm.x,TRIM(C133),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33" s="16" t="b">
        <f t="shared" si="10"/>
        <v>0</v>
      </c>
    </row>
    <row r="134" spans="1:14" x14ac:dyDescent="0.25">
      <c r="A134" s="5" t="s">
        <v>65</v>
      </c>
      <c r="B134" s="16">
        <v>146</v>
      </c>
      <c r="C134" s="16" t="str">
        <v>Clark III - 104</v>
      </c>
      <c r="D134" s="6">
        <f>_xlfn.XLOOKUP(C134,'2023'!C:C,'2023'!A:A,"")</f>
        <v>45027.872916667002</v>
      </c>
      <c r="E134" s="6" t="str">
        <f>_xlfn.XLOOKUP(C134,'2023'!C:C,'2023'!B:B,"")</f>
        <v>No Selection Time Issued</v>
      </c>
      <c r="F134" s="19">
        <f t="shared" si="11"/>
        <v>45027.872916667002</v>
      </c>
      <c r="G134" s="6" t="str">
        <f>_xlfn.XLOOKUP(C134,'2024'!C:C,'2024'!A:A,"")</f>
        <v/>
      </c>
      <c r="H134" s="6" t="str">
        <f>_xlfn.XLOOKUP(C135,'2024'!C:C,'2024'!B:B,"")</f>
        <v/>
      </c>
      <c r="I134" s="19" t="str">
        <f t="shared" si="8"/>
        <v/>
      </c>
      <c r="J134" s="6" t="str">
        <f>_xlfn.XLOOKUP(C134,'2025'!C:C,'2025'!A:A,"")</f>
        <v/>
      </c>
      <c r="K134" s="6" t="str">
        <f>_xlfn.XLOOKUP(C134,'2025'!C:C,'2025'!B:B,"")</f>
        <v/>
      </c>
      <c r="L134" s="19" t="str">
        <f t="shared" si="9"/>
        <v/>
      </c>
      <c r="M134" s="16" cm="1">
        <f t="array" ref="M134">IFERROR(_xlfn.LET(
_xlpm.x,TRIM(C134),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4" s="16" t="b">
        <f t="shared" si="10"/>
        <v>0</v>
      </c>
    </row>
    <row r="135" spans="1:14" x14ac:dyDescent="0.25">
      <c r="A135" s="5" t="s">
        <v>250</v>
      </c>
      <c r="B135" s="16">
        <v>136</v>
      </c>
      <c r="C135" s="16" t="str">
        <v>Clark III - 105</v>
      </c>
      <c r="D135" s="6">
        <f>_xlfn.XLOOKUP(C135,'2023'!C:C,'2023'!A:A,"")</f>
        <v>45027.872916667002</v>
      </c>
      <c r="E135" s="6">
        <f>_xlfn.XLOOKUP(C135,'2023'!C:C,'2023'!B:B,"")</f>
        <v>45027.708333333001</v>
      </c>
      <c r="F135" s="19">
        <f t="shared" si="11"/>
        <v>45027.708333333001</v>
      </c>
      <c r="G135" s="6" t="str">
        <f>_xlfn.XLOOKUP(C135,'2024'!C:C,'2024'!A:A,"")</f>
        <v/>
      </c>
      <c r="H135" s="6" t="str">
        <f>_xlfn.XLOOKUP(C136,'2024'!C:C,'2024'!B:B,"")</f>
        <v/>
      </c>
      <c r="I135" s="19" t="str">
        <f t="shared" si="8"/>
        <v/>
      </c>
      <c r="J135" s="6">
        <f>_xlfn.XLOOKUP(C135,'2025'!C:C,'2025'!A:A,"")</f>
        <v>45755.720833332998</v>
      </c>
      <c r="K135" s="6" t="str">
        <f>_xlfn.XLOOKUP(C135,'2025'!C:C,'2025'!B:B,"")</f>
        <v>No Selection Time Issued</v>
      </c>
      <c r="L135" s="19">
        <f t="shared" si="9"/>
        <v>45755.720833332998</v>
      </c>
      <c r="M135" s="16" cm="1">
        <f t="array" ref="M135">IFERROR(_xlfn.LET(
_xlpm.x,TRIM(C135),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5" s="16" t="b">
        <f t="shared" si="10"/>
        <v>0</v>
      </c>
    </row>
    <row r="136" spans="1:14" x14ac:dyDescent="0.25">
      <c r="A136" s="5" t="s">
        <v>250</v>
      </c>
      <c r="B136" s="16">
        <v>136</v>
      </c>
      <c r="C136" s="16" t="str">
        <v>Clark III - 106</v>
      </c>
      <c r="D136" s="6">
        <f>_xlfn.XLOOKUP(C136,'2023'!C:C,'2023'!A:A,"")</f>
        <v>45027.90625</v>
      </c>
      <c r="E136" s="6">
        <f>_xlfn.XLOOKUP(C136,'2023'!C:C,'2023'!B:B,"")</f>
        <v>45027.716666667002</v>
      </c>
      <c r="F136" s="19">
        <f t="shared" si="11"/>
        <v>45027.716666667002</v>
      </c>
      <c r="G136" s="6" t="str">
        <f>_xlfn.XLOOKUP(C136,'2024'!C:C,'2024'!A:A,"")</f>
        <v/>
      </c>
      <c r="H136" s="6">
        <f>_xlfn.XLOOKUP(C137,'2024'!C:C,'2024'!B:B,"")</f>
        <v>45393.712500000001</v>
      </c>
      <c r="I136" s="19">
        <f t="shared" si="8"/>
        <v>45393.712500000001</v>
      </c>
      <c r="J136" s="6" t="str">
        <f>_xlfn.XLOOKUP(C136,'2025'!C:C,'2025'!A:A,"")</f>
        <v/>
      </c>
      <c r="K136" s="6" t="str">
        <f>_xlfn.XLOOKUP(C136,'2025'!C:C,'2025'!B:B,"")</f>
        <v/>
      </c>
      <c r="L136" s="19" t="str">
        <f t="shared" si="9"/>
        <v/>
      </c>
      <c r="M136" s="16" cm="1">
        <f t="array" ref="M136">IFERROR(_xlfn.LET(
_xlpm.x,TRIM(C136),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6" s="16" t="b">
        <f t="shared" si="10"/>
        <v>0</v>
      </c>
    </row>
    <row r="137" spans="1:14" x14ac:dyDescent="0.25">
      <c r="A137" s="5" t="s">
        <v>250</v>
      </c>
      <c r="B137" s="16">
        <v>143</v>
      </c>
      <c r="C137" s="16" t="str">
        <v>Clark III - 107</v>
      </c>
      <c r="D137" s="6">
        <f>_xlfn.XLOOKUP(C137,'2023'!C:C,'2023'!A:A,"")</f>
        <v>45027.743750000001</v>
      </c>
      <c r="E137" s="6">
        <f>_xlfn.XLOOKUP(C137,'2023'!C:C,'2023'!B:B,"")</f>
        <v>45027.885416666999</v>
      </c>
      <c r="F137" s="19">
        <f t="shared" si="11"/>
        <v>45027.743750000001</v>
      </c>
      <c r="G137" s="6">
        <f>_xlfn.XLOOKUP(C137,'2024'!C:C,'2024'!A:A,"")</f>
        <v>45391.797916666997</v>
      </c>
      <c r="H137" s="6">
        <f>_xlfn.XLOOKUP(C138,'2024'!C:C,'2024'!B:B,"")</f>
        <v>45392.800000000003</v>
      </c>
      <c r="I137" s="19">
        <f t="shared" si="8"/>
        <v>45391.797916666997</v>
      </c>
      <c r="J137" s="6">
        <f>_xlfn.XLOOKUP(C137,'2025'!C:C,'2025'!A:A,"")</f>
        <v>45755.814583332998</v>
      </c>
      <c r="K137" s="6" t="str">
        <f>_xlfn.XLOOKUP(C137,'2025'!C:C,'2025'!B:B,"")</f>
        <v>No Selection Time Issued</v>
      </c>
      <c r="L137" s="19">
        <f t="shared" si="9"/>
        <v>45755.814583332998</v>
      </c>
      <c r="M137" s="16" cm="1">
        <f t="array" ref="M137">IFERROR(_xlfn.LET(
_xlpm.x,TRIM(C137),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7" s="16" t="b">
        <f t="shared" si="10"/>
        <v>0</v>
      </c>
    </row>
    <row r="138" spans="1:14" x14ac:dyDescent="0.25">
      <c r="A138" s="5" t="s">
        <v>673</v>
      </c>
      <c r="B138" s="16">
        <v>111</v>
      </c>
      <c r="C138" s="16" t="str">
        <v>Clark III - 111</v>
      </c>
      <c r="D138" s="6">
        <f>_xlfn.XLOOKUP(C138,'2023'!C:C,'2023'!A:A,"")</f>
        <v>45027.793749999997</v>
      </c>
      <c r="E138" s="6">
        <f>_xlfn.XLOOKUP(C138,'2023'!C:C,'2023'!B:B,"")</f>
        <v>45028.747916667002</v>
      </c>
      <c r="F138" s="19">
        <f t="shared" si="11"/>
        <v>45027.793749999997</v>
      </c>
      <c r="G138" s="6">
        <f>_xlfn.XLOOKUP(C138,'2024'!C:C,'2024'!A:A,"")</f>
        <v>45391.822916666999</v>
      </c>
      <c r="H138" s="6">
        <f>_xlfn.XLOOKUP(C139,'2024'!C:C,'2024'!B:B,"")</f>
        <v>45391.716666667002</v>
      </c>
      <c r="I138" s="19">
        <f t="shared" si="8"/>
        <v>45391.716666667002</v>
      </c>
      <c r="J138" s="6" t="str">
        <f>_xlfn.XLOOKUP(C138,'2025'!C:C,'2025'!A:A,"")</f>
        <v/>
      </c>
      <c r="K138" s="6" t="str">
        <f>_xlfn.XLOOKUP(C138,'2025'!C:C,'2025'!B:B,"")</f>
        <v/>
      </c>
      <c r="L138" s="19" t="str">
        <f t="shared" si="9"/>
        <v/>
      </c>
      <c r="M138" s="16" cm="1">
        <f t="array" ref="M138">IFERROR(_xlfn.LET(
_xlpm.x,TRIM(C138),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38" s="16" t="b">
        <f t="shared" si="10"/>
        <v>0</v>
      </c>
    </row>
    <row r="139" spans="1:14" x14ac:dyDescent="0.25">
      <c r="A139" s="5" t="s">
        <v>673</v>
      </c>
      <c r="B139" s="16">
        <v>288</v>
      </c>
      <c r="C139" s="16" t="str">
        <v>Clark III - 112</v>
      </c>
      <c r="D139" s="6">
        <f>_xlfn.XLOOKUP(C139,'2023'!C:C,'2023'!A:A,"")</f>
        <v>45028.8125</v>
      </c>
      <c r="E139" s="6">
        <f>_xlfn.XLOOKUP(C139,'2023'!C:C,'2023'!B:B,"")</f>
        <v>45027.722916667</v>
      </c>
      <c r="F139" s="19">
        <f t="shared" si="11"/>
        <v>45027.722916667</v>
      </c>
      <c r="G139" s="6">
        <f>_xlfn.XLOOKUP(C139,'2024'!C:C,'2024'!A:A,"")</f>
        <v>45392.764583333003</v>
      </c>
      <c r="H139" s="6">
        <f>_xlfn.XLOOKUP(C140,'2024'!C:C,'2024'!B:B,"")</f>
        <v>45393.727083332997</v>
      </c>
      <c r="I139" s="19">
        <f t="shared" si="8"/>
        <v>45392.764583333003</v>
      </c>
      <c r="J139" s="6">
        <f>_xlfn.XLOOKUP(C139,'2025'!C:C,'2025'!A:A,"")</f>
        <v>45756.724999999999</v>
      </c>
      <c r="K139" s="6">
        <f>_xlfn.XLOOKUP(C139,'2025'!C:C,'2025'!B:B,"")</f>
        <v>45756.724999999999</v>
      </c>
      <c r="L139" s="19">
        <f t="shared" si="9"/>
        <v>45756.724999999999</v>
      </c>
      <c r="M139" s="16" cm="1">
        <f t="array" ref="M139">IFERROR(_xlfn.LET(
_xlpm.x,TRIM(C139),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39" s="16" t="b">
        <f t="shared" si="10"/>
        <v>0</v>
      </c>
    </row>
    <row r="140" spans="1:14" x14ac:dyDescent="0.25">
      <c r="A140" s="5" t="s">
        <v>673</v>
      </c>
      <c r="B140" s="16">
        <v>161</v>
      </c>
      <c r="C140" s="16" t="str">
        <v>Clark III - 113</v>
      </c>
      <c r="D140" s="6">
        <f>_xlfn.XLOOKUP(C140,'2023'!C:C,'2023'!A:A,"")</f>
        <v>45027.839583333</v>
      </c>
      <c r="E140" s="6">
        <f>_xlfn.XLOOKUP(C140,'2023'!C:C,'2023'!B:B,"")</f>
        <v>45027.864583333001</v>
      </c>
      <c r="F140" s="19">
        <f t="shared" si="11"/>
        <v>45027.839583333</v>
      </c>
      <c r="G140" s="6">
        <f>_xlfn.XLOOKUP(C140,'2024'!C:C,'2024'!A:A,"")</f>
        <v>45391.827083333003</v>
      </c>
      <c r="H140" s="6" t="str">
        <f>_xlfn.XLOOKUP(C141,'2024'!C:C,'2024'!B:B,"")</f>
        <v>No Selection Time Issued</v>
      </c>
      <c r="I140" s="19">
        <f t="shared" si="8"/>
        <v>45391.827083333003</v>
      </c>
      <c r="J140" s="6" t="str">
        <f>_xlfn.XLOOKUP(C140,'2025'!C:C,'2025'!A:A,"")</f>
        <v/>
      </c>
      <c r="K140" s="6" t="str">
        <f>_xlfn.XLOOKUP(C140,'2025'!C:C,'2025'!B:B,"")</f>
        <v/>
      </c>
      <c r="L140" s="19" t="str">
        <f t="shared" si="9"/>
        <v/>
      </c>
      <c r="M140" s="16" cm="1">
        <f t="array" ref="M140">IFERROR(_xlfn.LET(
_xlpm.x,TRIM(C140),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0" s="16" t="b">
        <f t="shared" si="10"/>
        <v>0</v>
      </c>
    </row>
    <row r="141" spans="1:14" x14ac:dyDescent="0.25">
      <c r="A141" s="5" t="s">
        <v>311</v>
      </c>
      <c r="B141" s="16">
        <v>161</v>
      </c>
      <c r="C141" s="16" t="str">
        <v>Clark III - 114</v>
      </c>
      <c r="D141" s="6">
        <f>_xlfn.XLOOKUP(C141,'2023'!C:C,'2023'!A:A,"")</f>
        <v>45027.833333333001</v>
      </c>
      <c r="E141" s="6">
        <f>_xlfn.XLOOKUP(C141,'2023'!C:C,'2023'!B:B,"")</f>
        <v>45027.727083332997</v>
      </c>
      <c r="F141" s="19">
        <f t="shared" si="11"/>
        <v>45027.727083332997</v>
      </c>
      <c r="G141" s="6">
        <f>_xlfn.XLOOKUP(C141,'2024'!C:C,'2024'!A:A,"")</f>
        <v>45391.787499999999</v>
      </c>
      <c r="H141" s="6">
        <f>_xlfn.XLOOKUP(C142,'2024'!C:C,'2024'!B:B,"")</f>
        <v>45391.820833332997</v>
      </c>
      <c r="I141" s="19">
        <f t="shared" si="8"/>
        <v>45391.787499999999</v>
      </c>
      <c r="J141" s="6">
        <f>_xlfn.XLOOKUP(C141,'2025'!C:C,'2025'!A:A,"")</f>
        <v>45755.789583332997</v>
      </c>
      <c r="K141" s="6" t="str">
        <f>_xlfn.XLOOKUP(C141,'2025'!C:C,'2025'!B:B,"")</f>
        <v>No Selection Time Issued</v>
      </c>
      <c r="L141" s="19">
        <f t="shared" si="9"/>
        <v>45755.789583332997</v>
      </c>
      <c r="M141" s="16" cm="1">
        <f t="array" ref="M141">IFERROR(_xlfn.LET(
_xlpm.x,TRIM(C141),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1" s="16" t="b">
        <f t="shared" si="10"/>
        <v>0</v>
      </c>
    </row>
    <row r="142" spans="1:14" x14ac:dyDescent="0.25">
      <c r="A142" s="5" t="s">
        <v>311</v>
      </c>
      <c r="B142" s="16">
        <v>161</v>
      </c>
      <c r="C142" s="16" t="str">
        <v>Clark III - 115</v>
      </c>
      <c r="D142" s="6">
        <f>_xlfn.XLOOKUP(C142,'2023'!C:C,'2023'!A:A,"")</f>
        <v>45027.768750000003</v>
      </c>
      <c r="E142" s="6">
        <f>_xlfn.XLOOKUP(C142,'2023'!C:C,'2023'!B:B,"")</f>
        <v>45027.775000000001</v>
      </c>
      <c r="F142" s="19">
        <f t="shared" si="11"/>
        <v>45027.768750000003</v>
      </c>
      <c r="G142" s="6">
        <f>_xlfn.XLOOKUP(C142,'2024'!C:C,'2024'!A:A,"")</f>
        <v>45391.824999999997</v>
      </c>
      <c r="H142" s="6">
        <f>_xlfn.XLOOKUP(C143,'2024'!C:C,'2024'!B:B,"")</f>
        <v>45391.71875</v>
      </c>
      <c r="I142" s="19">
        <f t="shared" si="8"/>
        <v>45391.71875</v>
      </c>
      <c r="J142" s="6" t="str">
        <f>_xlfn.XLOOKUP(C142,'2025'!C:C,'2025'!A:A,"")</f>
        <v/>
      </c>
      <c r="K142" s="6" t="str">
        <f>_xlfn.XLOOKUP(C142,'2025'!C:C,'2025'!B:B,"")</f>
        <v/>
      </c>
      <c r="L142" s="19" t="str">
        <f t="shared" si="9"/>
        <v/>
      </c>
      <c r="M142" s="16" cm="1">
        <f t="array" ref="M142">IFERROR(_xlfn.LET(
_xlpm.x,TRIM(C142),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2" s="16" t="b">
        <f t="shared" si="10"/>
        <v>0</v>
      </c>
    </row>
    <row r="143" spans="1:14" x14ac:dyDescent="0.25">
      <c r="A143" s="5" t="s">
        <v>311</v>
      </c>
      <c r="B143" s="16">
        <v>246</v>
      </c>
      <c r="C143" s="16" t="str">
        <v>Clark III - 116</v>
      </c>
      <c r="D143" s="6">
        <f>_xlfn.XLOOKUP(C143,'2023'!C:C,'2023'!A:A,"")</f>
        <v>45028.777083333</v>
      </c>
      <c r="E143" s="6">
        <f>_xlfn.XLOOKUP(C143,'2023'!C:C,'2023'!B:B,"")</f>
        <v>45027.714583333</v>
      </c>
      <c r="F143" s="19">
        <f t="shared" si="11"/>
        <v>45027.714583333</v>
      </c>
      <c r="G143" s="6">
        <f>_xlfn.XLOOKUP(C143,'2024'!C:C,'2024'!A:A,"")</f>
        <v>45392.766666666997</v>
      </c>
      <c r="H143" s="6">
        <f>_xlfn.XLOOKUP(C144,'2024'!C:C,'2024'!B:B,"")</f>
        <v>45391.762499999997</v>
      </c>
      <c r="I143" s="19">
        <f t="shared" si="8"/>
        <v>45391.762499999997</v>
      </c>
      <c r="J143" s="6">
        <f>_xlfn.XLOOKUP(C143,'2025'!C:C,'2025'!A:A,"")</f>
        <v>45756.747916667002</v>
      </c>
      <c r="K143" s="6">
        <f>_xlfn.XLOOKUP(C143,'2025'!C:C,'2025'!B:B,"")</f>
        <v>45756.747916667002</v>
      </c>
      <c r="L143" s="19">
        <f t="shared" si="9"/>
        <v>45756.747916667002</v>
      </c>
      <c r="M143" s="16" cm="1">
        <f t="array" ref="M143">IFERROR(_xlfn.LET(
_xlpm.x,TRIM(C143),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43" s="16" t="b">
        <f t="shared" si="10"/>
        <v>0</v>
      </c>
    </row>
    <row r="144" spans="1:14" x14ac:dyDescent="0.25">
      <c r="A144" s="5" t="s">
        <v>699</v>
      </c>
      <c r="B144" s="16">
        <v>225</v>
      </c>
      <c r="C144" s="16" t="str">
        <v>Clark III - 117</v>
      </c>
      <c r="D144" s="6">
        <f>_xlfn.XLOOKUP(C144,'2023'!C:C,'2023'!A:A,"")</f>
        <v>45028.860416666997</v>
      </c>
      <c r="E144" s="6">
        <f>_xlfn.XLOOKUP(C144,'2023'!C:C,'2023'!B:B,"")</f>
        <v>45027.731249999997</v>
      </c>
      <c r="F144" s="19">
        <f t="shared" si="11"/>
        <v>45027.731249999997</v>
      </c>
      <c r="G144" s="6">
        <f>_xlfn.XLOOKUP(C144,'2024'!C:C,'2024'!A:A,"")</f>
        <v>45392.795833333003</v>
      </c>
      <c r="H144" s="6">
        <f>_xlfn.XLOOKUP(C145,'2024'!C:C,'2024'!B:B,"")</f>
        <v>45392.733333333003</v>
      </c>
      <c r="I144" s="19">
        <f t="shared" si="8"/>
        <v>45392.733333333003</v>
      </c>
      <c r="J144" s="6" t="str">
        <f>_xlfn.XLOOKUP(C144,'2025'!C:C,'2025'!A:A,"")</f>
        <v/>
      </c>
      <c r="K144" s="6" t="str">
        <f>_xlfn.XLOOKUP(C144,'2025'!C:C,'2025'!B:B,"")</f>
        <v/>
      </c>
      <c r="L144" s="19" t="str">
        <f t="shared" si="9"/>
        <v/>
      </c>
      <c r="M144" s="16" cm="1">
        <f t="array" ref="M144">IFERROR(_xlfn.LET(
_xlpm.x,TRIM(C144),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44" s="16" t="b">
        <f t="shared" si="10"/>
        <v>0</v>
      </c>
    </row>
    <row r="145" spans="1:14" x14ac:dyDescent="0.25">
      <c r="A145" s="5" t="s">
        <v>699</v>
      </c>
      <c r="B145" s="16">
        <v>147</v>
      </c>
      <c r="C145" s="16" t="str">
        <v>Clark III - 119</v>
      </c>
      <c r="D145" s="6">
        <f>_xlfn.XLOOKUP(C145,'2023'!C:C,'2023'!A:A,"")</f>
        <v>45027.847916667</v>
      </c>
      <c r="E145" s="6" t="str">
        <f>_xlfn.XLOOKUP(C145,'2023'!C:C,'2023'!B:B,"")</f>
        <v>No Selection Time Issued</v>
      </c>
      <c r="F145" s="19">
        <f t="shared" si="11"/>
        <v>45027.847916667</v>
      </c>
      <c r="G145" s="6">
        <f>_xlfn.XLOOKUP(C145,'2024'!C:C,'2024'!A:A,"")</f>
        <v>45391.816666667</v>
      </c>
      <c r="H145" s="6">
        <f>_xlfn.XLOOKUP(C146,'2024'!C:C,'2024'!B:B,"")</f>
        <v>45391.747916667002</v>
      </c>
      <c r="I145" s="19">
        <f t="shared" si="8"/>
        <v>45391.747916667002</v>
      </c>
      <c r="J145" s="6" t="str">
        <f>_xlfn.XLOOKUP(C145,'2025'!C:C,'2025'!A:A,"")</f>
        <v/>
      </c>
      <c r="K145" s="6" t="str">
        <f>_xlfn.XLOOKUP(C145,'2025'!C:C,'2025'!B:B,"")</f>
        <v/>
      </c>
      <c r="L145" s="19" t="str">
        <f t="shared" si="9"/>
        <v/>
      </c>
      <c r="M145" s="16" cm="1">
        <f t="array" ref="M145">IFERROR(_xlfn.LET(
_xlpm.x,TRIM(C145),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5" s="16" t="b">
        <f t="shared" si="10"/>
        <v>0</v>
      </c>
    </row>
    <row r="146" spans="1:14" x14ac:dyDescent="0.25">
      <c r="A146" s="5" t="s">
        <v>699</v>
      </c>
      <c r="B146" s="16">
        <v>211</v>
      </c>
      <c r="C146" s="16" t="str">
        <v>Clark III - 120</v>
      </c>
      <c r="D146" s="6">
        <f>_xlfn.XLOOKUP(C146,'2023'!C:C,'2023'!A:A,"")</f>
        <v>45028.864583333001</v>
      </c>
      <c r="E146" s="6">
        <f>_xlfn.XLOOKUP(C146,'2023'!C:C,'2023'!B:B,"")</f>
        <v>45027.747916667002</v>
      </c>
      <c r="F146" s="19">
        <f t="shared" si="11"/>
        <v>45027.747916667002</v>
      </c>
      <c r="G146" s="6">
        <f>_xlfn.XLOOKUP(C146,'2024'!C:C,'2024'!A:A,"")</f>
        <v>45392.837500000001</v>
      </c>
      <c r="H146" s="6" t="str">
        <f>_xlfn.XLOOKUP(C147,'2024'!C:C,'2024'!B:B,"")</f>
        <v/>
      </c>
      <c r="I146" s="19">
        <f t="shared" si="8"/>
        <v>45392.837500000001</v>
      </c>
      <c r="J146" s="6">
        <f>_xlfn.XLOOKUP(C146,'2025'!C:C,'2025'!A:A,"")</f>
        <v>45757.822916666999</v>
      </c>
      <c r="K146" s="6">
        <f>_xlfn.XLOOKUP(C146,'2025'!C:C,'2025'!B:B,"")</f>
        <v>45757.822916666999</v>
      </c>
      <c r="L146" s="19">
        <f t="shared" si="9"/>
        <v>45757.822916666999</v>
      </c>
      <c r="M146" s="16" cm="1">
        <f t="array" ref="M146">IFERROR(_xlfn.LET(
_xlpm.x,TRIM(C146),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46" s="16" t="b">
        <f t="shared" si="10"/>
        <v>0</v>
      </c>
    </row>
    <row r="147" spans="1:14" x14ac:dyDescent="0.25">
      <c r="A147" s="5" t="s">
        <v>312</v>
      </c>
      <c r="B147" s="16">
        <v>164</v>
      </c>
      <c r="C147" s="16" t="str">
        <v>Clark III - 121</v>
      </c>
      <c r="D147" s="6">
        <f>_xlfn.XLOOKUP(C147,'2023'!C:C,'2023'!A:A,"")</f>
        <v>45027.835416667003</v>
      </c>
      <c r="E147" s="6">
        <f>_xlfn.XLOOKUP(C147,'2023'!C:C,'2023'!B:B,"")</f>
        <v>45029.708333333001</v>
      </c>
      <c r="F147" s="19">
        <f t="shared" si="11"/>
        <v>45027.835416667003</v>
      </c>
      <c r="G147" s="6" t="str">
        <f>_xlfn.XLOOKUP(C147,'2024'!C:C,'2024'!A:A,"")</f>
        <v/>
      </c>
      <c r="H147" s="6">
        <f>_xlfn.XLOOKUP(C148,'2024'!C:C,'2024'!B:B,"")</f>
        <v>45391.712500000001</v>
      </c>
      <c r="I147" s="19">
        <f t="shared" si="8"/>
        <v>45391.712500000001</v>
      </c>
      <c r="J147" s="6" t="str">
        <f>_xlfn.XLOOKUP(C147,'2025'!C:C,'2025'!A:A,"")</f>
        <v/>
      </c>
      <c r="K147" s="6" t="str">
        <f>_xlfn.XLOOKUP(C147,'2025'!C:C,'2025'!B:B,"")</f>
        <v/>
      </c>
      <c r="L147" s="19" t="str">
        <f t="shared" si="9"/>
        <v/>
      </c>
      <c r="M147" s="16" cm="1">
        <f t="array" ref="M147">IFERROR(_xlfn.LET(
_xlpm.x,TRIM(C147),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7" s="16" t="b">
        <f t="shared" si="10"/>
        <v>0</v>
      </c>
    </row>
    <row r="148" spans="1:14" x14ac:dyDescent="0.25">
      <c r="A148" s="5" t="s">
        <v>312</v>
      </c>
      <c r="B148" s="16">
        <v>172</v>
      </c>
      <c r="C148" s="16" t="str">
        <v>Clark III - 122</v>
      </c>
      <c r="D148" s="6">
        <f>_xlfn.XLOOKUP(C148,'2023'!C:C,'2023'!A:A,"")</f>
        <v>45027.8125</v>
      </c>
      <c r="E148" s="6">
        <f>_xlfn.XLOOKUP(C148,'2023'!C:C,'2023'!B:B,"")</f>
        <v>45029.747916667002</v>
      </c>
      <c r="F148" s="19">
        <f t="shared" si="11"/>
        <v>45027.8125</v>
      </c>
      <c r="G148" s="6">
        <f>_xlfn.XLOOKUP(C148,'2024'!C:C,'2024'!A:A,"")</f>
        <v>45391.75</v>
      </c>
      <c r="H148" s="6">
        <f>_xlfn.XLOOKUP(C149,'2024'!C:C,'2024'!B:B,"")</f>
        <v>45391.731249999997</v>
      </c>
      <c r="I148" s="19">
        <f t="shared" si="8"/>
        <v>45391.731249999997</v>
      </c>
      <c r="J148" s="6">
        <f>_xlfn.XLOOKUP(C148,'2025'!C:C,'2025'!A:A,"")</f>
        <v>45755.775000000001</v>
      </c>
      <c r="K148" s="6" t="str">
        <f>_xlfn.XLOOKUP(C148,'2025'!C:C,'2025'!B:B,"")</f>
        <v>No Selection Time Issued</v>
      </c>
      <c r="L148" s="19">
        <f t="shared" si="9"/>
        <v>45755.775000000001</v>
      </c>
      <c r="M148" s="16" cm="1">
        <f t="array" ref="M148">IFERROR(_xlfn.LET(
_xlpm.x,TRIM(C148),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48" s="16" t="b">
        <f t="shared" si="10"/>
        <v>0</v>
      </c>
    </row>
    <row r="149" spans="1:14" x14ac:dyDescent="0.25">
      <c r="A149" s="5" t="s">
        <v>312</v>
      </c>
      <c r="B149" s="16">
        <v>262</v>
      </c>
      <c r="C149" s="16" t="str">
        <v>Clark III - 123</v>
      </c>
      <c r="D149" s="6">
        <f>_xlfn.XLOOKUP(C149,'2023'!C:C,'2023'!A:A,"")</f>
        <v>45028.797916666997</v>
      </c>
      <c r="E149" s="6">
        <f>_xlfn.XLOOKUP(C149,'2023'!C:C,'2023'!B:B,"")</f>
        <v>45027.735416666997</v>
      </c>
      <c r="F149" s="19">
        <f t="shared" si="11"/>
        <v>45027.735416666997</v>
      </c>
      <c r="G149" s="6">
        <f>_xlfn.XLOOKUP(C149,'2024'!C:C,'2024'!A:A,"")</f>
        <v>45392.837500000001</v>
      </c>
      <c r="H149" s="6" t="str">
        <f>_xlfn.XLOOKUP(C150,'2024'!C:C,'2024'!B:B,"")</f>
        <v/>
      </c>
      <c r="I149" s="19">
        <f t="shared" si="8"/>
        <v>45392.837500000001</v>
      </c>
      <c r="J149" s="6">
        <f>_xlfn.XLOOKUP(C149,'2025'!C:C,'2025'!A:A,"")</f>
        <v>45756.824999999997</v>
      </c>
      <c r="K149" s="6">
        <f>_xlfn.XLOOKUP(C149,'2025'!C:C,'2025'!B:B,"")</f>
        <v>45756.824999999997</v>
      </c>
      <c r="L149" s="19">
        <f t="shared" si="9"/>
        <v>45756.824999999997</v>
      </c>
      <c r="M149" s="16" cm="1">
        <f t="array" ref="M149">IFERROR(_xlfn.LET(
_xlpm.x,TRIM(C149),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49" s="16" t="b">
        <f t="shared" si="10"/>
        <v>0</v>
      </c>
    </row>
    <row r="150" spans="1:14" x14ac:dyDescent="0.25">
      <c r="A150" s="5" t="s">
        <v>723</v>
      </c>
      <c r="B150" s="16">
        <v>184</v>
      </c>
      <c r="C150" s="16" t="str">
        <v>Clark III - 200</v>
      </c>
      <c r="D150" s="6">
        <f>_xlfn.XLOOKUP(C150,'2023'!C:C,'2023'!A:A,"")</f>
        <v>45027.772916667003</v>
      </c>
      <c r="E150" s="6" t="str">
        <f>_xlfn.XLOOKUP(C150,'2023'!C:C,'2023'!B:B,"")</f>
        <v>No Selection Time Issued</v>
      </c>
      <c r="F150" s="19">
        <f t="shared" si="11"/>
        <v>45027.772916667003</v>
      </c>
      <c r="G150" s="6" t="str">
        <f>_xlfn.XLOOKUP(C150,'2024'!C:C,'2024'!A:A,"")</f>
        <v/>
      </c>
      <c r="H150" s="6" t="str">
        <f>_xlfn.XLOOKUP(C151,'2024'!C:C,'2024'!B:B,"")</f>
        <v/>
      </c>
      <c r="I150" s="19" t="str">
        <f t="shared" si="8"/>
        <v/>
      </c>
      <c r="J150" s="6">
        <f>_xlfn.XLOOKUP(C150,'2025'!C:C,'2025'!A:A,"")</f>
        <v>45755.747916667002</v>
      </c>
      <c r="K150" s="6" t="str">
        <f>_xlfn.XLOOKUP(C150,'2025'!C:C,'2025'!B:B,"")</f>
        <v>No Selection Time Issued</v>
      </c>
      <c r="L150" s="19">
        <f t="shared" si="9"/>
        <v>45755.747916667002</v>
      </c>
      <c r="M150" s="16" cm="1">
        <f t="array" ref="M150">IFERROR(_xlfn.LET(
_xlpm.x,TRIM(C150),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0" s="16" t="b">
        <f t="shared" si="10"/>
        <v>0</v>
      </c>
    </row>
    <row r="151" spans="1:14" x14ac:dyDescent="0.25">
      <c r="A151" s="5" t="s">
        <v>723</v>
      </c>
      <c r="B151" s="16">
        <v>161</v>
      </c>
      <c r="C151" s="16" t="str">
        <v>Clark III - 201</v>
      </c>
      <c r="D151" s="6">
        <f>_xlfn.XLOOKUP(C151,'2023'!C:C,'2023'!A:A,"")</f>
        <v>45027.791666666999</v>
      </c>
      <c r="E151" s="6">
        <f>_xlfn.XLOOKUP(C151,'2023'!C:C,'2023'!B:B,"")</f>
        <v>45029.712500000001</v>
      </c>
      <c r="F151" s="19">
        <f t="shared" si="11"/>
        <v>45027.791666666999</v>
      </c>
      <c r="G151" s="6" t="str">
        <f>_xlfn.XLOOKUP(C151,'2024'!C:C,'2024'!A:A,"")</f>
        <v/>
      </c>
      <c r="H151" s="6" t="str">
        <f>_xlfn.XLOOKUP(C152,'2024'!C:C,'2024'!B:B,"")</f>
        <v/>
      </c>
      <c r="I151" s="19" t="str">
        <f t="shared" si="8"/>
        <v/>
      </c>
      <c r="J151" s="6">
        <f>_xlfn.XLOOKUP(C151,'2025'!C:C,'2025'!A:A,"")</f>
        <v>45755.785416667</v>
      </c>
      <c r="K151" s="6" t="str">
        <f>_xlfn.XLOOKUP(C151,'2025'!C:C,'2025'!B:B,"")</f>
        <v>No Selection Time Issued</v>
      </c>
      <c r="L151" s="19">
        <f t="shared" si="9"/>
        <v>45755.785416667</v>
      </c>
      <c r="M151" s="16" cm="1">
        <f t="array" ref="M151">IFERROR(_xlfn.LET(
_xlpm.x,TRIM(C151),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1" s="16" t="b">
        <f t="shared" si="10"/>
        <v>0</v>
      </c>
    </row>
    <row r="152" spans="1:14" x14ac:dyDescent="0.25">
      <c r="A152" s="5" t="s">
        <v>434</v>
      </c>
      <c r="B152" s="16">
        <v>162</v>
      </c>
      <c r="C152" s="16" t="str">
        <v>Clark III - 202</v>
      </c>
      <c r="D152" s="6">
        <f>_xlfn.XLOOKUP(C152,'2023'!C:C,'2023'!A:A,"")</f>
        <v>45027.777083333</v>
      </c>
      <c r="E152" s="6" t="str">
        <f>_xlfn.XLOOKUP(C152,'2023'!C:C,'2023'!B:B,"")</f>
        <v>No Selection Time Issued</v>
      </c>
      <c r="F152" s="19">
        <f t="shared" si="11"/>
        <v>45027.777083333</v>
      </c>
      <c r="G152" s="6" t="str">
        <f>_xlfn.XLOOKUP(C152,'2024'!C:C,'2024'!A:A,"")</f>
        <v/>
      </c>
      <c r="H152" s="6">
        <f>_xlfn.XLOOKUP(C153,'2024'!C:C,'2024'!B:B,"")</f>
        <v>45391.743750000001</v>
      </c>
      <c r="I152" s="19">
        <f t="shared" si="8"/>
        <v>45391.743750000001</v>
      </c>
      <c r="J152" s="6">
        <f>_xlfn.XLOOKUP(C152,'2025'!C:C,'2025'!A:A,"")</f>
        <v>45755.762499999997</v>
      </c>
      <c r="K152" s="6" t="str">
        <f>_xlfn.XLOOKUP(C152,'2025'!C:C,'2025'!B:B,"")</f>
        <v>No Selection Time Issued</v>
      </c>
      <c r="L152" s="19">
        <f t="shared" si="9"/>
        <v>45755.762499999997</v>
      </c>
      <c r="M152" s="16" cm="1">
        <f t="array" ref="M152">IFERROR(_xlfn.LET(
_xlpm.x,TRIM(C152),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2" s="16" t="b">
        <f t="shared" si="10"/>
        <v>0</v>
      </c>
    </row>
    <row r="153" spans="1:14" x14ac:dyDescent="0.25">
      <c r="A153" s="5" t="s">
        <v>434</v>
      </c>
      <c r="B153" s="16">
        <v>130</v>
      </c>
      <c r="C153" s="16" t="str">
        <v>Clark III - 203</v>
      </c>
      <c r="D153" s="6">
        <f>_xlfn.XLOOKUP(C153,'2023'!C:C,'2023'!A:A,"")</f>
        <v>45027.845833332998</v>
      </c>
      <c r="E153" s="6">
        <f>_xlfn.XLOOKUP(C153,'2023'!C:C,'2023'!B:B,"")</f>
        <v>45029.708333333001</v>
      </c>
      <c r="F153" s="19">
        <f t="shared" si="11"/>
        <v>45027.845833332998</v>
      </c>
      <c r="G153" s="6">
        <f>_xlfn.XLOOKUP(C153,'2024'!C:C,'2024'!A:A,"")</f>
        <v>45391.911805556003</v>
      </c>
      <c r="H153" s="6" t="str">
        <f>_xlfn.XLOOKUP(C154,'2024'!C:C,'2024'!B:B,"")</f>
        <v/>
      </c>
      <c r="I153" s="19">
        <f t="shared" si="8"/>
        <v>45391.911805556003</v>
      </c>
      <c r="J153" s="6">
        <f>_xlfn.XLOOKUP(C153,'2025'!C:C,'2025'!A:A,"")</f>
        <v>45755.870833333</v>
      </c>
      <c r="K153" s="6" t="str">
        <f>_xlfn.XLOOKUP(C153,'2025'!C:C,'2025'!B:B,"")</f>
        <v>No Selection Time Issued</v>
      </c>
      <c r="L153" s="19">
        <f t="shared" si="9"/>
        <v>45755.870833333</v>
      </c>
      <c r="M153" s="16" cm="1">
        <f t="array" ref="M153">IFERROR(_xlfn.LET(
_xlpm.x,TRIM(C153),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3" s="16" t="b">
        <f t="shared" si="10"/>
        <v>0</v>
      </c>
    </row>
    <row r="154" spans="1:14" x14ac:dyDescent="0.25">
      <c r="A154" s="5" t="s">
        <v>387</v>
      </c>
      <c r="B154" s="16">
        <v>124</v>
      </c>
      <c r="C154" s="16" t="str">
        <v>Clark III - 204</v>
      </c>
      <c r="D154" s="6">
        <f>_xlfn.XLOOKUP(C154,'2023'!C:C,'2023'!A:A,"")</f>
        <v>45027.764583333003</v>
      </c>
      <c r="E154" s="6" t="str">
        <f>_xlfn.XLOOKUP(C154,'2023'!C:C,'2023'!B:B,"")</f>
        <v>No Selection Time Issued</v>
      </c>
      <c r="F154" s="19">
        <f t="shared" si="11"/>
        <v>45027.764583333003</v>
      </c>
      <c r="G154" s="6" t="str">
        <f>_xlfn.XLOOKUP(C154,'2024'!C:C,'2024'!A:A,"")</f>
        <v/>
      </c>
      <c r="H154" s="6" t="str">
        <f>_xlfn.XLOOKUP(C155,'2024'!C:C,'2024'!B:B,"")</f>
        <v/>
      </c>
      <c r="I154" s="19" t="str">
        <f t="shared" si="8"/>
        <v/>
      </c>
      <c r="J154" s="6">
        <f>_xlfn.XLOOKUP(C154,'2025'!C:C,'2025'!A:A,"")</f>
        <v>45755.885416666999</v>
      </c>
      <c r="K154" s="6" t="str">
        <f>_xlfn.XLOOKUP(C154,'2025'!C:C,'2025'!B:B,"")</f>
        <v>No Selection Time Issued</v>
      </c>
      <c r="L154" s="19">
        <f t="shared" si="9"/>
        <v>45755.885416666999</v>
      </c>
      <c r="M154" s="16" cm="1">
        <f t="array" ref="M154">IFERROR(_xlfn.LET(
_xlpm.x,TRIM(C154),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4" s="16" t="b">
        <f t="shared" si="10"/>
        <v>0</v>
      </c>
    </row>
    <row r="155" spans="1:14" x14ac:dyDescent="0.25">
      <c r="A155" s="5" t="s">
        <v>387</v>
      </c>
      <c r="B155" s="16">
        <v>121</v>
      </c>
      <c r="C155" s="16" t="str">
        <v>Clark III - 205</v>
      </c>
      <c r="D155" s="6">
        <f>_xlfn.XLOOKUP(C155,'2023'!C:C,'2023'!A:A,"")</f>
        <v>45027.870833333</v>
      </c>
      <c r="E155" s="6">
        <f>_xlfn.XLOOKUP(C155,'2023'!C:C,'2023'!B:B,"")</f>
        <v>45029.71875</v>
      </c>
      <c r="F155" s="19">
        <f t="shared" si="11"/>
        <v>45027.870833333</v>
      </c>
      <c r="G155" s="6" t="str">
        <f>_xlfn.XLOOKUP(C155,'2024'!C:C,'2024'!A:A,"")</f>
        <v/>
      </c>
      <c r="H155" s="6" t="str">
        <f>_xlfn.XLOOKUP(C156,'2024'!C:C,'2024'!B:B,"")</f>
        <v/>
      </c>
      <c r="I155" s="19" t="str">
        <f t="shared" si="8"/>
        <v/>
      </c>
      <c r="J155" s="6">
        <f>_xlfn.XLOOKUP(C155,'2025'!C:C,'2025'!A:A,"")</f>
        <v>45755.866666667003</v>
      </c>
      <c r="K155" s="6" t="str">
        <f>_xlfn.XLOOKUP(C155,'2025'!C:C,'2025'!B:B,"")</f>
        <v>No Selection Time Issued</v>
      </c>
      <c r="L155" s="19">
        <f t="shared" si="9"/>
        <v>45755.866666667003</v>
      </c>
      <c r="M155" s="16" cm="1">
        <f t="array" ref="M155">IFERROR(_xlfn.LET(
_xlpm.x,TRIM(C155),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5" s="16" t="b">
        <f t="shared" si="10"/>
        <v>0</v>
      </c>
    </row>
    <row r="156" spans="1:14" x14ac:dyDescent="0.25">
      <c r="A156" s="5" t="s">
        <v>166</v>
      </c>
      <c r="B156" s="16">
        <v>121</v>
      </c>
      <c r="C156" s="16" t="str">
        <v>Clark III - 206</v>
      </c>
      <c r="D156" s="6">
        <f>_xlfn.XLOOKUP(C156,'2023'!C:C,'2023'!A:A,"")</f>
        <v>45027.762499999997</v>
      </c>
      <c r="E156" s="6">
        <f>_xlfn.XLOOKUP(C156,'2023'!C:C,'2023'!B:B,"")</f>
        <v>45027.8</v>
      </c>
      <c r="F156" s="19">
        <f t="shared" si="11"/>
        <v>45027.762499999997</v>
      </c>
      <c r="G156" s="6" t="str">
        <f>_xlfn.XLOOKUP(C156,'2024'!C:C,'2024'!A:A,"")</f>
        <v/>
      </c>
      <c r="H156" s="6">
        <f>_xlfn.XLOOKUP(C157,'2024'!C:C,'2024'!B:B,"")</f>
        <v>45393.779166667002</v>
      </c>
      <c r="I156" s="19">
        <f t="shared" si="8"/>
        <v>45393.779166667002</v>
      </c>
      <c r="J156" s="6">
        <f>_xlfn.XLOOKUP(C156,'2025'!C:C,'2025'!A:A,"")</f>
        <v>45755.875</v>
      </c>
      <c r="K156" s="6" t="str">
        <f>_xlfn.XLOOKUP(C156,'2025'!C:C,'2025'!B:B,"")</f>
        <v>No Selection Time Issued</v>
      </c>
      <c r="L156" s="19">
        <f t="shared" si="9"/>
        <v>45755.875</v>
      </c>
      <c r="M156" s="16" cm="1">
        <f t="array" ref="M156">IFERROR(_xlfn.LET(
_xlpm.x,TRIM(C156),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6" s="16" t="b">
        <f t="shared" si="10"/>
        <v>0</v>
      </c>
    </row>
    <row r="157" spans="1:14" x14ac:dyDescent="0.25">
      <c r="A157" s="5" t="s">
        <v>166</v>
      </c>
      <c r="B157" s="16">
        <v>143</v>
      </c>
      <c r="C157" s="16" t="str">
        <v>Clark III - 209</v>
      </c>
      <c r="D157" s="6">
        <f>_xlfn.XLOOKUP(C157,'2023'!C:C,'2023'!A:A,"")</f>
        <v>45027.822916666999</v>
      </c>
      <c r="E157" s="6">
        <f>_xlfn.XLOOKUP(C157,'2023'!C:C,'2023'!B:B,"")</f>
        <v>45028.724999999999</v>
      </c>
      <c r="F157" s="19">
        <f t="shared" si="11"/>
        <v>45027.822916666999</v>
      </c>
      <c r="G157" s="6">
        <f>_xlfn.XLOOKUP(C157,'2024'!C:C,'2024'!A:A,"")</f>
        <v>45391.779166667002</v>
      </c>
      <c r="H157" s="6">
        <f>_xlfn.XLOOKUP(C158,'2024'!C:C,'2024'!B:B,"")</f>
        <v>45392.724999999999</v>
      </c>
      <c r="I157" s="19">
        <f t="shared" si="8"/>
        <v>45391.779166667002</v>
      </c>
      <c r="J157" s="6" t="str">
        <f>_xlfn.XLOOKUP(C157,'2025'!C:C,'2025'!A:A,"")</f>
        <v/>
      </c>
      <c r="K157" s="6" t="str">
        <f>_xlfn.XLOOKUP(C157,'2025'!C:C,'2025'!B:B,"")</f>
        <v/>
      </c>
      <c r="L157" s="19" t="str">
        <f t="shared" si="9"/>
        <v/>
      </c>
      <c r="M157" s="16" cm="1">
        <f t="array" ref="M157">IFERROR(_xlfn.LET(
_xlpm.x,TRIM(C157),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7" s="16" t="b">
        <f t="shared" si="10"/>
        <v>0</v>
      </c>
    </row>
    <row r="158" spans="1:14" x14ac:dyDescent="0.25">
      <c r="A158" s="5" t="s">
        <v>228</v>
      </c>
      <c r="B158" s="16">
        <v>161</v>
      </c>
      <c r="C158" s="16" t="str">
        <v>Clark III - 210</v>
      </c>
      <c r="D158" s="6">
        <f>_xlfn.XLOOKUP(C158,'2023'!C:C,'2023'!A:A,"")</f>
        <v>45027.84375</v>
      </c>
      <c r="E158" s="6">
        <f>_xlfn.XLOOKUP(C158,'2023'!C:C,'2023'!B:B,"")</f>
        <v>45027.829166666997</v>
      </c>
      <c r="F158" s="19">
        <f t="shared" si="11"/>
        <v>45027.829166666997</v>
      </c>
      <c r="G158" s="6">
        <f>_xlfn.XLOOKUP(C158,'2024'!C:C,'2024'!A:A,"")</f>
        <v>45391.8</v>
      </c>
      <c r="H158" s="6">
        <f>_xlfn.XLOOKUP(C159,'2024'!C:C,'2024'!B:B,"")</f>
        <v>45391.710416667003</v>
      </c>
      <c r="I158" s="19">
        <f t="shared" si="8"/>
        <v>45391.710416667003</v>
      </c>
      <c r="J158" s="6" t="str">
        <f>_xlfn.XLOOKUP(C158,'2025'!C:C,'2025'!A:A,"")</f>
        <v/>
      </c>
      <c r="K158" s="6" t="str">
        <f>_xlfn.XLOOKUP(C158,'2025'!C:C,'2025'!B:B,"")</f>
        <v/>
      </c>
      <c r="L158" s="19" t="str">
        <f t="shared" si="9"/>
        <v/>
      </c>
      <c r="M158" s="16" cm="1">
        <f t="array" ref="M158">IFERROR(_xlfn.LET(
_xlpm.x,TRIM(C158),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8" s="16" t="b">
        <f t="shared" si="10"/>
        <v>0</v>
      </c>
    </row>
    <row r="159" spans="1:14" x14ac:dyDescent="0.25">
      <c r="A159" s="5" t="s">
        <v>228</v>
      </c>
      <c r="B159" s="16">
        <v>166</v>
      </c>
      <c r="C159" s="16" t="str">
        <v>Clark III - 211</v>
      </c>
      <c r="D159" s="6">
        <f>_xlfn.XLOOKUP(C159,'2023'!C:C,'2023'!A:A,"")</f>
        <v>45027.90625</v>
      </c>
      <c r="E159" s="6">
        <f>_xlfn.XLOOKUP(C159,'2023'!C:C,'2023'!B:B,"")</f>
        <v>45028.724999999999</v>
      </c>
      <c r="F159" s="19">
        <f t="shared" si="11"/>
        <v>45027.90625</v>
      </c>
      <c r="G159" s="6">
        <f>_xlfn.XLOOKUP(C159,'2024'!C:C,'2024'!A:A,"")</f>
        <v>45391.741666667003</v>
      </c>
      <c r="H159" s="6" t="str">
        <f>_xlfn.XLOOKUP(C160,'2024'!C:C,'2024'!B:B,"")</f>
        <v/>
      </c>
      <c r="I159" s="19">
        <f t="shared" si="8"/>
        <v>45391.741666667003</v>
      </c>
      <c r="J159" s="6" t="str">
        <f>_xlfn.XLOOKUP(C159,'2025'!C:C,'2025'!A:A,"")</f>
        <v/>
      </c>
      <c r="K159" s="6" t="str">
        <f>_xlfn.XLOOKUP(C159,'2025'!C:C,'2025'!B:B,"")</f>
        <v/>
      </c>
      <c r="L159" s="19" t="str">
        <f t="shared" si="9"/>
        <v/>
      </c>
      <c r="M159" s="16" cm="1">
        <f t="array" ref="M159">IFERROR(_xlfn.LET(
_xlpm.x,TRIM(C159),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59" s="16" t="b">
        <f t="shared" si="10"/>
        <v>0</v>
      </c>
    </row>
    <row r="160" spans="1:14" x14ac:dyDescent="0.25">
      <c r="A160" s="5" t="s">
        <v>6</v>
      </c>
      <c r="B160" s="16">
        <v>175</v>
      </c>
      <c r="C160" s="16" t="str">
        <v>Clark III - 212</v>
      </c>
      <c r="D160" s="6" t="str">
        <f>_xlfn.XLOOKUP(C160,'2023'!C:C,'2023'!A:A,"")</f>
        <v/>
      </c>
      <c r="E160" s="6" t="str">
        <f>_xlfn.XLOOKUP(C160,'2023'!C:C,'2023'!B:B,"")</f>
        <v/>
      </c>
      <c r="F160" s="19" t="str">
        <f t="shared" si="11"/>
        <v/>
      </c>
      <c r="G160" s="6" t="str">
        <f>_xlfn.XLOOKUP(C160,'2024'!C:C,'2024'!A:A,"")</f>
        <v/>
      </c>
      <c r="H160" s="6" t="str">
        <f>_xlfn.XLOOKUP(C161,'2024'!C:C,'2024'!B:B,"")</f>
        <v/>
      </c>
      <c r="I160" s="19" t="str">
        <f t="shared" si="8"/>
        <v/>
      </c>
      <c r="J160" s="6">
        <f>_xlfn.XLOOKUP(C160,'2025'!C:C,'2025'!A:A,"")</f>
        <v>45755.722916667</v>
      </c>
      <c r="K160" s="6" t="str">
        <f>_xlfn.XLOOKUP(C160,'2025'!C:C,'2025'!B:B,"")</f>
        <v>No Selection Time Issued</v>
      </c>
      <c r="L160" s="19">
        <f t="shared" si="9"/>
        <v>45755.722916667</v>
      </c>
      <c r="M160" s="16" cm="1">
        <f t="array" ref="M160">IFERROR(_xlfn.LET(
_xlpm.x,TRIM(C160),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0" s="16" t="b">
        <f t="shared" si="10"/>
        <v>0</v>
      </c>
    </row>
    <row r="161" spans="1:14" x14ac:dyDescent="0.25">
      <c r="A161" s="5" t="s">
        <v>6</v>
      </c>
      <c r="B161" s="16">
        <v>227</v>
      </c>
      <c r="C161" s="16" t="str">
        <v>Clark III - 213</v>
      </c>
      <c r="D161" s="6">
        <f>_xlfn.XLOOKUP(C161,'2023'!C:C,'2023'!A:A,"")</f>
        <v>45027.764583333003</v>
      </c>
      <c r="E161" s="6">
        <f>_xlfn.XLOOKUP(C161,'2023'!C:C,'2023'!B:B,"")</f>
        <v>45027.797916666997</v>
      </c>
      <c r="F161" s="19">
        <f t="shared" si="11"/>
        <v>45027.764583333003</v>
      </c>
      <c r="G161" s="6" t="str">
        <f>_xlfn.XLOOKUP(C161,'2024'!C:C,'2024'!A:A,"")</f>
        <v/>
      </c>
      <c r="H161" s="6">
        <f>_xlfn.XLOOKUP(C162,'2024'!C:C,'2024'!B:B,"")</f>
        <v>45392.733333333003</v>
      </c>
      <c r="I161" s="19">
        <f t="shared" si="8"/>
        <v>45392.733333333003</v>
      </c>
      <c r="J161" s="6" t="str">
        <f>_xlfn.XLOOKUP(C161,'2025'!C:C,'2025'!A:A,"")</f>
        <v/>
      </c>
      <c r="K161" s="6" t="str">
        <f>_xlfn.XLOOKUP(C161,'2025'!C:C,'2025'!B:B,"")</f>
        <v/>
      </c>
      <c r="L161" s="19" t="str">
        <f t="shared" si="9"/>
        <v/>
      </c>
      <c r="M161" s="16" cm="1">
        <f t="array" ref="M161">IFERROR(_xlfn.LET(
_xlpm.x,TRIM(C161),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1" s="16" t="b">
        <f t="shared" si="10"/>
        <v>0</v>
      </c>
    </row>
    <row r="162" spans="1:14" x14ac:dyDescent="0.25">
      <c r="A162" s="5" t="s">
        <v>6</v>
      </c>
      <c r="B162" s="16">
        <v>165</v>
      </c>
      <c r="C162" s="16" t="str">
        <v>Clark III - 214</v>
      </c>
      <c r="D162" s="6">
        <f>_xlfn.XLOOKUP(C162,'2023'!C:C,'2023'!A:A,"")</f>
        <v>45027.827083333003</v>
      </c>
      <c r="E162" s="6">
        <f>_xlfn.XLOOKUP(C162,'2023'!C:C,'2023'!B:B,"")</f>
        <v>45028.777083333</v>
      </c>
      <c r="F162" s="19">
        <f t="shared" si="11"/>
        <v>45027.827083333003</v>
      </c>
      <c r="G162" s="6">
        <f>_xlfn.XLOOKUP(C162,'2024'!C:C,'2024'!A:A,"")</f>
        <v>45391.735416666997</v>
      </c>
      <c r="H162" s="6" t="str">
        <f>_xlfn.XLOOKUP(C163,'2024'!C:C,'2024'!B:B,"")</f>
        <v/>
      </c>
      <c r="I162" s="19">
        <f t="shared" si="8"/>
        <v>45391.735416666997</v>
      </c>
      <c r="J162" s="6">
        <f>_xlfn.XLOOKUP(C162,'2025'!C:C,'2025'!A:A,"")</f>
        <v>45755.8125</v>
      </c>
      <c r="K162" s="6" t="str">
        <f>_xlfn.XLOOKUP(C162,'2025'!C:C,'2025'!B:B,"")</f>
        <v>No Selection Time Issued</v>
      </c>
      <c r="L162" s="19">
        <f t="shared" si="9"/>
        <v>45755.8125</v>
      </c>
      <c r="M162" s="16" cm="1">
        <f t="array" ref="M162">IFERROR(_xlfn.LET(
_xlpm.x,TRIM(C162),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2" s="16" t="b">
        <f t="shared" si="10"/>
        <v>0</v>
      </c>
    </row>
    <row r="163" spans="1:14" x14ac:dyDescent="0.25">
      <c r="A163" s="5" t="s">
        <v>284</v>
      </c>
      <c r="B163" s="16">
        <v>165</v>
      </c>
      <c r="C163" s="16" t="str">
        <v>Clark III - 215</v>
      </c>
      <c r="D163" s="6">
        <f>_xlfn.XLOOKUP(C163,'2023'!C:C,'2023'!A:A,"")</f>
        <v>45027.85</v>
      </c>
      <c r="E163" s="6">
        <f>_xlfn.XLOOKUP(C163,'2023'!C:C,'2023'!B:B,"")</f>
        <v>45027.8</v>
      </c>
      <c r="F163" s="19">
        <f t="shared" si="11"/>
        <v>45027.8</v>
      </c>
      <c r="G163" s="6" t="str">
        <f>_xlfn.XLOOKUP(C163,'2024'!C:C,'2024'!A:A,"")</f>
        <v/>
      </c>
      <c r="H163" s="6">
        <f>_xlfn.XLOOKUP(C164,'2024'!C:C,'2024'!B:B,"")</f>
        <v>45392.720833332998</v>
      </c>
      <c r="I163" s="19">
        <f t="shared" si="8"/>
        <v>45392.720833332998</v>
      </c>
      <c r="J163" s="6">
        <f>_xlfn.XLOOKUP(C163,'2025'!C:C,'2025'!A:A,"")</f>
        <v>45755.768750000003</v>
      </c>
      <c r="K163" s="6">
        <f>_xlfn.XLOOKUP(C163,'2025'!C:C,'2025'!B:B,"")</f>
        <v>45755.768750000003</v>
      </c>
      <c r="L163" s="19">
        <f t="shared" si="9"/>
        <v>45755.768750000003</v>
      </c>
      <c r="M163" s="16" cm="1">
        <f t="array" ref="M163">IFERROR(_xlfn.LET(
_xlpm.x,TRIM(C163),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3" s="16" t="b">
        <f t="shared" si="10"/>
        <v>0</v>
      </c>
    </row>
    <row r="164" spans="1:14" x14ac:dyDescent="0.25">
      <c r="A164" s="5" t="s">
        <v>284</v>
      </c>
      <c r="B164" s="16">
        <v>201</v>
      </c>
      <c r="C164" s="16" t="str">
        <v>Clark III - 216</v>
      </c>
      <c r="D164" s="6">
        <f>_xlfn.XLOOKUP(C164,'2023'!C:C,'2023'!A:A,"")</f>
        <v>45028.862500000003</v>
      </c>
      <c r="E164" s="6">
        <f>_xlfn.XLOOKUP(C164,'2023'!C:C,'2023'!B:B,"")</f>
        <v>45027.731249999997</v>
      </c>
      <c r="F164" s="19">
        <f t="shared" si="11"/>
        <v>45027.731249999997</v>
      </c>
      <c r="G164" s="6">
        <f>_xlfn.XLOOKUP(C164,'2024'!C:C,'2024'!A:A,"")</f>
        <v>45392.854166666999</v>
      </c>
      <c r="H164" s="6">
        <f>_xlfn.XLOOKUP(C165,'2024'!C:C,'2024'!B:B,"")</f>
        <v>45391.71875</v>
      </c>
      <c r="I164" s="19">
        <f t="shared" si="8"/>
        <v>45391.71875</v>
      </c>
      <c r="J164" s="6" t="str">
        <f>_xlfn.XLOOKUP(C164,'2025'!C:C,'2025'!A:A,"")</f>
        <v/>
      </c>
      <c r="K164" s="6" t="str">
        <f>_xlfn.XLOOKUP(C164,'2025'!C:C,'2025'!B:B,"")</f>
        <v/>
      </c>
      <c r="L164" s="19" t="str">
        <f t="shared" si="9"/>
        <v/>
      </c>
      <c r="M164" s="16" cm="1">
        <f t="array" ref="M164">IFERROR(_xlfn.LET(
_xlpm.x,TRIM(C164),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64" s="16" t="b">
        <f t="shared" si="10"/>
        <v>0</v>
      </c>
    </row>
    <row r="165" spans="1:14" x14ac:dyDescent="0.25">
      <c r="A165" s="5" t="s">
        <v>284</v>
      </c>
      <c r="B165" s="16">
        <v>161</v>
      </c>
      <c r="C165" s="16" t="str">
        <v>Clark III - 217</v>
      </c>
      <c r="D165" s="6">
        <f>_xlfn.XLOOKUP(C165,'2023'!C:C,'2023'!A:A,"")</f>
        <v>45027.802083333001</v>
      </c>
      <c r="E165" s="6">
        <f>_xlfn.XLOOKUP(C165,'2023'!C:C,'2023'!B:B,"")</f>
        <v>45027.714583333</v>
      </c>
      <c r="F165" s="19">
        <f t="shared" si="11"/>
        <v>45027.714583333</v>
      </c>
      <c r="G165" s="6">
        <f>_xlfn.XLOOKUP(C165,'2024'!C:C,'2024'!A:A,"")</f>
        <v>45391.822916666999</v>
      </c>
      <c r="H165" s="6">
        <f>_xlfn.XLOOKUP(C166,'2024'!C:C,'2024'!B:B,"")</f>
        <v>45393.787499999999</v>
      </c>
      <c r="I165" s="19">
        <f t="shared" si="8"/>
        <v>45391.822916666999</v>
      </c>
      <c r="J165" s="6">
        <f>_xlfn.XLOOKUP(C165,'2025'!C:C,'2025'!A:A,"")</f>
        <v>45755.822916666999</v>
      </c>
      <c r="K165" s="6" t="str">
        <f>_xlfn.XLOOKUP(C165,'2025'!C:C,'2025'!B:B,"")</f>
        <v>No Selection Time Issued</v>
      </c>
      <c r="L165" s="19">
        <f t="shared" si="9"/>
        <v>45755.822916666999</v>
      </c>
      <c r="M165" s="16" cm="1">
        <f t="array" ref="M165">IFERROR(_xlfn.LET(
_xlpm.x,TRIM(C165),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5" s="16" t="b">
        <f t="shared" si="10"/>
        <v>0</v>
      </c>
    </row>
    <row r="166" spans="1:14" x14ac:dyDescent="0.25">
      <c r="A166" s="5" t="s">
        <v>67</v>
      </c>
      <c r="B166" s="16">
        <v>161</v>
      </c>
      <c r="C166" s="16" t="str">
        <v>Clark III - 218</v>
      </c>
      <c r="D166" s="6">
        <f>_xlfn.XLOOKUP(C166,'2023'!C:C,'2023'!A:A,"")</f>
        <v>45027.837500000001</v>
      </c>
      <c r="E166" s="6">
        <f>_xlfn.XLOOKUP(C166,'2023'!C:C,'2023'!B:B,"")</f>
        <v>45027.724999999999</v>
      </c>
      <c r="F166" s="19">
        <f t="shared" si="11"/>
        <v>45027.724999999999</v>
      </c>
      <c r="G166" s="6">
        <f>_xlfn.XLOOKUP(C166,'2024'!C:C,'2024'!A:A,"")</f>
        <v>45391.766666666997</v>
      </c>
      <c r="H166" s="6">
        <f>_xlfn.XLOOKUP(C167,'2024'!C:C,'2024'!B:B,"")</f>
        <v>45392.733333333003</v>
      </c>
      <c r="I166" s="19">
        <f t="shared" si="8"/>
        <v>45391.766666666997</v>
      </c>
      <c r="J166" s="6">
        <f>_xlfn.XLOOKUP(C166,'2025'!C:C,'2025'!A:A,"")</f>
        <v>45755.820833332997</v>
      </c>
      <c r="K166" s="6" t="str">
        <f>_xlfn.XLOOKUP(C166,'2025'!C:C,'2025'!B:B,"")</f>
        <v>No Selection Time Issued</v>
      </c>
      <c r="L166" s="19">
        <f t="shared" si="9"/>
        <v>45755.820833332997</v>
      </c>
      <c r="M166" s="16" cm="1">
        <f t="array" ref="M166">IFERROR(_xlfn.LET(
_xlpm.x,TRIM(C166),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6" s="16" t="b">
        <f t="shared" si="10"/>
        <v>0</v>
      </c>
    </row>
    <row r="167" spans="1:14" x14ac:dyDescent="0.25">
      <c r="A167" s="5" t="s">
        <v>67</v>
      </c>
      <c r="B167" s="16">
        <v>161</v>
      </c>
      <c r="C167" s="16" t="str">
        <v>Clark III - 219</v>
      </c>
      <c r="D167" s="6">
        <f>_xlfn.XLOOKUP(C167,'2023'!C:C,'2023'!A:A,"")</f>
        <v>45027.854166666999</v>
      </c>
      <c r="E167" s="6">
        <f>_xlfn.XLOOKUP(C167,'2023'!C:C,'2023'!B:B,"")</f>
        <v>45027.8</v>
      </c>
      <c r="F167" s="19">
        <f t="shared" si="11"/>
        <v>45027.8</v>
      </c>
      <c r="G167" s="6">
        <f>_xlfn.XLOOKUP(C167,'2024'!C:C,'2024'!A:A,"")</f>
        <v>45391.841666667002</v>
      </c>
      <c r="H167" s="6">
        <f>_xlfn.XLOOKUP(C168,'2024'!C:C,'2024'!B:B,"")</f>
        <v>45391.864583333001</v>
      </c>
      <c r="I167" s="19">
        <f t="shared" si="8"/>
        <v>45391.841666667002</v>
      </c>
      <c r="J167" s="6">
        <f>_xlfn.XLOOKUP(C167,'2025'!C:C,'2025'!A:A,"")</f>
        <v>45755.824999999997</v>
      </c>
      <c r="K167" s="6" t="str">
        <f>_xlfn.XLOOKUP(C167,'2025'!C:C,'2025'!B:B,"")</f>
        <v>No Selection Time Issued</v>
      </c>
      <c r="L167" s="19">
        <f t="shared" si="9"/>
        <v>45755.824999999997</v>
      </c>
      <c r="M167" s="16" cm="1">
        <f t="array" ref="M167">IFERROR(_xlfn.LET(
_xlpm.x,TRIM(C167),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7" s="16" t="b">
        <f t="shared" si="10"/>
        <v>0</v>
      </c>
    </row>
    <row r="168" spans="1:14" x14ac:dyDescent="0.25">
      <c r="A168" s="5" t="s">
        <v>67</v>
      </c>
      <c r="B168" s="16">
        <v>247</v>
      </c>
      <c r="C168" s="16" t="str">
        <v>Clark III - 220</v>
      </c>
      <c r="D168" s="6">
        <f>_xlfn.XLOOKUP(C168,'2023'!C:C,'2023'!A:A,"")</f>
        <v>45028.739583333001</v>
      </c>
      <c r="E168" s="6">
        <f>_xlfn.XLOOKUP(C168,'2023'!C:C,'2023'!B:B,"")</f>
        <v>45027.779166667002</v>
      </c>
      <c r="F168" s="19">
        <f t="shared" si="11"/>
        <v>45027.779166667002</v>
      </c>
      <c r="G168" s="6">
        <f>_xlfn.XLOOKUP(C168,'2024'!C:C,'2024'!A:A,"")</f>
        <v>45392.768750000003</v>
      </c>
      <c r="H168" s="6">
        <f>_xlfn.XLOOKUP(C169,'2024'!C:C,'2024'!B:B,"")</f>
        <v>45391.708333333001</v>
      </c>
      <c r="I168" s="19">
        <f t="shared" si="8"/>
        <v>45391.708333333001</v>
      </c>
      <c r="J168" s="6">
        <f>_xlfn.XLOOKUP(C168,'2025'!C:C,'2025'!A:A,"")</f>
        <v>45756.831250000003</v>
      </c>
      <c r="K168" s="6">
        <f>_xlfn.XLOOKUP(C168,'2025'!C:C,'2025'!B:B,"")</f>
        <v>45756.827083333003</v>
      </c>
      <c r="L168" s="19">
        <f t="shared" si="9"/>
        <v>45756.827083333003</v>
      </c>
      <c r="M168" s="16" cm="1">
        <f t="array" ref="M168">IFERROR(_xlfn.LET(
_xlpm.x,TRIM(C168),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68" s="16" t="b">
        <f t="shared" si="10"/>
        <v>0</v>
      </c>
    </row>
    <row r="169" spans="1:14" x14ac:dyDescent="0.25">
      <c r="A169" s="5" t="s">
        <v>151</v>
      </c>
      <c r="B169" s="16">
        <v>141</v>
      </c>
      <c r="C169" s="16" t="str">
        <v>Clark III - 221</v>
      </c>
      <c r="D169" s="6">
        <f>_xlfn.XLOOKUP(C169,'2023'!C:C,'2023'!A:A,"")</f>
        <v>45027.829166666997</v>
      </c>
      <c r="E169" s="6">
        <f>_xlfn.XLOOKUP(C169,'2023'!C:C,'2023'!B:B,"")</f>
        <v>45027.787499999999</v>
      </c>
      <c r="F169" s="19">
        <f t="shared" si="11"/>
        <v>45027.787499999999</v>
      </c>
      <c r="G169" s="6">
        <f>_xlfn.XLOOKUP(C169,'2024'!C:C,'2024'!A:A,"")</f>
        <v>45391.839583333</v>
      </c>
      <c r="H169" s="6">
        <f>_xlfn.XLOOKUP(C170,'2024'!C:C,'2024'!B:B,"")</f>
        <v>45393.708333333001</v>
      </c>
      <c r="I169" s="19">
        <f t="shared" si="8"/>
        <v>45391.839583333</v>
      </c>
      <c r="J169" s="6">
        <f>_xlfn.XLOOKUP(C169,'2025'!C:C,'2025'!A:A,"")</f>
        <v>45755.866666667003</v>
      </c>
      <c r="K169" s="6" t="str">
        <f>_xlfn.XLOOKUP(C169,'2025'!C:C,'2025'!B:B,"")</f>
        <v>No Selection Time Issued</v>
      </c>
      <c r="L169" s="19">
        <f t="shared" si="9"/>
        <v>45755.866666667003</v>
      </c>
      <c r="M169" s="16" cm="1">
        <f t="array" ref="M169">IFERROR(_xlfn.LET(
_xlpm.x,TRIM(C169),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69" s="16" t="b">
        <f t="shared" si="10"/>
        <v>0</v>
      </c>
    </row>
    <row r="170" spans="1:14" x14ac:dyDescent="0.25">
      <c r="A170" s="5" t="s">
        <v>151</v>
      </c>
      <c r="B170" s="16">
        <v>147</v>
      </c>
      <c r="C170" s="16" t="str">
        <v>Clark III - 222</v>
      </c>
      <c r="D170" s="6">
        <f>_xlfn.XLOOKUP(C170,'2023'!C:C,'2023'!A:A,"")</f>
        <v>45027.864583333001</v>
      </c>
      <c r="E170" s="6">
        <f>_xlfn.XLOOKUP(C170,'2023'!C:C,'2023'!B:B,"")</f>
        <v>45027.724999999999</v>
      </c>
      <c r="F170" s="19">
        <f t="shared" si="11"/>
        <v>45027.724999999999</v>
      </c>
      <c r="G170" s="6">
        <f>_xlfn.XLOOKUP(C170,'2024'!C:C,'2024'!A:A,"")</f>
        <v>45391.777083333</v>
      </c>
      <c r="H170" s="6">
        <f>_xlfn.XLOOKUP(C171,'2024'!C:C,'2024'!B:B,"")</f>
        <v>45392.760416666999</v>
      </c>
      <c r="I170" s="19">
        <f t="shared" si="8"/>
        <v>45391.777083333</v>
      </c>
      <c r="J170" s="6">
        <f>_xlfn.XLOOKUP(C170,'2025'!C:C,'2025'!A:A,"")</f>
        <v>45755.866666667003</v>
      </c>
      <c r="K170" s="6" t="str">
        <f>_xlfn.XLOOKUP(C170,'2025'!C:C,'2025'!B:B,"")</f>
        <v>No Selection Time Issued</v>
      </c>
      <c r="L170" s="19">
        <f t="shared" si="9"/>
        <v>45755.866666667003</v>
      </c>
      <c r="M170" s="16" cm="1">
        <f t="array" ref="M170">IFERROR(_xlfn.LET(
_xlpm.x,TRIM(C170),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0" s="16" t="b">
        <f t="shared" si="10"/>
        <v>0</v>
      </c>
    </row>
    <row r="171" spans="1:14" x14ac:dyDescent="0.25">
      <c r="A171" s="5" t="s">
        <v>151</v>
      </c>
      <c r="B171" s="16">
        <v>146</v>
      </c>
      <c r="C171" s="16" t="str">
        <v>Clark III - 223</v>
      </c>
      <c r="D171" s="6">
        <f>_xlfn.XLOOKUP(C171,'2023'!C:C,'2023'!A:A,"")</f>
        <v>45027.866666667003</v>
      </c>
      <c r="E171" s="6">
        <f>_xlfn.XLOOKUP(C171,'2023'!C:C,'2023'!B:B,"")</f>
        <v>45028.733333333003</v>
      </c>
      <c r="F171" s="19">
        <f t="shared" si="11"/>
        <v>45027.866666667003</v>
      </c>
      <c r="G171" s="6">
        <f>_xlfn.XLOOKUP(C171,'2024'!C:C,'2024'!A:A,"")</f>
        <v>45391.777083333</v>
      </c>
      <c r="H171" s="6">
        <f>_xlfn.XLOOKUP(C172,'2024'!C:C,'2024'!B:B,"")</f>
        <v>45391.762499999997</v>
      </c>
      <c r="I171" s="19">
        <f t="shared" si="8"/>
        <v>45391.762499999997</v>
      </c>
      <c r="J171" s="6">
        <f>_xlfn.XLOOKUP(C171,'2025'!C:C,'2025'!A:A,"")</f>
        <v>45755.831250000003</v>
      </c>
      <c r="K171" s="6" t="str">
        <f>_xlfn.XLOOKUP(C171,'2025'!C:C,'2025'!B:B,"")</f>
        <v>No Selection Time Issued</v>
      </c>
      <c r="L171" s="19">
        <f t="shared" si="9"/>
        <v>45755.831250000003</v>
      </c>
      <c r="M171" s="16" cm="1">
        <f t="array" ref="M171">IFERROR(_xlfn.LET(
_xlpm.x,TRIM(C171),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1" s="16" t="b">
        <f t="shared" si="10"/>
        <v>0</v>
      </c>
    </row>
    <row r="172" spans="1:14" x14ac:dyDescent="0.25">
      <c r="A172" s="5" t="s">
        <v>263</v>
      </c>
      <c r="B172" s="16">
        <v>209</v>
      </c>
      <c r="C172" s="16" t="str">
        <v>Clark III - 224</v>
      </c>
      <c r="D172" s="6">
        <f>_xlfn.XLOOKUP(C172,'2023'!C:C,'2023'!A:A,"")</f>
        <v>45028.787499999999</v>
      </c>
      <c r="E172" s="6">
        <f>_xlfn.XLOOKUP(C172,'2023'!C:C,'2023'!B:B,"")</f>
        <v>45027.708333333001</v>
      </c>
      <c r="F172" s="19">
        <f t="shared" si="11"/>
        <v>45027.708333333001</v>
      </c>
      <c r="G172" s="6">
        <f>_xlfn.XLOOKUP(C172,'2024'!C:C,'2024'!A:A,"")</f>
        <v>45392.822916666999</v>
      </c>
      <c r="H172" s="6">
        <f>_xlfn.XLOOKUP(C173,'2024'!C:C,'2024'!B:B,"")</f>
        <v>45393.708333333001</v>
      </c>
      <c r="I172" s="19">
        <f t="shared" si="8"/>
        <v>45392.822916666999</v>
      </c>
      <c r="J172" s="6" t="str">
        <f>_xlfn.XLOOKUP(C172,'2025'!C:C,'2025'!A:A,"")</f>
        <v/>
      </c>
      <c r="K172" s="6" t="str">
        <f>_xlfn.XLOOKUP(C172,'2025'!C:C,'2025'!B:B,"")</f>
        <v/>
      </c>
      <c r="L172" s="19" t="str">
        <f t="shared" si="9"/>
        <v/>
      </c>
      <c r="M172" s="16" cm="1">
        <f t="array" ref="M172">IFERROR(_xlfn.LET(
_xlpm.x,TRIM(C172),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72" s="16" t="b">
        <f t="shared" si="10"/>
        <v>0</v>
      </c>
    </row>
    <row r="173" spans="1:14" x14ac:dyDescent="0.25">
      <c r="A173" s="5" t="s">
        <v>263</v>
      </c>
      <c r="B173" s="16">
        <v>158</v>
      </c>
      <c r="C173" s="16" t="str">
        <v>Clark III - 225</v>
      </c>
      <c r="D173" s="6">
        <f>_xlfn.XLOOKUP(C173,'2023'!C:C,'2023'!A:A,"")</f>
        <v>45027.8125</v>
      </c>
      <c r="E173" s="6">
        <f>_xlfn.XLOOKUP(C173,'2023'!C:C,'2023'!B:B,"")</f>
        <v>45027.712500000001</v>
      </c>
      <c r="F173" s="19">
        <f t="shared" si="11"/>
        <v>45027.712500000001</v>
      </c>
      <c r="G173" s="6">
        <f>_xlfn.XLOOKUP(C173,'2024'!C:C,'2024'!A:A,"")</f>
        <v>45391.802083333001</v>
      </c>
      <c r="H173" s="6">
        <f>_xlfn.XLOOKUP(C174,'2024'!C:C,'2024'!B:B,"")</f>
        <v>45392.824999999997</v>
      </c>
      <c r="I173" s="19">
        <f t="shared" si="8"/>
        <v>45391.802083333001</v>
      </c>
      <c r="J173" s="6">
        <f>_xlfn.XLOOKUP(C173,'2025'!C:C,'2025'!A:A,"")</f>
        <v>45755.820833332997</v>
      </c>
      <c r="K173" s="6" t="str">
        <f>_xlfn.XLOOKUP(C173,'2025'!C:C,'2025'!B:B,"")</f>
        <v>No Selection Time Issued</v>
      </c>
      <c r="L173" s="19">
        <f t="shared" si="9"/>
        <v>45755.820833332997</v>
      </c>
      <c r="M173" s="16" cm="1">
        <f t="array" ref="M173">IFERROR(_xlfn.LET(
_xlpm.x,TRIM(C173),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3" s="16" t="b">
        <f t="shared" si="10"/>
        <v>0</v>
      </c>
    </row>
    <row r="174" spans="1:14" x14ac:dyDescent="0.25">
      <c r="A174" s="5" t="s">
        <v>263</v>
      </c>
      <c r="B174" s="16">
        <v>173</v>
      </c>
      <c r="C174" s="16" t="str">
        <v>Clark III - 226</v>
      </c>
      <c r="D174" s="6">
        <f>_xlfn.XLOOKUP(C174,'2023'!C:C,'2023'!A:A,"")</f>
        <v>45027.779166667002</v>
      </c>
      <c r="E174" s="6">
        <f>_xlfn.XLOOKUP(C174,'2023'!C:C,'2023'!B:B,"")</f>
        <v>45028.727083332997</v>
      </c>
      <c r="F174" s="19">
        <f t="shared" si="11"/>
        <v>45027.779166667002</v>
      </c>
      <c r="G174" s="6">
        <f>_xlfn.XLOOKUP(C174,'2024'!C:C,'2024'!A:A,"")</f>
        <v>45391.772916667003</v>
      </c>
      <c r="H174" s="6" t="str">
        <f>_xlfn.XLOOKUP(C175,'2024'!C:C,'2024'!B:B,"")</f>
        <v/>
      </c>
      <c r="I174" s="19">
        <f t="shared" si="8"/>
        <v>45391.772916667003</v>
      </c>
      <c r="J174" s="6">
        <f>_xlfn.XLOOKUP(C174,'2025'!C:C,'2025'!A:A,"")</f>
        <v>45755.764583333003</v>
      </c>
      <c r="K174" s="6" t="str">
        <f>_xlfn.XLOOKUP(C174,'2025'!C:C,'2025'!B:B,"")</f>
        <v>No Selection Time Issued</v>
      </c>
      <c r="L174" s="19">
        <f t="shared" si="9"/>
        <v>45755.764583333003</v>
      </c>
      <c r="M174" s="16" cm="1">
        <f t="array" ref="M174">IFERROR(_xlfn.LET(
_xlpm.x,TRIM(C174),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4" s="16" t="b">
        <f t="shared" si="10"/>
        <v>0</v>
      </c>
    </row>
    <row r="175" spans="1:14" x14ac:dyDescent="0.25">
      <c r="A175" s="5" t="s">
        <v>348</v>
      </c>
      <c r="B175" s="16">
        <v>173</v>
      </c>
      <c r="C175" s="16" t="str">
        <v>Clark III - 227</v>
      </c>
      <c r="D175" s="6">
        <f>_xlfn.XLOOKUP(C175,'2023'!C:C,'2023'!A:A,"")</f>
        <v>45027.779166667002</v>
      </c>
      <c r="E175" s="6">
        <f>_xlfn.XLOOKUP(C175,'2023'!C:C,'2023'!B:B,"")</f>
        <v>45027.720833332998</v>
      </c>
      <c r="F175" s="19">
        <f t="shared" si="11"/>
        <v>45027.720833332998</v>
      </c>
      <c r="G175" s="6" t="str">
        <f>_xlfn.XLOOKUP(C175,'2024'!C:C,'2024'!A:A,"")</f>
        <v/>
      </c>
      <c r="H175" s="6">
        <f>_xlfn.XLOOKUP(C176,'2024'!C:C,'2024'!B:B,"")</f>
        <v>45393.766666666997</v>
      </c>
      <c r="I175" s="19">
        <f t="shared" si="8"/>
        <v>45393.766666666997</v>
      </c>
      <c r="J175" s="6">
        <f>_xlfn.XLOOKUP(C175,'2025'!C:C,'2025'!A:A,"")</f>
        <v>45755.787499999999</v>
      </c>
      <c r="K175" s="6" t="str">
        <f>_xlfn.XLOOKUP(C175,'2025'!C:C,'2025'!B:B,"")</f>
        <v>No Selection Time Issued</v>
      </c>
      <c r="L175" s="19">
        <f t="shared" si="9"/>
        <v>45755.787499999999</v>
      </c>
      <c r="M175" s="16" cm="1">
        <f t="array" ref="M175">IFERROR(_xlfn.LET(
_xlpm.x,TRIM(C175),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5" s="16" t="b">
        <f t="shared" si="10"/>
        <v>0</v>
      </c>
    </row>
    <row r="176" spans="1:14" x14ac:dyDescent="0.25">
      <c r="A176" s="5" t="s">
        <v>348</v>
      </c>
      <c r="B176" s="16">
        <v>177</v>
      </c>
      <c r="C176" s="16" t="str">
        <v>Clark III - 300</v>
      </c>
      <c r="D176" s="6">
        <f>_xlfn.XLOOKUP(C176,'2023'!C:C,'2023'!A:A,"")</f>
        <v>45027.877083332998</v>
      </c>
      <c r="E176" s="6" t="str">
        <f>_xlfn.XLOOKUP(C176,'2023'!C:C,'2023'!B:B,"")</f>
        <v>No Selection Time Issued</v>
      </c>
      <c r="F176" s="19">
        <f t="shared" si="11"/>
        <v>45027.877083332998</v>
      </c>
      <c r="G176" s="6">
        <f>_xlfn.XLOOKUP(C176,'2024'!C:C,'2024'!A:A,"")</f>
        <v>45391.824999999997</v>
      </c>
      <c r="H176" s="6">
        <f>_xlfn.XLOOKUP(C177,'2024'!C:C,'2024'!B:B,"")</f>
        <v>45392.845833332998</v>
      </c>
      <c r="I176" s="19">
        <f t="shared" si="8"/>
        <v>45391.824999999997</v>
      </c>
      <c r="J176" s="6" t="str">
        <f>_xlfn.XLOOKUP(C176,'2025'!C:C,'2025'!A:A,"")</f>
        <v/>
      </c>
      <c r="K176" s="6" t="str">
        <f>_xlfn.XLOOKUP(C176,'2025'!C:C,'2025'!B:B,"")</f>
        <v/>
      </c>
      <c r="L176" s="19" t="str">
        <f t="shared" si="9"/>
        <v/>
      </c>
      <c r="M176" s="16" cm="1">
        <f t="array" ref="M176">IFERROR(_xlfn.LET(
_xlpm.x,TRIM(C176),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6" s="16" t="b">
        <f t="shared" si="10"/>
        <v>0</v>
      </c>
    </row>
    <row r="177" spans="1:14" x14ac:dyDescent="0.25">
      <c r="A177" s="5" t="s">
        <v>348</v>
      </c>
      <c r="B177" s="16">
        <v>172</v>
      </c>
      <c r="C177" s="16" t="str">
        <v>Clark III - 301</v>
      </c>
      <c r="D177" s="6">
        <f>_xlfn.XLOOKUP(C177,'2023'!C:C,'2023'!A:A,"")</f>
        <v>45027.889583333003</v>
      </c>
      <c r="E177" s="6">
        <f>_xlfn.XLOOKUP(C177,'2023'!C:C,'2023'!B:B,"")</f>
        <v>45028.862500000003</v>
      </c>
      <c r="F177" s="19">
        <f t="shared" si="11"/>
        <v>45027.889583333003</v>
      </c>
      <c r="G177" s="6">
        <f>_xlfn.XLOOKUP(C177,'2024'!C:C,'2024'!A:A,"")</f>
        <v>45391.897916667003</v>
      </c>
      <c r="H177" s="6">
        <f>_xlfn.XLOOKUP(C178,'2024'!C:C,'2024'!B:B,"")</f>
        <v>45392.71875</v>
      </c>
      <c r="I177" s="19">
        <f t="shared" si="8"/>
        <v>45391.897916667003</v>
      </c>
      <c r="J177" s="6" t="str">
        <f>_xlfn.XLOOKUP(C177,'2025'!C:C,'2025'!A:A,"")</f>
        <v/>
      </c>
      <c r="K177" s="6" t="str">
        <f>_xlfn.XLOOKUP(C177,'2025'!C:C,'2025'!B:B,"")</f>
        <v/>
      </c>
      <c r="L177" s="19" t="str">
        <f t="shared" si="9"/>
        <v/>
      </c>
      <c r="M177" s="16" cm="1">
        <f t="array" ref="M177">IFERROR(_xlfn.LET(
_xlpm.x,TRIM(C177),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7" s="16" t="b">
        <f t="shared" si="10"/>
        <v>0</v>
      </c>
    </row>
    <row r="178" spans="1:14" x14ac:dyDescent="0.25">
      <c r="A178" s="5" t="s">
        <v>48</v>
      </c>
      <c r="B178" s="16">
        <v>173</v>
      </c>
      <c r="C178" s="16" t="str">
        <v>Clark III - 302</v>
      </c>
      <c r="D178" s="6">
        <f>_xlfn.XLOOKUP(C178,'2023'!C:C,'2023'!A:A,"")</f>
        <v>45027.852083332997</v>
      </c>
      <c r="E178" s="6">
        <f>_xlfn.XLOOKUP(C178,'2023'!C:C,'2023'!B:B,"")</f>
        <v>45027.814583332998</v>
      </c>
      <c r="F178" s="19">
        <f t="shared" si="11"/>
        <v>45027.814583332998</v>
      </c>
      <c r="G178" s="6">
        <f>_xlfn.XLOOKUP(C178,'2024'!C:C,'2024'!A:A,"")</f>
        <v>45391.887499999997</v>
      </c>
      <c r="H178" s="6">
        <f>_xlfn.XLOOKUP(C179,'2024'!C:C,'2024'!B:B,"")</f>
        <v>45391.85</v>
      </c>
      <c r="I178" s="19">
        <f t="shared" si="8"/>
        <v>45391.85</v>
      </c>
      <c r="J178" s="6" t="str">
        <f>_xlfn.XLOOKUP(C178,'2025'!C:C,'2025'!A:A,"")</f>
        <v/>
      </c>
      <c r="K178" s="6" t="str">
        <f>_xlfn.XLOOKUP(C178,'2025'!C:C,'2025'!B:B,"")</f>
        <v/>
      </c>
      <c r="L178" s="19" t="str">
        <f t="shared" si="9"/>
        <v/>
      </c>
      <c r="M178" s="16" cm="1">
        <f t="array" ref="M178">IFERROR(_xlfn.LET(
_xlpm.x,TRIM(C178),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8" s="16" t="b">
        <f t="shared" si="10"/>
        <v>0</v>
      </c>
    </row>
    <row r="179" spans="1:14" x14ac:dyDescent="0.25">
      <c r="A179" s="5" t="s">
        <v>48</v>
      </c>
      <c r="B179" s="16">
        <v>174</v>
      </c>
      <c r="C179" s="16" t="str">
        <v>Clark III - 303</v>
      </c>
      <c r="D179" s="6">
        <f>_xlfn.XLOOKUP(C179,'2023'!C:C,'2023'!A:A,"")</f>
        <v>45027.893750000003</v>
      </c>
      <c r="E179" s="6">
        <f>_xlfn.XLOOKUP(C179,'2023'!C:C,'2023'!B:B,"")</f>
        <v>45027.733333333003</v>
      </c>
      <c r="F179" s="19">
        <f t="shared" si="11"/>
        <v>45027.733333333003</v>
      </c>
      <c r="G179" s="6">
        <f>_xlfn.XLOOKUP(C179,'2024'!C:C,'2024'!A:A,"")</f>
        <v>45391.816666667</v>
      </c>
      <c r="H179" s="6">
        <f>_xlfn.XLOOKUP(C180,'2024'!C:C,'2024'!B:B,"")</f>
        <v>45391.720833332998</v>
      </c>
      <c r="I179" s="19">
        <f t="shared" si="8"/>
        <v>45391.720833332998</v>
      </c>
      <c r="J179" s="6" t="str">
        <f>_xlfn.XLOOKUP(C179,'2025'!C:C,'2025'!A:A,"")</f>
        <v/>
      </c>
      <c r="K179" s="6" t="str">
        <f>_xlfn.XLOOKUP(C179,'2025'!C:C,'2025'!B:B,"")</f>
        <v/>
      </c>
      <c r="L179" s="19" t="str">
        <f t="shared" si="9"/>
        <v/>
      </c>
      <c r="M179" s="16" cm="1">
        <f t="array" ref="M179">IFERROR(_xlfn.LET(
_xlpm.x,TRIM(C179),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79" s="16" t="b">
        <f t="shared" si="10"/>
        <v>0</v>
      </c>
    </row>
    <row r="180" spans="1:14" x14ac:dyDescent="0.25">
      <c r="A180" s="5" t="s">
        <v>48</v>
      </c>
      <c r="B180" s="16">
        <v>172</v>
      </c>
      <c r="C180" s="16" t="str">
        <v>Clark III - 304</v>
      </c>
      <c r="D180" s="6">
        <f>_xlfn.XLOOKUP(C180,'2023'!C:C,'2023'!A:A,"")</f>
        <v>45027.760416666999</v>
      </c>
      <c r="E180" s="6">
        <f>_xlfn.XLOOKUP(C180,'2023'!C:C,'2023'!B:B,"")</f>
        <v>45027.708333333001</v>
      </c>
      <c r="F180" s="19">
        <f t="shared" si="11"/>
        <v>45027.708333333001</v>
      </c>
      <c r="G180" s="6">
        <f>_xlfn.XLOOKUP(C180,'2024'!C:C,'2024'!A:A,"")</f>
        <v>45391.883333332997</v>
      </c>
      <c r="H180" s="6">
        <f>_xlfn.XLOOKUP(C181,'2024'!C:C,'2024'!B:B,"")</f>
        <v>45391.71875</v>
      </c>
      <c r="I180" s="19">
        <f t="shared" si="8"/>
        <v>45391.71875</v>
      </c>
      <c r="J180" s="6" t="str">
        <f>_xlfn.XLOOKUP(C180,'2025'!C:C,'2025'!A:A,"")</f>
        <v/>
      </c>
      <c r="K180" s="6" t="str">
        <f>_xlfn.XLOOKUP(C180,'2025'!C:C,'2025'!B:B,"")</f>
        <v/>
      </c>
      <c r="L180" s="19" t="str">
        <f t="shared" si="9"/>
        <v/>
      </c>
      <c r="M180" s="16" cm="1">
        <f t="array" ref="M180">IFERROR(_xlfn.LET(
_xlpm.x,TRIM(C180),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0" s="16" t="b">
        <f t="shared" si="10"/>
        <v>0</v>
      </c>
    </row>
    <row r="181" spans="1:14" x14ac:dyDescent="0.25">
      <c r="A181" s="5" t="s">
        <v>477</v>
      </c>
      <c r="B181" s="16">
        <v>174</v>
      </c>
      <c r="C181" s="16" t="str">
        <v>Clark III - 305</v>
      </c>
      <c r="D181" s="6">
        <f>_xlfn.XLOOKUP(C181,'2023'!C:C,'2023'!A:A,"")</f>
        <v>45027.814583332998</v>
      </c>
      <c r="E181" s="6">
        <f>_xlfn.XLOOKUP(C181,'2023'!C:C,'2023'!B:B,"")</f>
        <v>45029.745833333</v>
      </c>
      <c r="F181" s="19">
        <f t="shared" si="11"/>
        <v>45027.814583332998</v>
      </c>
      <c r="G181" s="6">
        <f>_xlfn.XLOOKUP(C181,'2024'!C:C,'2024'!A:A,"")</f>
        <v>45391.8125</v>
      </c>
      <c r="H181" s="6">
        <f>_xlfn.XLOOKUP(C182,'2024'!C:C,'2024'!B:B,"")</f>
        <v>45391.716666667002</v>
      </c>
      <c r="I181" s="19">
        <f t="shared" si="8"/>
        <v>45391.716666667002</v>
      </c>
      <c r="J181" s="6">
        <f>_xlfn.XLOOKUP(C181,'2025'!C:C,'2025'!A:A,"")</f>
        <v>45755.762499999997</v>
      </c>
      <c r="K181" s="6" t="str">
        <f>_xlfn.XLOOKUP(C181,'2025'!C:C,'2025'!B:B,"")</f>
        <v>No Selection Time Issued</v>
      </c>
      <c r="L181" s="19">
        <f t="shared" si="9"/>
        <v>45755.762499999997</v>
      </c>
      <c r="M181" s="16" cm="1">
        <f t="array" ref="M181">IFERROR(_xlfn.LET(
_xlpm.x,TRIM(C181),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1" s="16" t="b">
        <f t="shared" si="10"/>
        <v>0</v>
      </c>
    </row>
    <row r="182" spans="1:14" x14ac:dyDescent="0.25">
      <c r="A182" s="5" t="s">
        <v>477</v>
      </c>
      <c r="B182" s="16">
        <v>172</v>
      </c>
      <c r="C182" s="16" t="str">
        <v>Clark III - 306</v>
      </c>
      <c r="D182" s="6">
        <f>_xlfn.XLOOKUP(C182,'2023'!C:C,'2023'!A:A,"")</f>
        <v>45027.877083332998</v>
      </c>
      <c r="E182" s="6">
        <f>_xlfn.XLOOKUP(C182,'2023'!C:C,'2023'!B:B,"")</f>
        <v>45027.716666667002</v>
      </c>
      <c r="F182" s="19">
        <f t="shared" si="11"/>
        <v>45027.716666667002</v>
      </c>
      <c r="G182" s="6">
        <f>_xlfn.XLOOKUP(C182,'2024'!C:C,'2024'!A:A,"")</f>
        <v>45391.866666667003</v>
      </c>
      <c r="H182" s="6">
        <f>_xlfn.XLOOKUP(C183,'2024'!C:C,'2024'!B:B,"")</f>
        <v>45392.708333333001</v>
      </c>
      <c r="I182" s="19">
        <f t="shared" si="8"/>
        <v>45391.866666667003</v>
      </c>
      <c r="J182" s="6">
        <f>_xlfn.XLOOKUP(C182,'2025'!C:C,'2025'!A:A,"")</f>
        <v>45755.789583332997</v>
      </c>
      <c r="K182" s="6" t="str">
        <f>_xlfn.XLOOKUP(C182,'2025'!C:C,'2025'!B:B,"")</f>
        <v>No Selection Time Issued</v>
      </c>
      <c r="L182" s="19">
        <f t="shared" si="9"/>
        <v>45755.789583332997</v>
      </c>
      <c r="M182" s="16" cm="1">
        <f t="array" ref="M182">IFERROR(_xlfn.LET(
_xlpm.x,TRIM(C182),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2" s="16" t="b">
        <f t="shared" si="10"/>
        <v>0</v>
      </c>
    </row>
    <row r="183" spans="1:14" x14ac:dyDescent="0.25">
      <c r="A183" s="5" t="s">
        <v>477</v>
      </c>
      <c r="B183" s="16">
        <v>175</v>
      </c>
      <c r="C183" s="16" t="str">
        <v>Clark III - 307</v>
      </c>
      <c r="D183" s="6">
        <f>_xlfn.XLOOKUP(C183,'2023'!C:C,'2023'!A:A,"")</f>
        <v>45027.847916667</v>
      </c>
      <c r="E183" s="6">
        <f>_xlfn.XLOOKUP(C183,'2023'!C:C,'2023'!B:B,"")</f>
        <v>45027.775000000001</v>
      </c>
      <c r="F183" s="19">
        <f t="shared" si="11"/>
        <v>45027.775000000001</v>
      </c>
      <c r="G183" s="6">
        <f>_xlfn.XLOOKUP(C183,'2024'!C:C,'2024'!A:A,"")</f>
        <v>45391.883333332997</v>
      </c>
      <c r="H183" s="6">
        <f>_xlfn.XLOOKUP(C184,'2024'!C:C,'2024'!B:B,"")</f>
        <v>45391.712500000001</v>
      </c>
      <c r="I183" s="19">
        <f t="shared" si="8"/>
        <v>45391.712500000001</v>
      </c>
      <c r="J183" s="6">
        <f>_xlfn.XLOOKUP(C183,'2025'!C:C,'2025'!A:A,"")</f>
        <v>45755.852083332997</v>
      </c>
      <c r="K183" s="6" t="str">
        <f>_xlfn.XLOOKUP(C183,'2025'!C:C,'2025'!B:B,"")</f>
        <v>No Selection Time Issued</v>
      </c>
      <c r="L183" s="19">
        <f t="shared" si="9"/>
        <v>45755.852083332997</v>
      </c>
      <c r="M183" s="16" cm="1">
        <f t="array" ref="M183">IFERROR(_xlfn.LET(
_xlpm.x,TRIM(C183),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3" s="16" t="b">
        <f t="shared" si="10"/>
        <v>0</v>
      </c>
    </row>
    <row r="184" spans="1:14" x14ac:dyDescent="0.25">
      <c r="A184" s="5" t="s">
        <v>324</v>
      </c>
      <c r="B184" s="16">
        <v>179</v>
      </c>
      <c r="C184" s="16" t="str">
        <v>Clark III - 308</v>
      </c>
      <c r="D184" s="6">
        <f>_xlfn.XLOOKUP(C184,'2023'!C:C,'2023'!A:A,"")</f>
        <v>45027.789583332997</v>
      </c>
      <c r="E184" s="6">
        <f>_xlfn.XLOOKUP(C184,'2023'!C:C,'2023'!B:B,"")</f>
        <v>45029.833333333001</v>
      </c>
      <c r="F184" s="19">
        <f t="shared" si="11"/>
        <v>45027.789583332997</v>
      </c>
      <c r="G184" s="6">
        <f>_xlfn.XLOOKUP(C184,'2024'!C:C,'2024'!A:A,"")</f>
        <v>45391.785416667</v>
      </c>
      <c r="H184" s="6">
        <f>_xlfn.XLOOKUP(C185,'2024'!C:C,'2024'!B:B,"")</f>
        <v>45392.768750000003</v>
      </c>
      <c r="I184" s="19">
        <f t="shared" si="8"/>
        <v>45391.785416667</v>
      </c>
      <c r="J184" s="6">
        <f>_xlfn.XLOOKUP(C184,'2025'!C:C,'2025'!A:A,"")</f>
        <v>45755.764583333003</v>
      </c>
      <c r="K184" s="6" t="str">
        <f>_xlfn.XLOOKUP(C184,'2025'!C:C,'2025'!B:B,"")</f>
        <v>No Selection Time Issued</v>
      </c>
      <c r="L184" s="19">
        <f t="shared" si="9"/>
        <v>45755.764583333003</v>
      </c>
      <c r="M184" s="16" cm="1">
        <f t="array" ref="M184">IFERROR(_xlfn.LET(
_xlpm.x,TRIM(C184),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4" s="16" t="b">
        <f t="shared" si="10"/>
        <v>0</v>
      </c>
    </row>
    <row r="185" spans="1:14" x14ac:dyDescent="0.25">
      <c r="A185" s="5" t="s">
        <v>324</v>
      </c>
      <c r="B185" s="16">
        <v>140</v>
      </c>
      <c r="C185" s="16" t="str">
        <v>Clark III - 309</v>
      </c>
      <c r="D185" s="6">
        <f>_xlfn.XLOOKUP(C185,'2023'!C:C,'2023'!A:A,"")</f>
        <v>45027.895833333001</v>
      </c>
      <c r="E185" s="6">
        <f>_xlfn.XLOOKUP(C185,'2023'!C:C,'2023'!B:B,"")</f>
        <v>45027.739583333001</v>
      </c>
      <c r="F185" s="19">
        <f t="shared" si="11"/>
        <v>45027.739583333001</v>
      </c>
      <c r="G185" s="6">
        <f>_xlfn.XLOOKUP(C185,'2024'!C:C,'2024'!A:A,"")</f>
        <v>45391.889583333003</v>
      </c>
      <c r="H185" s="6" t="str">
        <f>_xlfn.XLOOKUP(C186,'2024'!C:C,'2024'!B:B,"")</f>
        <v/>
      </c>
      <c r="I185" s="19">
        <f t="shared" si="8"/>
        <v>45391.889583333003</v>
      </c>
      <c r="J185" s="6">
        <f>_xlfn.XLOOKUP(C185,'2025'!C:C,'2025'!A:A,"")</f>
        <v>45755.854166666999</v>
      </c>
      <c r="K185" s="6" t="str">
        <f>_xlfn.XLOOKUP(C185,'2025'!C:C,'2025'!B:B,"")</f>
        <v>No Selection Time Issued</v>
      </c>
      <c r="L185" s="19">
        <f t="shared" si="9"/>
        <v>45755.854166666999</v>
      </c>
      <c r="M185" s="16" cm="1">
        <f t="array" ref="M185">IFERROR(_xlfn.LET(
_xlpm.x,TRIM(C185),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5" s="16" t="b">
        <f t="shared" si="10"/>
        <v>0</v>
      </c>
    </row>
    <row r="186" spans="1:14" x14ac:dyDescent="0.25">
      <c r="A186" s="5" t="s">
        <v>324</v>
      </c>
      <c r="B186" s="16">
        <v>172</v>
      </c>
      <c r="C186" s="16" t="str">
        <v>Clark III - 310</v>
      </c>
      <c r="D186" s="6">
        <f>_xlfn.XLOOKUP(C186,'2023'!C:C,'2023'!A:A,"")</f>
        <v>45027.785416667</v>
      </c>
      <c r="E186" s="6">
        <f>_xlfn.XLOOKUP(C186,'2023'!C:C,'2023'!B:B,"")</f>
        <v>45029.720833332998</v>
      </c>
      <c r="F186" s="19">
        <f t="shared" si="11"/>
        <v>45027.785416667</v>
      </c>
      <c r="G186" s="6" t="str">
        <f>_xlfn.XLOOKUP(C186,'2024'!C:C,'2024'!A:A,"")</f>
        <v/>
      </c>
      <c r="H186" s="6">
        <f>_xlfn.XLOOKUP(C187,'2024'!C:C,'2024'!B:B,"")</f>
        <v>45391.741666667003</v>
      </c>
      <c r="I186" s="19">
        <f t="shared" si="8"/>
        <v>45391.741666667003</v>
      </c>
      <c r="J186" s="6">
        <f>_xlfn.XLOOKUP(C186,'2025'!C:C,'2025'!A:A,"")</f>
        <v>45755.824999999997</v>
      </c>
      <c r="K186" s="6" t="str">
        <f>_xlfn.XLOOKUP(C186,'2025'!C:C,'2025'!B:B,"")</f>
        <v>No Selection Time Issued</v>
      </c>
      <c r="L186" s="19">
        <f t="shared" si="9"/>
        <v>45755.824999999997</v>
      </c>
      <c r="M186" s="16" cm="1">
        <f t="array" ref="M186">IFERROR(_xlfn.LET(
_xlpm.x,TRIM(C186),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6" s="16" t="b">
        <f t="shared" si="10"/>
        <v>0</v>
      </c>
    </row>
    <row r="187" spans="1:14" x14ac:dyDescent="0.25">
      <c r="A187" s="5" t="s">
        <v>44</v>
      </c>
      <c r="B187" s="16">
        <v>149</v>
      </c>
      <c r="C187" s="16" t="str">
        <v>Clark III - 311</v>
      </c>
      <c r="D187" s="6">
        <f>_xlfn.XLOOKUP(C187,'2023'!C:C,'2023'!A:A,"")</f>
        <v>45027.831250000003</v>
      </c>
      <c r="E187" s="6">
        <f>_xlfn.XLOOKUP(C187,'2023'!C:C,'2023'!B:B,"")</f>
        <v>45027.737500000003</v>
      </c>
      <c r="F187" s="19">
        <f t="shared" si="11"/>
        <v>45027.737500000003</v>
      </c>
      <c r="G187" s="6">
        <f>_xlfn.XLOOKUP(C187,'2024'!C:C,'2024'!A:A,"")</f>
        <v>45391.908333332998</v>
      </c>
      <c r="H187" s="6">
        <f>_xlfn.XLOOKUP(C188,'2024'!C:C,'2024'!B:B,"")</f>
        <v>45392.770833333001</v>
      </c>
      <c r="I187" s="19">
        <f t="shared" si="8"/>
        <v>45391.908333332998</v>
      </c>
      <c r="J187" s="6">
        <f>_xlfn.XLOOKUP(C187,'2025'!C:C,'2025'!A:A,"")</f>
        <v>45755.854166666999</v>
      </c>
      <c r="K187" s="6" t="str">
        <f>_xlfn.XLOOKUP(C187,'2025'!C:C,'2025'!B:B,"")</f>
        <v>No Selection Time Issued</v>
      </c>
      <c r="L187" s="19">
        <f t="shared" si="9"/>
        <v>45755.854166666999</v>
      </c>
      <c r="M187" s="16" cm="1">
        <f t="array" ref="M187">IFERROR(_xlfn.LET(
_xlpm.x,TRIM(C187),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7" s="16" t="b">
        <f t="shared" si="10"/>
        <v>0</v>
      </c>
    </row>
    <row r="188" spans="1:14" x14ac:dyDescent="0.25">
      <c r="A188" s="5" t="s">
        <v>44</v>
      </c>
      <c r="B188" s="16">
        <v>172</v>
      </c>
      <c r="C188" s="16" t="str">
        <v>Clark III - 312</v>
      </c>
      <c r="D188" s="6">
        <f>_xlfn.XLOOKUP(C188,'2023'!C:C,'2023'!A:A,"")</f>
        <v>45027.785416667</v>
      </c>
      <c r="E188" s="6">
        <f>_xlfn.XLOOKUP(C188,'2023'!C:C,'2023'!B:B,"")</f>
        <v>45029.727083332997</v>
      </c>
      <c r="F188" s="19">
        <f t="shared" si="11"/>
        <v>45027.785416667</v>
      </c>
      <c r="G188" s="6">
        <f>_xlfn.XLOOKUP(C188,'2024'!C:C,'2024'!A:A,"")</f>
        <v>45391.770833333001</v>
      </c>
      <c r="H188" s="6" t="str">
        <f>_xlfn.XLOOKUP(C189,'2024'!C:C,'2024'!B:B,"")</f>
        <v/>
      </c>
      <c r="I188" s="19">
        <f t="shared" si="8"/>
        <v>45391.770833333001</v>
      </c>
      <c r="J188" s="6">
        <f>_xlfn.XLOOKUP(C188,'2025'!C:C,'2025'!A:A,"")</f>
        <v>45755.787499999999</v>
      </c>
      <c r="K188" s="6" t="str">
        <f>_xlfn.XLOOKUP(C188,'2025'!C:C,'2025'!B:B,"")</f>
        <v>No Selection Time Issued</v>
      </c>
      <c r="L188" s="19">
        <f t="shared" si="9"/>
        <v>45755.787499999999</v>
      </c>
      <c r="M188" s="16" cm="1">
        <f t="array" ref="M188">IFERROR(_xlfn.LET(
_xlpm.x,TRIM(C188),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8" s="16" t="b">
        <f t="shared" si="10"/>
        <v>0</v>
      </c>
    </row>
    <row r="189" spans="1:14" x14ac:dyDescent="0.25">
      <c r="A189" s="5" t="s">
        <v>44</v>
      </c>
      <c r="B189" s="16">
        <v>148</v>
      </c>
      <c r="C189" s="16" t="str">
        <v>Clark III - 313</v>
      </c>
      <c r="D189" s="6">
        <f>_xlfn.XLOOKUP(C189,'2023'!C:C,'2023'!A:A,"")</f>
        <v>45027.897916667003</v>
      </c>
      <c r="E189" s="6">
        <f>_xlfn.XLOOKUP(C189,'2023'!C:C,'2023'!B:B,"")</f>
        <v>45028.720833332998</v>
      </c>
      <c r="F189" s="19">
        <f t="shared" si="11"/>
        <v>45027.897916667003</v>
      </c>
      <c r="G189" s="6" t="str">
        <f>_xlfn.XLOOKUP(C189,'2024'!C:C,'2024'!A:A,"")</f>
        <v/>
      </c>
      <c r="H189" s="6">
        <f>_xlfn.XLOOKUP(C190,'2024'!C:C,'2024'!B:B,"")</f>
        <v>45393.710416667003</v>
      </c>
      <c r="I189" s="19">
        <f t="shared" si="8"/>
        <v>45393.710416667003</v>
      </c>
      <c r="J189" s="6">
        <f>_xlfn.XLOOKUP(C189,'2025'!C:C,'2025'!A:A,"")</f>
        <v>45755.870833333</v>
      </c>
      <c r="K189" s="6" t="str">
        <f>_xlfn.XLOOKUP(C189,'2025'!C:C,'2025'!B:B,"")</f>
        <v>No Selection Time Issued</v>
      </c>
      <c r="L189" s="19">
        <f t="shared" si="9"/>
        <v>45755.870833333</v>
      </c>
      <c r="M189" s="16" cm="1">
        <f t="array" ref="M189">IFERROR(_xlfn.LET(
_xlpm.x,TRIM(C189),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89" s="16" t="b">
        <f t="shared" si="10"/>
        <v>0</v>
      </c>
    </row>
    <row r="190" spans="1:14" x14ac:dyDescent="0.25">
      <c r="A190" s="5" t="s">
        <v>646</v>
      </c>
      <c r="B190" s="16">
        <v>172</v>
      </c>
      <c r="C190" s="16" t="str">
        <v>Clark III - 314</v>
      </c>
      <c r="D190" s="6">
        <f>_xlfn.XLOOKUP(C190,'2023'!C:C,'2023'!A:A,"")</f>
        <v>45027.802083333001</v>
      </c>
      <c r="E190" s="6" t="str">
        <f>_xlfn.XLOOKUP(C190,'2023'!C:C,'2023'!B:B,"")</f>
        <v>No Selection Time Issued</v>
      </c>
      <c r="F190" s="19">
        <f t="shared" si="11"/>
        <v>45027.802083333001</v>
      </c>
      <c r="G190" s="6">
        <f>_xlfn.XLOOKUP(C190,'2024'!C:C,'2024'!A:A,"")</f>
        <v>45391.877083332998</v>
      </c>
      <c r="H190" s="6">
        <f>_xlfn.XLOOKUP(C191,'2024'!C:C,'2024'!B:B,"")</f>
        <v>45391.727083332997</v>
      </c>
      <c r="I190" s="19">
        <f t="shared" si="8"/>
        <v>45391.727083332997</v>
      </c>
      <c r="J190" s="6">
        <f>_xlfn.XLOOKUP(C190,'2025'!C:C,'2025'!A:A,"")</f>
        <v>45755.831250000003</v>
      </c>
      <c r="K190" s="6" t="str">
        <f>_xlfn.XLOOKUP(C190,'2025'!C:C,'2025'!B:B,"")</f>
        <v>No Selection Time Issued</v>
      </c>
      <c r="L190" s="19">
        <f t="shared" si="9"/>
        <v>45755.831250000003</v>
      </c>
      <c r="M190" s="16" cm="1">
        <f t="array" ref="M190">IFERROR(_xlfn.LET(
_xlpm.x,TRIM(C190),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0" s="16" t="b">
        <f t="shared" si="10"/>
        <v>0</v>
      </c>
    </row>
    <row r="191" spans="1:14" x14ac:dyDescent="0.25">
      <c r="A191" s="5" t="s">
        <v>646</v>
      </c>
      <c r="B191" s="16">
        <v>219</v>
      </c>
      <c r="C191" s="16" t="str">
        <v>Clark III - 315</v>
      </c>
      <c r="D191" s="6">
        <f>_xlfn.XLOOKUP(C191,'2023'!C:C,'2023'!A:A,"")</f>
        <v>45028.854166666999</v>
      </c>
      <c r="E191" s="6">
        <f>_xlfn.XLOOKUP(C191,'2023'!C:C,'2023'!B:B,"")</f>
        <v>45027.708333333001</v>
      </c>
      <c r="F191" s="19">
        <f t="shared" si="11"/>
        <v>45027.708333333001</v>
      </c>
      <c r="G191" s="6">
        <f>_xlfn.XLOOKUP(C191,'2024'!C:C,'2024'!A:A,"")</f>
        <v>45392.779166667002</v>
      </c>
      <c r="H191" s="6" t="str">
        <f>_xlfn.XLOOKUP(C192,'2024'!C:C,'2024'!B:B,"")</f>
        <v/>
      </c>
      <c r="I191" s="19">
        <f t="shared" si="8"/>
        <v>45392.779166667002</v>
      </c>
      <c r="J191" s="6">
        <f>_xlfn.XLOOKUP(C191,'2025'!C:C,'2025'!A:A,"")</f>
        <v>45756.841666667002</v>
      </c>
      <c r="K191" s="6">
        <f>_xlfn.XLOOKUP(C191,'2025'!C:C,'2025'!B:B,"")</f>
        <v>45756.764583333003</v>
      </c>
      <c r="L191" s="19">
        <f t="shared" si="9"/>
        <v>45756.764583333003</v>
      </c>
      <c r="M191" s="16" cm="1">
        <f t="array" ref="M191">IFERROR(_xlfn.LET(
_xlpm.x,TRIM(C191),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191" s="16" t="b">
        <f t="shared" si="10"/>
        <v>0</v>
      </c>
    </row>
    <row r="192" spans="1:14" x14ac:dyDescent="0.25">
      <c r="A192" s="5" t="s">
        <v>646</v>
      </c>
      <c r="B192" s="16">
        <v>172</v>
      </c>
      <c r="C192" s="16" t="str">
        <v>Clark III - 316</v>
      </c>
      <c r="D192" s="6">
        <f>_xlfn.XLOOKUP(C192,'2023'!C:C,'2023'!A:A,"")</f>
        <v>45027.795833333003</v>
      </c>
      <c r="E192" s="6">
        <f>_xlfn.XLOOKUP(C192,'2023'!C:C,'2023'!B:B,"")</f>
        <v>45027.714583333</v>
      </c>
      <c r="F192" s="19">
        <f t="shared" si="11"/>
        <v>45027.714583333</v>
      </c>
      <c r="G192" s="6" t="str">
        <f>_xlfn.XLOOKUP(C192,'2024'!C:C,'2024'!A:A,"")</f>
        <v/>
      </c>
      <c r="H192" s="6">
        <f>_xlfn.XLOOKUP(C193,'2024'!C:C,'2024'!B:B,"")</f>
        <v>45392.733333333003</v>
      </c>
      <c r="I192" s="19">
        <f t="shared" si="8"/>
        <v>45392.733333333003</v>
      </c>
      <c r="J192" s="6">
        <f>_xlfn.XLOOKUP(C192,'2025'!C:C,'2025'!A:A,"")</f>
        <v>45755.839583333</v>
      </c>
      <c r="K192" s="6" t="str">
        <f>_xlfn.XLOOKUP(C192,'2025'!C:C,'2025'!B:B,"")</f>
        <v>No Selection Time Issued</v>
      </c>
      <c r="L192" s="19">
        <f t="shared" si="9"/>
        <v>45755.839583333</v>
      </c>
      <c r="M192" s="16" cm="1">
        <f t="array" ref="M192">IFERROR(_xlfn.LET(
_xlpm.x,TRIM(C192),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2" s="16" t="b">
        <f t="shared" si="10"/>
        <v>0</v>
      </c>
    </row>
    <row r="193" spans="1:14" x14ac:dyDescent="0.25">
      <c r="A193" s="5" t="s">
        <v>363</v>
      </c>
      <c r="B193" s="16">
        <v>170</v>
      </c>
      <c r="C193" s="16" t="str">
        <v>Clark III - 317</v>
      </c>
      <c r="D193" s="6">
        <f>_xlfn.XLOOKUP(C193,'2023'!C:C,'2023'!A:A,"")</f>
        <v>45027.824999999997</v>
      </c>
      <c r="E193" s="6">
        <f>_xlfn.XLOOKUP(C193,'2023'!C:C,'2023'!B:B,"")</f>
        <v>45028.741666667003</v>
      </c>
      <c r="F193" s="19">
        <f t="shared" si="11"/>
        <v>45027.824999999997</v>
      </c>
      <c r="G193" s="6">
        <f>_xlfn.XLOOKUP(C193,'2024'!C:C,'2024'!A:A,"")</f>
        <v>45391.802083333001</v>
      </c>
      <c r="H193" s="6">
        <f>_xlfn.XLOOKUP(C194,'2024'!C:C,'2024'!B:B,"")</f>
        <v>45391.71875</v>
      </c>
      <c r="I193" s="19">
        <f t="shared" si="8"/>
        <v>45391.71875</v>
      </c>
      <c r="J193" s="6">
        <f>_xlfn.XLOOKUP(C193,'2025'!C:C,'2025'!A:A,"")</f>
        <v>45755.775000000001</v>
      </c>
      <c r="K193" s="6" t="str">
        <f>_xlfn.XLOOKUP(C193,'2025'!C:C,'2025'!B:B,"")</f>
        <v>No Selection Time Issued</v>
      </c>
      <c r="L193" s="19">
        <f t="shared" si="9"/>
        <v>45755.775000000001</v>
      </c>
      <c r="M193" s="16" cm="1">
        <f t="array" ref="M193">IFERROR(_xlfn.LET(
_xlpm.x,TRIM(C193),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3" s="16" t="b">
        <f t="shared" si="10"/>
        <v>0</v>
      </c>
    </row>
    <row r="194" spans="1:14" x14ac:dyDescent="0.25">
      <c r="A194" s="5" t="s">
        <v>363</v>
      </c>
      <c r="B194" s="16">
        <v>170</v>
      </c>
      <c r="C194" s="16" t="str">
        <v>Clark III - 318</v>
      </c>
      <c r="D194" s="6">
        <f>_xlfn.XLOOKUP(C194,'2023'!C:C,'2023'!A:A,"")</f>
        <v>45027.854166666999</v>
      </c>
      <c r="E194" s="6">
        <f>_xlfn.XLOOKUP(C194,'2023'!C:C,'2023'!B:B,"")</f>
        <v>45027.733333333003</v>
      </c>
      <c r="F194" s="19">
        <f t="shared" si="11"/>
        <v>45027.733333333003</v>
      </c>
      <c r="G194" s="6">
        <f>_xlfn.XLOOKUP(C194,'2024'!C:C,'2024'!A:A,"")</f>
        <v>45391.818749999999</v>
      </c>
      <c r="H194" s="6">
        <f>_xlfn.XLOOKUP(C195,'2024'!C:C,'2024'!B:B,"")</f>
        <v>45391.766666666997</v>
      </c>
      <c r="I194" s="19">
        <f t="shared" ref="I194:I257" si="12">_xlfn.LET(
_xlpm.ind,G194,
_xlpm.grp,H194,
IF(AND(NOT(ISNUMBER(_xlpm.ind)),NOT(ISNUMBER(_xlpm.grp))),"",
MIN(IF(ISNUMBER(_xlpm.ind),_xlpm.ind,1E+99),IF(ISNUMBER(_xlpm.grp),_xlpm.grp,1E+99))
)
)</f>
        <v>45391.766666666997</v>
      </c>
      <c r="J194" s="6">
        <f>_xlfn.XLOOKUP(C194,'2025'!C:C,'2025'!A:A,"")</f>
        <v>45755.814583332998</v>
      </c>
      <c r="K194" s="6" t="str">
        <f>_xlfn.XLOOKUP(C194,'2025'!C:C,'2025'!B:B,"")</f>
        <v>No Selection Time Issued</v>
      </c>
      <c r="L194" s="19">
        <f t="shared" ref="L194:L257" si="13">_xlfn.LET(_xlpm.ind,J194,_xlpm.grp,K194,IF(AND(NOT(ISNUMBER(_xlpm.ind)),NOT(ISNUMBER(_xlpm.grp))),"",MIN(IF(ISNUMBER(_xlpm.ind),_xlpm.ind,1E+99),IF(ISNUMBER(_xlpm.grp),_xlpm.grp,1E+99))))</f>
        <v>45755.814583332998</v>
      </c>
      <c r="M194" s="16" cm="1">
        <f t="array" ref="M194">IFERROR(_xlfn.LET(
_xlpm.x,TRIM(C194),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4" s="16" t="b">
        <f t="shared" ref="N194:N257" si="14">OR(_xlfn.TEXTBEFORE(C194," - ")="Blaisdell",_xlfn.TEXTBEFORE(C194," - ")="Mudd",_xlfn.TEXTBEFORE(C194," - ")="Dialynas",_xlfn.TEXTBEFORE(C194," - ")="Sontag")</f>
        <v>0</v>
      </c>
    </row>
    <row r="195" spans="1:14" x14ac:dyDescent="0.25">
      <c r="A195" s="5" t="s">
        <v>363</v>
      </c>
      <c r="B195" s="16">
        <v>166</v>
      </c>
      <c r="C195" s="16" t="str">
        <v>Clark III - 319</v>
      </c>
      <c r="D195" s="6">
        <f>_xlfn.XLOOKUP(C195,'2023'!C:C,'2023'!A:A,"")</f>
        <v>45027.872916667002</v>
      </c>
      <c r="E195" s="6">
        <f>_xlfn.XLOOKUP(C195,'2023'!C:C,'2023'!B:B,"")</f>
        <v>45027.731249999997</v>
      </c>
      <c r="F195" s="19">
        <f t="shared" ref="F195:F258" si="15">_xlfn.LET(
_xlpm.ind,D195,
_xlpm.grp,E195,
IF(AND(NOT(ISNUMBER(_xlpm.ind)),NOT(ISNUMBER(_xlpm.grp))),"",
MIN(IF(ISNUMBER(_xlpm.ind),_xlpm.ind,1E+99),IF(ISNUMBER(_xlpm.grp),_xlpm.grp,1E+99))
)
)</f>
        <v>45027.731249999997</v>
      </c>
      <c r="G195" s="6">
        <f>_xlfn.XLOOKUP(C195,'2024'!C:C,'2024'!A:A,"")</f>
        <v>45391.9</v>
      </c>
      <c r="H195" s="6">
        <f>_xlfn.XLOOKUP(C196,'2024'!C:C,'2024'!B:B,"")</f>
        <v>45391.712500000001</v>
      </c>
      <c r="I195" s="19">
        <f t="shared" si="12"/>
        <v>45391.712500000001</v>
      </c>
      <c r="J195" s="6">
        <f>_xlfn.XLOOKUP(C195,'2025'!C:C,'2025'!A:A,"")</f>
        <v>45755.766666666997</v>
      </c>
      <c r="K195" s="6" t="str">
        <f>_xlfn.XLOOKUP(C195,'2025'!C:C,'2025'!B:B,"")</f>
        <v>No Selection Time Issued</v>
      </c>
      <c r="L195" s="19">
        <f t="shared" si="13"/>
        <v>45755.766666666997</v>
      </c>
      <c r="M195" s="16" cm="1">
        <f t="array" ref="M195">IFERROR(_xlfn.LET(
_xlpm.x,TRIM(C195),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5" s="16" t="b">
        <f t="shared" si="14"/>
        <v>0</v>
      </c>
    </row>
    <row r="196" spans="1:14" x14ac:dyDescent="0.25">
      <c r="A196" s="5" t="s">
        <v>45</v>
      </c>
      <c r="B196" s="16">
        <v>172</v>
      </c>
      <c r="C196" s="16" t="str">
        <v>Clark III - 320</v>
      </c>
      <c r="D196" s="6">
        <f>_xlfn.XLOOKUP(C196,'2023'!C:C,'2023'!A:A,"")</f>
        <v>45027.822916666999</v>
      </c>
      <c r="E196" s="6">
        <f>_xlfn.XLOOKUP(C196,'2023'!C:C,'2023'!B:B,"")</f>
        <v>45028.716666667002</v>
      </c>
      <c r="F196" s="19">
        <f t="shared" si="15"/>
        <v>45027.822916666999</v>
      </c>
      <c r="G196" s="6">
        <f>_xlfn.XLOOKUP(C196,'2024'!C:C,'2024'!A:A,"")</f>
        <v>45391.814583332998</v>
      </c>
      <c r="H196" s="6">
        <f>_xlfn.XLOOKUP(C197,'2024'!C:C,'2024'!B:B,"")</f>
        <v>45392.716666667002</v>
      </c>
      <c r="I196" s="19">
        <f t="shared" si="12"/>
        <v>45391.814583332998</v>
      </c>
      <c r="J196" s="6" t="str">
        <f>_xlfn.XLOOKUP(C196,'2025'!C:C,'2025'!A:A,"")</f>
        <v/>
      </c>
      <c r="K196" s="6" t="str">
        <f>_xlfn.XLOOKUP(C196,'2025'!C:C,'2025'!B:B,"")</f>
        <v/>
      </c>
      <c r="L196" s="19" t="str">
        <f t="shared" si="13"/>
        <v/>
      </c>
      <c r="M196" s="16" cm="1">
        <f t="array" ref="M196">IFERROR(_xlfn.LET(
_xlpm.x,TRIM(C196),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6" s="16" t="b">
        <f t="shared" si="14"/>
        <v>0</v>
      </c>
    </row>
    <row r="197" spans="1:14" x14ac:dyDescent="0.25">
      <c r="A197" s="5" t="s">
        <v>45</v>
      </c>
      <c r="B197" s="16">
        <v>172</v>
      </c>
      <c r="C197" s="16" t="str">
        <v>Clark III - 321</v>
      </c>
      <c r="D197" s="6">
        <f>_xlfn.XLOOKUP(C197,'2023'!C:C,'2023'!A:A,"")</f>
        <v>45027.847916667</v>
      </c>
      <c r="E197" s="6">
        <f>_xlfn.XLOOKUP(C197,'2023'!C:C,'2023'!B:B,"")</f>
        <v>45028.814583332998</v>
      </c>
      <c r="F197" s="19">
        <f t="shared" si="15"/>
        <v>45027.847916667</v>
      </c>
      <c r="G197" s="6">
        <f>_xlfn.XLOOKUP(C197,'2024'!C:C,'2024'!A:A,"")</f>
        <v>45391.84375</v>
      </c>
      <c r="H197" s="6">
        <f>_xlfn.XLOOKUP(C198,'2024'!C:C,'2024'!B:B,"")</f>
        <v>45393.708333333001</v>
      </c>
      <c r="I197" s="19">
        <f t="shared" si="12"/>
        <v>45391.84375</v>
      </c>
      <c r="J197" s="6" t="str">
        <f>_xlfn.XLOOKUP(C197,'2025'!C:C,'2025'!A:A,"")</f>
        <v/>
      </c>
      <c r="K197" s="6" t="str">
        <f>_xlfn.XLOOKUP(C197,'2025'!C:C,'2025'!B:B,"")</f>
        <v/>
      </c>
      <c r="L197" s="19" t="str">
        <f t="shared" si="13"/>
        <v/>
      </c>
      <c r="M197" s="16" cm="1">
        <f t="array" ref="M197">IFERROR(_xlfn.LET(
_xlpm.x,TRIM(C197),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7" s="16" t="b">
        <f t="shared" si="14"/>
        <v>0</v>
      </c>
    </row>
    <row r="198" spans="1:14" x14ac:dyDescent="0.25">
      <c r="A198" s="5" t="s">
        <v>45</v>
      </c>
      <c r="B198" s="16">
        <v>172</v>
      </c>
      <c r="C198" s="16" t="str">
        <v>Clark III - 322</v>
      </c>
      <c r="D198" s="6">
        <f>_xlfn.XLOOKUP(C198,'2023'!C:C,'2023'!A:A,"")</f>
        <v>45027.831250000003</v>
      </c>
      <c r="E198" s="6">
        <f>_xlfn.XLOOKUP(C198,'2023'!C:C,'2023'!B:B,"")</f>
        <v>45029.712500000001</v>
      </c>
      <c r="F198" s="19">
        <f t="shared" si="15"/>
        <v>45027.831250000003</v>
      </c>
      <c r="G198" s="6">
        <f>_xlfn.XLOOKUP(C198,'2024'!C:C,'2024'!A:A,"")</f>
        <v>45391.875</v>
      </c>
      <c r="H198" s="6">
        <f>_xlfn.XLOOKUP(C199,'2024'!C:C,'2024'!B:B,"")</f>
        <v>45391.735416666997</v>
      </c>
      <c r="I198" s="19">
        <f t="shared" si="12"/>
        <v>45391.735416666997</v>
      </c>
      <c r="J198" s="6" t="str">
        <f>_xlfn.XLOOKUP(C198,'2025'!C:C,'2025'!A:A,"")</f>
        <v/>
      </c>
      <c r="K198" s="6" t="str">
        <f>_xlfn.XLOOKUP(C198,'2025'!C:C,'2025'!B:B,"")</f>
        <v/>
      </c>
      <c r="L198" s="19" t="str">
        <f t="shared" si="13"/>
        <v/>
      </c>
      <c r="M198" s="16" cm="1">
        <f t="array" ref="M198">IFERROR(_xlfn.LET(
_xlpm.x,TRIM(C198),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8" s="16" t="b">
        <f t="shared" si="14"/>
        <v>0</v>
      </c>
    </row>
    <row r="199" spans="1:14" x14ac:dyDescent="0.25">
      <c r="A199" s="5" t="s">
        <v>744</v>
      </c>
      <c r="B199" s="16">
        <v>172</v>
      </c>
      <c r="C199" s="16" t="str">
        <v>Clark III - 323</v>
      </c>
      <c r="D199" s="6">
        <f>_xlfn.XLOOKUP(C199,'2023'!C:C,'2023'!A:A,"")</f>
        <v>45027.820833332997</v>
      </c>
      <c r="E199" s="6">
        <f>_xlfn.XLOOKUP(C199,'2023'!C:C,'2023'!B:B,"")</f>
        <v>45029.754166667</v>
      </c>
      <c r="F199" s="19">
        <f t="shared" si="15"/>
        <v>45027.820833332997</v>
      </c>
      <c r="G199" s="6">
        <f>_xlfn.XLOOKUP(C199,'2024'!C:C,'2024'!A:A,"")</f>
        <v>45391.791666666999</v>
      </c>
      <c r="H199" s="6">
        <f>_xlfn.XLOOKUP(C200,'2024'!C:C,'2024'!B:B,"")</f>
        <v>45392.708333333001</v>
      </c>
      <c r="I199" s="19">
        <f t="shared" si="12"/>
        <v>45391.791666666999</v>
      </c>
      <c r="J199" s="6" t="str">
        <f>_xlfn.XLOOKUP(C199,'2025'!C:C,'2025'!A:A,"")</f>
        <v/>
      </c>
      <c r="K199" s="6" t="str">
        <f>_xlfn.XLOOKUP(C199,'2025'!C:C,'2025'!B:B,"")</f>
        <v/>
      </c>
      <c r="L199" s="19" t="str">
        <f t="shared" si="13"/>
        <v/>
      </c>
      <c r="M199" s="16" cm="1">
        <f t="array" ref="M199">IFERROR(_xlfn.LET(
_xlpm.x,TRIM(C199),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199" s="16" t="b">
        <f t="shared" si="14"/>
        <v>0</v>
      </c>
    </row>
    <row r="200" spans="1:14" x14ac:dyDescent="0.25">
      <c r="A200" s="5" t="s">
        <v>744</v>
      </c>
      <c r="B200" s="16">
        <v>172</v>
      </c>
      <c r="C200" s="16" t="str">
        <v>Clark III - 324</v>
      </c>
      <c r="D200" s="6">
        <f>_xlfn.XLOOKUP(C200,'2023'!C:C,'2023'!A:A,"")</f>
        <v>45027.71875</v>
      </c>
      <c r="E200" s="6">
        <f>_xlfn.XLOOKUP(C200,'2023'!C:C,'2023'!B:B,"")</f>
        <v>45029.8125</v>
      </c>
      <c r="F200" s="19">
        <f t="shared" si="15"/>
        <v>45027.71875</v>
      </c>
      <c r="G200" s="6">
        <f>_xlfn.XLOOKUP(C200,'2024'!C:C,'2024'!A:A,"")</f>
        <v>45391.820833332997</v>
      </c>
      <c r="H200" s="6">
        <f>_xlfn.XLOOKUP(C201,'2024'!C:C,'2024'!B:B,"")</f>
        <v>45393.722916667</v>
      </c>
      <c r="I200" s="19">
        <f t="shared" si="12"/>
        <v>45391.820833332997</v>
      </c>
      <c r="J200" s="6" t="str">
        <f>_xlfn.XLOOKUP(C200,'2025'!C:C,'2025'!A:A,"")</f>
        <v/>
      </c>
      <c r="K200" s="6" t="str">
        <f>_xlfn.XLOOKUP(C200,'2025'!C:C,'2025'!B:B,"")</f>
        <v/>
      </c>
      <c r="L200" s="19" t="str">
        <f t="shared" si="13"/>
        <v/>
      </c>
      <c r="M200" s="16" cm="1">
        <f t="array" ref="M200">IFERROR(_xlfn.LET(
_xlpm.x,TRIM(C200),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0" s="16" t="b">
        <f t="shared" si="14"/>
        <v>0</v>
      </c>
    </row>
    <row r="201" spans="1:14" x14ac:dyDescent="0.25">
      <c r="A201" s="5" t="s">
        <v>768</v>
      </c>
      <c r="B201" s="16">
        <v>178</v>
      </c>
      <c r="C201" s="16" t="str">
        <v>Clark III - 325</v>
      </c>
      <c r="D201" s="6" t="str">
        <f>_xlfn.XLOOKUP(C201,'2023'!C:C,'2023'!A:A,"")</f>
        <v/>
      </c>
      <c r="E201" s="6" t="str">
        <f>_xlfn.XLOOKUP(C201,'2023'!C:C,'2023'!B:B,"")</f>
        <v/>
      </c>
      <c r="F201" s="19" t="str">
        <f t="shared" si="15"/>
        <v/>
      </c>
      <c r="G201" s="6">
        <f>_xlfn.XLOOKUP(C201,'2024'!C:C,'2024'!A:A,"")</f>
        <v>45391.791666666999</v>
      </c>
      <c r="H201" s="6">
        <f>_xlfn.XLOOKUP(C202,'2024'!C:C,'2024'!B:B,"")</f>
        <v>45391.870833333</v>
      </c>
      <c r="I201" s="19">
        <f t="shared" si="12"/>
        <v>45391.791666666999</v>
      </c>
      <c r="J201" s="6">
        <f>_xlfn.XLOOKUP(C201,'2025'!C:C,'2025'!A:A,"")</f>
        <v>45755.791666666999</v>
      </c>
      <c r="K201" s="6" t="str">
        <f>_xlfn.XLOOKUP(C201,'2025'!C:C,'2025'!B:B,"")</f>
        <v>No Selection Time Issued</v>
      </c>
      <c r="L201" s="19">
        <f t="shared" si="13"/>
        <v>45755.791666666999</v>
      </c>
      <c r="M201" s="16" cm="1">
        <f t="array" ref="M201">IFERROR(_xlfn.LET(
_xlpm.x,TRIM(C201),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1" s="16" t="b">
        <f t="shared" si="14"/>
        <v>0</v>
      </c>
    </row>
    <row r="202" spans="1:14" x14ac:dyDescent="0.25">
      <c r="A202" s="5" t="s">
        <v>768</v>
      </c>
      <c r="B202" s="16">
        <v>149</v>
      </c>
      <c r="C202" s="16" t="str">
        <v>Clark V - CL-V 401-404 - 401</v>
      </c>
      <c r="D202" s="6">
        <f>_xlfn.XLOOKUP(C202,'2023'!C:C,'2023'!A:A,"")</f>
        <v>45027.893750000003</v>
      </c>
      <c r="E202" s="6" t="str">
        <f>_xlfn.XLOOKUP(C202,'2023'!C:C,'2023'!B:B,"")</f>
        <v>No Selection Time Issued</v>
      </c>
      <c r="F202" s="19">
        <f t="shared" si="15"/>
        <v>45027.893750000003</v>
      </c>
      <c r="G202" s="6">
        <f>_xlfn.XLOOKUP(C202,'2024'!C:C,'2024'!A:A,"")</f>
        <v>45391.735416666997</v>
      </c>
      <c r="H202" s="6">
        <f>_xlfn.XLOOKUP(C203,'2024'!C:C,'2024'!B:B,"")</f>
        <v>45392.824999999997</v>
      </c>
      <c r="I202" s="19">
        <f t="shared" si="12"/>
        <v>45391.735416666997</v>
      </c>
      <c r="J202" s="6">
        <f>_xlfn.XLOOKUP(C202,'2025'!C:C,'2025'!A:A,"")</f>
        <v>45755.8</v>
      </c>
      <c r="K202" s="6">
        <f>_xlfn.XLOOKUP(C202,'2025'!C:C,'2025'!B:B,"")</f>
        <v>45755.727083332997</v>
      </c>
      <c r="L202" s="19">
        <f t="shared" si="13"/>
        <v>45755.727083332997</v>
      </c>
      <c r="M202" s="16" cm="1">
        <f t="array" ref="M202">IFERROR(_xlfn.LET(
_xlpm.x,TRIM(C202),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2" s="16" t="b">
        <f t="shared" si="14"/>
        <v>0</v>
      </c>
    </row>
    <row r="203" spans="1:14" x14ac:dyDescent="0.25">
      <c r="A203" s="5" t="s">
        <v>116</v>
      </c>
      <c r="B203" s="16">
        <v>144</v>
      </c>
      <c r="C203" s="16" t="str">
        <v>Clark V - CL-V 401-404 - 402</v>
      </c>
      <c r="D203" s="6">
        <f>_xlfn.XLOOKUP(C203,'2023'!C:C,'2023'!A:A,"")</f>
        <v>45027.727083332997</v>
      </c>
      <c r="E203" s="6">
        <f>_xlfn.XLOOKUP(C203,'2023'!C:C,'2023'!B:B,"")</f>
        <v>45027.712500000001</v>
      </c>
      <c r="F203" s="19">
        <f t="shared" si="15"/>
        <v>45027.712500000001</v>
      </c>
      <c r="G203" s="6">
        <f>_xlfn.XLOOKUP(C203,'2024'!C:C,'2024'!A:A,"")</f>
        <v>45391.78125</v>
      </c>
      <c r="H203" s="6">
        <f>_xlfn.XLOOKUP(C204,'2024'!C:C,'2024'!B:B,"")</f>
        <v>45391.85</v>
      </c>
      <c r="I203" s="19">
        <f t="shared" si="12"/>
        <v>45391.78125</v>
      </c>
      <c r="J203" s="6">
        <f>_xlfn.XLOOKUP(C203,'2025'!C:C,'2025'!A:A,"")</f>
        <v>45755.839583333</v>
      </c>
      <c r="K203" s="6">
        <f>_xlfn.XLOOKUP(C203,'2025'!C:C,'2025'!B:B,"")</f>
        <v>45755.727083332997</v>
      </c>
      <c r="L203" s="19">
        <f t="shared" si="13"/>
        <v>45755.727083332997</v>
      </c>
      <c r="M203" s="16" cm="1">
        <f t="array" ref="M203">IFERROR(_xlfn.LET(
_xlpm.x,TRIM(C203),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3" s="16" t="b">
        <f t="shared" si="14"/>
        <v>0</v>
      </c>
    </row>
    <row r="204" spans="1:14" x14ac:dyDescent="0.25">
      <c r="A204" s="5" t="s">
        <v>116</v>
      </c>
      <c r="B204" s="16">
        <v>147</v>
      </c>
      <c r="C204" s="16" t="str">
        <v>Clark V - CL-V 401-404 - 403</v>
      </c>
      <c r="D204" s="6">
        <f>_xlfn.XLOOKUP(C204,'2023'!C:C,'2023'!A:A,"")</f>
        <v>45027.770833333001</v>
      </c>
      <c r="E204" s="6" t="str">
        <f>_xlfn.XLOOKUP(C204,'2023'!C:C,'2023'!B:B,"")</f>
        <v>No Selection Time Issued</v>
      </c>
      <c r="F204" s="19">
        <f t="shared" si="15"/>
        <v>45027.770833333001</v>
      </c>
      <c r="G204" s="6">
        <f>_xlfn.XLOOKUP(C204,'2024'!C:C,'2024'!A:A,"")</f>
        <v>45391.904166667002</v>
      </c>
      <c r="H204" s="6">
        <f>_xlfn.XLOOKUP(C205,'2024'!C:C,'2024'!B:B,"")</f>
        <v>45392.764583333003</v>
      </c>
      <c r="I204" s="19">
        <f t="shared" si="12"/>
        <v>45391.904166667002</v>
      </c>
      <c r="J204" s="6">
        <f>_xlfn.XLOOKUP(C204,'2025'!C:C,'2025'!A:A,"")</f>
        <v>45755.833333333001</v>
      </c>
      <c r="K204" s="6">
        <f>_xlfn.XLOOKUP(C204,'2025'!C:C,'2025'!B:B,"")</f>
        <v>45755.727083332997</v>
      </c>
      <c r="L204" s="19">
        <f t="shared" si="13"/>
        <v>45755.727083332997</v>
      </c>
      <c r="M204" s="16" cm="1">
        <f t="array" ref="M204">IFERROR(_xlfn.LET(
_xlpm.x,TRIM(C204),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4" s="16" t="b">
        <f t="shared" si="14"/>
        <v>0</v>
      </c>
    </row>
    <row r="205" spans="1:14" x14ac:dyDescent="0.25">
      <c r="A205" s="5" t="s">
        <v>710</v>
      </c>
      <c r="B205" s="16">
        <v>142</v>
      </c>
      <c r="C205" s="16" t="str">
        <v>Clark V - CL-V 401-404 - 404</v>
      </c>
      <c r="D205" s="6">
        <f>_xlfn.XLOOKUP(C205,'2023'!C:C,'2023'!A:A,"")</f>
        <v>45027.814583332998</v>
      </c>
      <c r="E205" s="6" t="str">
        <f>_xlfn.XLOOKUP(C205,'2023'!C:C,'2023'!B:B,"")</f>
        <v>No Selection Time Issued</v>
      </c>
      <c r="F205" s="19">
        <f t="shared" si="15"/>
        <v>45027.814583332998</v>
      </c>
      <c r="G205" s="6">
        <f>_xlfn.XLOOKUP(C205,'2024'!C:C,'2024'!A:A,"")</f>
        <v>45391.908333332998</v>
      </c>
      <c r="H205" s="6">
        <f>_xlfn.XLOOKUP(C206,'2024'!C:C,'2024'!B:B,"")</f>
        <v>45392.743750000001</v>
      </c>
      <c r="I205" s="19">
        <f t="shared" si="12"/>
        <v>45391.908333332998</v>
      </c>
      <c r="J205" s="6">
        <f>_xlfn.XLOOKUP(C205,'2025'!C:C,'2025'!A:A,"")</f>
        <v>45755.727083332997</v>
      </c>
      <c r="K205" s="6">
        <f>_xlfn.XLOOKUP(C205,'2025'!C:C,'2025'!B:B,"")</f>
        <v>45755.727083332997</v>
      </c>
      <c r="L205" s="19">
        <f t="shared" si="13"/>
        <v>45755.727083332997</v>
      </c>
      <c r="M205" s="16" cm="1">
        <f t="array" ref="M205">IFERROR(_xlfn.LET(
_xlpm.x,TRIM(C205),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5" s="16" t="b">
        <f t="shared" si="14"/>
        <v>0</v>
      </c>
    </row>
    <row r="206" spans="1:14" x14ac:dyDescent="0.25">
      <c r="A206" s="5" t="s">
        <v>710</v>
      </c>
      <c r="B206" s="16">
        <v>147</v>
      </c>
      <c r="C206" s="16" t="str">
        <v>Clark V - CL-V 405-408 - 405</v>
      </c>
      <c r="D206" s="6">
        <f>_xlfn.XLOOKUP(C206,'2023'!C:C,'2023'!A:A,"")</f>
        <v>45028.814583332998</v>
      </c>
      <c r="E206" s="6">
        <f>_xlfn.XLOOKUP(C206,'2023'!C:C,'2023'!B:B,"")</f>
        <v>45027.714583333</v>
      </c>
      <c r="F206" s="19">
        <f t="shared" si="15"/>
        <v>45027.714583333</v>
      </c>
      <c r="G206" s="6">
        <f>_xlfn.XLOOKUP(C206,'2024'!C:C,'2024'!A:A,"")</f>
        <v>45391.864583333001</v>
      </c>
      <c r="H206" s="6">
        <f>_xlfn.XLOOKUP(C207,'2024'!C:C,'2024'!B:B,"")</f>
        <v>45391.724999999999</v>
      </c>
      <c r="I206" s="19">
        <f t="shared" si="12"/>
        <v>45391.724999999999</v>
      </c>
      <c r="J206" s="6">
        <f>_xlfn.XLOOKUP(C206,'2025'!C:C,'2025'!A:A,"")</f>
        <v>45755.733333333003</v>
      </c>
      <c r="K206" s="6">
        <f>_xlfn.XLOOKUP(C206,'2025'!C:C,'2025'!B:B,"")</f>
        <v>45755.733333333003</v>
      </c>
      <c r="L206" s="19">
        <f t="shared" si="13"/>
        <v>45755.733333333003</v>
      </c>
      <c r="M206" s="16" cm="1">
        <f t="array" ref="M206">IFERROR(_xlfn.LET(
_xlpm.x,TRIM(C206),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6" s="16" t="b">
        <f t="shared" si="14"/>
        <v>0</v>
      </c>
    </row>
    <row r="207" spans="1:14" x14ac:dyDescent="0.25">
      <c r="A207" s="5" t="s">
        <v>269</v>
      </c>
      <c r="B207" s="16">
        <v>147</v>
      </c>
      <c r="C207" s="16" t="str">
        <v>Clark V - CL-V 405-408 - 406</v>
      </c>
      <c r="D207" s="6">
        <f>_xlfn.XLOOKUP(C207,'2023'!C:C,'2023'!A:A,"")</f>
        <v>45027.777083333</v>
      </c>
      <c r="E207" s="6">
        <f>_xlfn.XLOOKUP(C207,'2023'!C:C,'2023'!B:B,"")</f>
        <v>45029.822916666999</v>
      </c>
      <c r="F207" s="19">
        <f t="shared" si="15"/>
        <v>45027.777083333</v>
      </c>
      <c r="G207" s="6">
        <f>_xlfn.XLOOKUP(C207,'2024'!C:C,'2024'!A:A,"")</f>
        <v>45391.745833333</v>
      </c>
      <c r="H207" s="6">
        <f>_xlfn.XLOOKUP(C208,'2024'!C:C,'2024'!B:B,"")</f>
        <v>45392.724999999999</v>
      </c>
      <c r="I207" s="19">
        <f t="shared" si="12"/>
        <v>45391.745833333</v>
      </c>
      <c r="J207" s="6">
        <f>_xlfn.XLOOKUP(C207,'2025'!C:C,'2025'!A:A,"")</f>
        <v>45755.833333333001</v>
      </c>
      <c r="K207" s="6">
        <f>_xlfn.XLOOKUP(C207,'2025'!C:C,'2025'!B:B,"")</f>
        <v>45755.733333333003</v>
      </c>
      <c r="L207" s="19">
        <f t="shared" si="13"/>
        <v>45755.733333333003</v>
      </c>
      <c r="M207" s="16" cm="1">
        <f t="array" ref="M207">IFERROR(_xlfn.LET(
_xlpm.x,TRIM(C207),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7" s="16" t="b">
        <f t="shared" si="14"/>
        <v>0</v>
      </c>
    </row>
    <row r="208" spans="1:14" x14ac:dyDescent="0.25">
      <c r="A208" s="5" t="s">
        <v>269</v>
      </c>
      <c r="B208" s="16">
        <v>146</v>
      </c>
      <c r="C208" s="16" t="str">
        <v>Clark V - CL-V 405-408 - 407</v>
      </c>
      <c r="D208" s="6">
        <f>_xlfn.XLOOKUP(C208,'2023'!C:C,'2023'!A:A,"")</f>
        <v>45027.741666667003</v>
      </c>
      <c r="E208" s="6">
        <f>_xlfn.XLOOKUP(C208,'2023'!C:C,'2023'!B:B,"")</f>
        <v>45027.895833333001</v>
      </c>
      <c r="F208" s="19">
        <f t="shared" si="15"/>
        <v>45027.741666667003</v>
      </c>
      <c r="G208" s="6">
        <f>_xlfn.XLOOKUP(C208,'2024'!C:C,'2024'!A:A,"")</f>
        <v>45391.872916667002</v>
      </c>
      <c r="H208" s="6">
        <f>_xlfn.XLOOKUP(C209,'2024'!C:C,'2024'!B:B,"")</f>
        <v>45391.731249999997</v>
      </c>
      <c r="I208" s="19">
        <f t="shared" si="12"/>
        <v>45391.731249999997</v>
      </c>
      <c r="J208" s="6">
        <f>_xlfn.XLOOKUP(C208,'2025'!C:C,'2025'!A:A,"")</f>
        <v>45757.835416667003</v>
      </c>
      <c r="K208" s="6">
        <f>_xlfn.XLOOKUP(C208,'2025'!C:C,'2025'!B:B,"")</f>
        <v>45755.733333333003</v>
      </c>
      <c r="L208" s="19">
        <f t="shared" si="13"/>
        <v>45755.733333333003</v>
      </c>
      <c r="M208" s="16" cm="1">
        <f t="array" ref="M208">IFERROR(_xlfn.LET(
_xlpm.x,TRIM(C208),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8" s="16" t="b">
        <f t="shared" si="14"/>
        <v>0</v>
      </c>
    </row>
    <row r="209" spans="1:14" x14ac:dyDescent="0.25">
      <c r="A209" s="5" t="s">
        <v>269</v>
      </c>
      <c r="B209" s="16">
        <v>147</v>
      </c>
      <c r="C209" s="16" t="str">
        <v>Clark V - CL-V 405-408 - 408</v>
      </c>
      <c r="D209" s="6">
        <f>_xlfn.XLOOKUP(C209,'2023'!C:C,'2023'!A:A,"")</f>
        <v>45027.866666667003</v>
      </c>
      <c r="E209" s="6">
        <f>_xlfn.XLOOKUP(C209,'2023'!C:C,'2023'!B:B,"")</f>
        <v>45027.720833332998</v>
      </c>
      <c r="F209" s="19">
        <f t="shared" si="15"/>
        <v>45027.720833332998</v>
      </c>
      <c r="G209" s="6">
        <f>_xlfn.XLOOKUP(C209,'2024'!C:C,'2024'!A:A,"")</f>
        <v>45391.847916667</v>
      </c>
      <c r="H209" s="6">
        <f>_xlfn.XLOOKUP(C210,'2024'!C:C,'2024'!B:B,"")</f>
        <v>45393.712500000001</v>
      </c>
      <c r="I209" s="19">
        <f t="shared" si="12"/>
        <v>45391.847916667</v>
      </c>
      <c r="J209" s="6">
        <f>_xlfn.XLOOKUP(C209,'2025'!C:C,'2025'!A:A,"")</f>
        <v>45755.895833333001</v>
      </c>
      <c r="K209" s="6">
        <f>_xlfn.XLOOKUP(C209,'2025'!C:C,'2025'!B:B,"")</f>
        <v>45755.733333333003</v>
      </c>
      <c r="L209" s="19">
        <f t="shared" si="13"/>
        <v>45755.733333333003</v>
      </c>
      <c r="M209" s="16" cm="1">
        <f t="array" ref="M209">IFERROR(_xlfn.LET(
_xlpm.x,TRIM(C209),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09" s="16" t="b">
        <f t="shared" si="14"/>
        <v>0</v>
      </c>
    </row>
    <row r="210" spans="1:14" x14ac:dyDescent="0.25">
      <c r="A210" s="5" t="s">
        <v>616</v>
      </c>
      <c r="B210" s="16">
        <v>147</v>
      </c>
      <c r="C210" s="16" t="str">
        <v>Clark V - CL-V 409-412 - 409</v>
      </c>
      <c r="D210" s="6">
        <f>_xlfn.XLOOKUP(C210,'2023'!C:C,'2023'!A:A,"")</f>
        <v>45028.824999999997</v>
      </c>
      <c r="E210" s="6">
        <f>_xlfn.XLOOKUP(C210,'2023'!C:C,'2023'!B:B,"")</f>
        <v>45028.837500000001</v>
      </c>
      <c r="F210" s="19">
        <f t="shared" si="15"/>
        <v>45028.824999999997</v>
      </c>
      <c r="G210" s="6">
        <f>_xlfn.XLOOKUP(C210,'2024'!C:C,'2024'!A:A,"")</f>
        <v>45391.827083333003</v>
      </c>
      <c r="H210" s="6">
        <f>_xlfn.XLOOKUP(C211,'2024'!C:C,'2024'!B:B,"")</f>
        <v>45391.708333333001</v>
      </c>
      <c r="I210" s="19">
        <f t="shared" si="12"/>
        <v>45391.708333333001</v>
      </c>
      <c r="J210" s="6">
        <f>_xlfn.XLOOKUP(C210,'2025'!C:C,'2025'!A:A,"")</f>
        <v>45755.8125</v>
      </c>
      <c r="K210" s="6">
        <f>_xlfn.XLOOKUP(C210,'2025'!C:C,'2025'!B:B,"")</f>
        <v>45755.731249999997</v>
      </c>
      <c r="L210" s="19">
        <f t="shared" si="13"/>
        <v>45755.731249999997</v>
      </c>
      <c r="M210" s="16" cm="1">
        <f t="array" ref="M210">IFERROR(_xlfn.LET(
_xlpm.x,TRIM(C210),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0" s="16" t="b">
        <f t="shared" si="14"/>
        <v>0</v>
      </c>
    </row>
    <row r="211" spans="1:14" x14ac:dyDescent="0.25">
      <c r="A211" s="5" t="s">
        <v>616</v>
      </c>
      <c r="B211" s="16">
        <v>147</v>
      </c>
      <c r="C211" s="16" t="str">
        <v>Clark V - CL-V 409-412 - 410</v>
      </c>
      <c r="D211" s="6">
        <f>_xlfn.XLOOKUP(C211,'2023'!C:C,'2023'!A:A,"")</f>
        <v>45027.729166666999</v>
      </c>
      <c r="E211" s="6" t="str">
        <f>_xlfn.XLOOKUP(C211,'2023'!C:C,'2023'!B:B,"")</f>
        <v>No Selection Time Issued</v>
      </c>
      <c r="F211" s="19">
        <f t="shared" si="15"/>
        <v>45027.729166666999</v>
      </c>
      <c r="G211" s="6">
        <f>_xlfn.XLOOKUP(C211,'2024'!C:C,'2024'!A:A,"")</f>
        <v>45391.791666666999</v>
      </c>
      <c r="H211" s="6">
        <f>_xlfn.XLOOKUP(C212,'2024'!C:C,'2024'!B:B,"")</f>
        <v>45391.716666667002</v>
      </c>
      <c r="I211" s="19">
        <f t="shared" si="12"/>
        <v>45391.716666667002</v>
      </c>
      <c r="J211" s="6">
        <f>_xlfn.XLOOKUP(C211,'2025'!C:C,'2025'!A:A,"")</f>
        <v>45756.714583333</v>
      </c>
      <c r="K211" s="6">
        <f>_xlfn.XLOOKUP(C211,'2025'!C:C,'2025'!B:B,"")</f>
        <v>45755.731249999997</v>
      </c>
      <c r="L211" s="19">
        <f t="shared" si="13"/>
        <v>45755.731249999997</v>
      </c>
      <c r="M211" s="16" cm="1">
        <f t="array" ref="M211">IFERROR(_xlfn.LET(
_xlpm.x,TRIM(C211),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1" s="16" t="b">
        <f t="shared" si="14"/>
        <v>0</v>
      </c>
    </row>
    <row r="212" spans="1:14" x14ac:dyDescent="0.25">
      <c r="A212" s="5" t="s">
        <v>616</v>
      </c>
      <c r="B212" s="16">
        <v>146</v>
      </c>
      <c r="C212" s="16" t="str">
        <v>Clark V - CL-V 409-412 - 411</v>
      </c>
      <c r="D212" s="6">
        <f>_xlfn.XLOOKUP(C212,'2023'!C:C,'2023'!A:A,"")</f>
        <v>45028.795833333003</v>
      </c>
      <c r="E212" s="6">
        <f>_xlfn.XLOOKUP(C212,'2023'!C:C,'2023'!B:B,"")</f>
        <v>45029.737500000003</v>
      </c>
      <c r="F212" s="19">
        <f t="shared" si="15"/>
        <v>45028.795833333003</v>
      </c>
      <c r="G212" s="6">
        <f>_xlfn.XLOOKUP(C212,'2024'!C:C,'2024'!A:A,"")</f>
        <v>45392.816666667</v>
      </c>
      <c r="H212" s="6">
        <f>_xlfn.XLOOKUP(C213,'2024'!C:C,'2024'!B:B,"")</f>
        <v>45392.770833333001</v>
      </c>
      <c r="I212" s="19">
        <f t="shared" si="12"/>
        <v>45392.770833333001</v>
      </c>
      <c r="J212" s="6">
        <f>_xlfn.XLOOKUP(C212,'2025'!C:C,'2025'!A:A,"")</f>
        <v>45755.731249999997</v>
      </c>
      <c r="K212" s="6">
        <f>_xlfn.XLOOKUP(C212,'2025'!C:C,'2025'!B:B,"")</f>
        <v>45755.731249999997</v>
      </c>
      <c r="L212" s="19">
        <f t="shared" si="13"/>
        <v>45755.731249999997</v>
      </c>
      <c r="M212" s="16" cm="1">
        <f t="array" ref="M212">IFERROR(_xlfn.LET(
_xlpm.x,TRIM(C212),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2" s="16" t="b">
        <f t="shared" si="14"/>
        <v>0</v>
      </c>
    </row>
    <row r="213" spans="1:14" x14ac:dyDescent="0.25">
      <c r="A213" s="5" t="s">
        <v>214</v>
      </c>
      <c r="B213" s="16">
        <v>146</v>
      </c>
      <c r="C213" s="16" t="str">
        <v>Clark V - CL-V 409-412 - 412</v>
      </c>
      <c r="D213" s="6">
        <f>_xlfn.XLOOKUP(C213,'2023'!C:C,'2023'!A:A,"")</f>
        <v>45027.743750000001</v>
      </c>
      <c r="E213" s="6">
        <f>_xlfn.XLOOKUP(C213,'2023'!C:C,'2023'!B:B,"")</f>
        <v>45027.737500000003</v>
      </c>
      <c r="F213" s="19">
        <f t="shared" si="15"/>
        <v>45027.737500000003</v>
      </c>
      <c r="G213" s="6">
        <f>_xlfn.XLOOKUP(C213,'2024'!C:C,'2024'!A:A,"")</f>
        <v>45391.733333333003</v>
      </c>
      <c r="H213" s="6">
        <f>_xlfn.XLOOKUP(C214,'2024'!C:C,'2024'!B:B,"")</f>
        <v>45391.885416666999</v>
      </c>
      <c r="I213" s="19">
        <f t="shared" si="12"/>
        <v>45391.733333333003</v>
      </c>
      <c r="J213" s="6">
        <f>_xlfn.XLOOKUP(C213,'2025'!C:C,'2025'!A:A,"")</f>
        <v>45755.877083332998</v>
      </c>
      <c r="K213" s="6">
        <f>_xlfn.XLOOKUP(C213,'2025'!C:C,'2025'!B:B,"")</f>
        <v>45755.731249999997</v>
      </c>
      <c r="L213" s="19">
        <f t="shared" si="13"/>
        <v>45755.731249999997</v>
      </c>
      <c r="M213" s="16" cm="1">
        <f t="array" ref="M213">IFERROR(_xlfn.LET(
_xlpm.x,TRIM(C213),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3" s="16" t="b">
        <f t="shared" si="14"/>
        <v>0</v>
      </c>
    </row>
    <row r="214" spans="1:14" x14ac:dyDescent="0.25">
      <c r="A214" s="5" t="s">
        <v>214</v>
      </c>
      <c r="B214" s="16">
        <v>150</v>
      </c>
      <c r="C214" s="16" t="str">
        <v>Clark V - CL-V 413-416 - 413</v>
      </c>
      <c r="D214" s="6" t="str">
        <f>_xlfn.XLOOKUP(C214,'2023'!C:C,'2023'!A:A,"")</f>
        <v/>
      </c>
      <c r="E214" s="6" t="str">
        <f>_xlfn.XLOOKUP(C214,'2023'!C:C,'2023'!B:B,"")</f>
        <v/>
      </c>
      <c r="F214" s="19" t="str">
        <f t="shared" si="15"/>
        <v/>
      </c>
      <c r="G214" s="6">
        <f>_xlfn.XLOOKUP(C214,'2024'!C:C,'2024'!A:A,"")</f>
        <v>45391.833333333001</v>
      </c>
      <c r="H214" s="6">
        <f>_xlfn.XLOOKUP(C215,'2024'!C:C,'2024'!B:B,"")</f>
        <v>45391.85</v>
      </c>
      <c r="I214" s="19">
        <f t="shared" si="12"/>
        <v>45391.833333333001</v>
      </c>
      <c r="J214" s="6">
        <f>_xlfn.XLOOKUP(C214,'2025'!C:C,'2025'!A:A,"")</f>
        <v>45755.868750000001</v>
      </c>
      <c r="K214" s="6">
        <f>_xlfn.XLOOKUP(C214,'2025'!C:C,'2025'!B:B,"")</f>
        <v>45755.741666667003</v>
      </c>
      <c r="L214" s="19">
        <f t="shared" si="13"/>
        <v>45755.741666667003</v>
      </c>
      <c r="M214" s="16" cm="1">
        <f t="array" ref="M214">IFERROR(_xlfn.LET(
_xlpm.x,TRIM(C214),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4" s="16" t="b">
        <f t="shared" si="14"/>
        <v>0</v>
      </c>
    </row>
    <row r="215" spans="1:14" x14ac:dyDescent="0.25">
      <c r="A215" s="5" t="s">
        <v>214</v>
      </c>
      <c r="B215" s="16">
        <v>147</v>
      </c>
      <c r="C215" s="16" t="str">
        <v>Clark V - CL-V 413-416 - 414</v>
      </c>
      <c r="D215" s="6" t="str">
        <f>_xlfn.XLOOKUP(C215,'2023'!C:C,'2023'!A:A,"")</f>
        <v/>
      </c>
      <c r="E215" s="6" t="str">
        <f>_xlfn.XLOOKUP(C215,'2023'!C:C,'2023'!B:B,"")</f>
        <v/>
      </c>
      <c r="F215" s="19" t="str">
        <f t="shared" si="15"/>
        <v/>
      </c>
      <c r="G215" s="6">
        <f>_xlfn.XLOOKUP(C215,'2024'!C:C,'2024'!A:A,"")</f>
        <v>45391.872916667002</v>
      </c>
      <c r="H215" s="6">
        <f>_xlfn.XLOOKUP(C216,'2024'!C:C,'2024'!B:B,"")</f>
        <v>45391.881249999999</v>
      </c>
      <c r="I215" s="19">
        <f t="shared" si="12"/>
        <v>45391.872916667002</v>
      </c>
      <c r="J215" s="6">
        <f>_xlfn.XLOOKUP(C215,'2025'!C:C,'2025'!A:A,"")</f>
        <v>45755.741666667003</v>
      </c>
      <c r="K215" s="6">
        <f>_xlfn.XLOOKUP(C215,'2025'!C:C,'2025'!B:B,"")</f>
        <v>45755.741666667003</v>
      </c>
      <c r="L215" s="19">
        <f t="shared" si="13"/>
        <v>45755.741666667003</v>
      </c>
      <c r="M215" s="16" cm="1">
        <f t="array" ref="M215">IFERROR(_xlfn.LET(
_xlpm.x,TRIM(C215),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5" s="16" t="b">
        <f t="shared" si="14"/>
        <v>0</v>
      </c>
    </row>
    <row r="216" spans="1:14" x14ac:dyDescent="0.25">
      <c r="A216" s="5" t="s">
        <v>670</v>
      </c>
      <c r="B216" s="16">
        <v>147</v>
      </c>
      <c r="C216" s="16" t="str">
        <v>Clark V - CL-V 413-416 - 415</v>
      </c>
      <c r="D216" s="6" t="str">
        <f>_xlfn.XLOOKUP(C216,'2023'!C:C,'2023'!A:A,"")</f>
        <v/>
      </c>
      <c r="E216" s="6" t="str">
        <f>_xlfn.XLOOKUP(C216,'2023'!C:C,'2023'!B:B,"")</f>
        <v/>
      </c>
      <c r="F216" s="19" t="str">
        <f t="shared" si="15"/>
        <v/>
      </c>
      <c r="G216" s="6">
        <f>_xlfn.XLOOKUP(C216,'2024'!C:C,'2024'!A:A,"")</f>
        <v>45391.743750000001</v>
      </c>
      <c r="H216" s="6">
        <f>_xlfn.XLOOKUP(C217,'2024'!C:C,'2024'!B:B,"")</f>
        <v>45391.710416667003</v>
      </c>
      <c r="I216" s="19">
        <f t="shared" si="12"/>
        <v>45391.710416667003</v>
      </c>
      <c r="J216" s="6">
        <f>_xlfn.XLOOKUP(C216,'2025'!C:C,'2025'!A:A,"")</f>
        <v>45755.891666666997</v>
      </c>
      <c r="K216" s="6">
        <f>_xlfn.XLOOKUP(C216,'2025'!C:C,'2025'!B:B,"")</f>
        <v>45755.741666667003</v>
      </c>
      <c r="L216" s="19">
        <f t="shared" si="13"/>
        <v>45755.741666667003</v>
      </c>
      <c r="M216" s="16" cm="1">
        <f t="array" ref="M216">IFERROR(_xlfn.LET(
_xlpm.x,TRIM(C216),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6" s="16" t="b">
        <f t="shared" si="14"/>
        <v>0</v>
      </c>
    </row>
    <row r="217" spans="1:14" x14ac:dyDescent="0.25">
      <c r="A217" s="5" t="s">
        <v>670</v>
      </c>
      <c r="B217" s="16">
        <v>147</v>
      </c>
      <c r="C217" s="16" t="str">
        <v>Clark V - CL-V 413-416 - 416</v>
      </c>
      <c r="D217" s="6" t="str">
        <f>_xlfn.XLOOKUP(C217,'2023'!C:C,'2023'!A:A,"")</f>
        <v/>
      </c>
      <c r="E217" s="6" t="str">
        <f>_xlfn.XLOOKUP(C217,'2023'!C:C,'2023'!B:B,"")</f>
        <v/>
      </c>
      <c r="F217" s="19" t="str">
        <f t="shared" si="15"/>
        <v/>
      </c>
      <c r="G217" s="6">
        <f>_xlfn.XLOOKUP(C217,'2024'!C:C,'2024'!A:A,"")</f>
        <v>45391.891666666997</v>
      </c>
      <c r="H217" s="6">
        <f>_xlfn.XLOOKUP(C218,'2024'!C:C,'2024'!B:B,"")</f>
        <v>45391.745833333</v>
      </c>
      <c r="I217" s="19">
        <f t="shared" si="12"/>
        <v>45391.745833333</v>
      </c>
      <c r="J217" s="6">
        <f>_xlfn.XLOOKUP(C217,'2025'!C:C,'2025'!A:A,"")</f>
        <v>45755.814583332998</v>
      </c>
      <c r="K217" s="6">
        <f>_xlfn.XLOOKUP(C217,'2025'!C:C,'2025'!B:B,"")</f>
        <v>45755.741666667003</v>
      </c>
      <c r="L217" s="19">
        <f t="shared" si="13"/>
        <v>45755.741666667003</v>
      </c>
      <c r="M217" s="16" cm="1">
        <f t="array" ref="M217">IFERROR(_xlfn.LET(
_xlpm.x,TRIM(C217),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7" s="16" t="b">
        <f t="shared" si="14"/>
        <v>0</v>
      </c>
    </row>
    <row r="218" spans="1:14" x14ac:dyDescent="0.25">
      <c r="A218" s="5" t="s">
        <v>670</v>
      </c>
      <c r="B218" s="16">
        <v>147</v>
      </c>
      <c r="C218" s="16" t="str">
        <v>Clark V - CL-V 417-420 - 417</v>
      </c>
      <c r="D218" s="6">
        <f>_xlfn.XLOOKUP(C218,'2023'!C:C,'2023'!A:A,"")</f>
        <v>45027.837500000001</v>
      </c>
      <c r="E218" s="6">
        <f>_xlfn.XLOOKUP(C218,'2023'!C:C,'2023'!B:B,"")</f>
        <v>45027.724999999999</v>
      </c>
      <c r="F218" s="19">
        <f t="shared" si="15"/>
        <v>45027.724999999999</v>
      </c>
      <c r="G218" s="6">
        <f>_xlfn.XLOOKUP(C218,'2024'!C:C,'2024'!A:A,"")</f>
        <v>45391.745833333</v>
      </c>
      <c r="H218" s="6">
        <f>_xlfn.XLOOKUP(C219,'2024'!C:C,'2024'!B:B,"")</f>
        <v>45391.720833332998</v>
      </c>
      <c r="I218" s="19">
        <f t="shared" si="12"/>
        <v>45391.720833332998</v>
      </c>
      <c r="J218" s="6">
        <f>_xlfn.XLOOKUP(C218,'2025'!C:C,'2025'!A:A,"")</f>
        <v>45756.841666667002</v>
      </c>
      <c r="K218" s="6">
        <f>_xlfn.XLOOKUP(C218,'2025'!C:C,'2025'!B:B,"")</f>
        <v>45755.729166666999</v>
      </c>
      <c r="L218" s="19">
        <f t="shared" si="13"/>
        <v>45755.729166666999</v>
      </c>
      <c r="M218" s="16" cm="1">
        <f t="array" ref="M218">IFERROR(_xlfn.LET(
_xlpm.x,TRIM(C218),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8" s="16" t="b">
        <f t="shared" si="14"/>
        <v>0</v>
      </c>
    </row>
    <row r="219" spans="1:14" x14ac:dyDescent="0.25">
      <c r="A219" s="5" t="s">
        <v>142</v>
      </c>
      <c r="B219" s="16">
        <v>147</v>
      </c>
      <c r="C219" s="16" t="str">
        <v>Clark V - CL-V 417-420 - 418</v>
      </c>
      <c r="D219" s="6">
        <f>_xlfn.XLOOKUP(C219,'2023'!C:C,'2023'!A:A,"")</f>
        <v>45027.789583332997</v>
      </c>
      <c r="E219" s="6">
        <f>_xlfn.XLOOKUP(C219,'2023'!C:C,'2023'!B:B,"")</f>
        <v>45028.710416667003</v>
      </c>
      <c r="F219" s="19">
        <f t="shared" si="15"/>
        <v>45027.789583332997</v>
      </c>
      <c r="G219" s="6">
        <f>_xlfn.XLOOKUP(C219,'2024'!C:C,'2024'!A:A,"")</f>
        <v>45391.827083333003</v>
      </c>
      <c r="H219" s="6">
        <f>_xlfn.XLOOKUP(C220,'2024'!C:C,'2024'!B:B,"")</f>
        <v>45393.724999999999</v>
      </c>
      <c r="I219" s="19">
        <f t="shared" si="12"/>
        <v>45391.827083333003</v>
      </c>
      <c r="J219" s="6">
        <f>_xlfn.XLOOKUP(C219,'2025'!C:C,'2025'!A:A,"")</f>
        <v>45756.722916667</v>
      </c>
      <c r="K219" s="6">
        <f>_xlfn.XLOOKUP(C219,'2025'!C:C,'2025'!B:B,"")</f>
        <v>45755.729166666999</v>
      </c>
      <c r="L219" s="19">
        <f t="shared" si="13"/>
        <v>45755.729166666999</v>
      </c>
      <c r="M219" s="16" cm="1">
        <f t="array" ref="M219">IFERROR(_xlfn.LET(
_xlpm.x,TRIM(C219),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19" s="16" t="b">
        <f t="shared" si="14"/>
        <v>0</v>
      </c>
    </row>
    <row r="220" spans="1:14" x14ac:dyDescent="0.25">
      <c r="A220" s="5" t="s">
        <v>142</v>
      </c>
      <c r="B220" s="16">
        <v>146</v>
      </c>
      <c r="C220" s="16" t="str">
        <v>Clark V - CL-V 417-420 - 419</v>
      </c>
      <c r="D220" s="6">
        <f>_xlfn.XLOOKUP(C220,'2023'!C:C,'2023'!A:A,"")</f>
        <v>45027.877083332998</v>
      </c>
      <c r="E220" s="6">
        <f>_xlfn.XLOOKUP(C220,'2023'!C:C,'2023'!B:B,"")</f>
        <v>45029.708333333001</v>
      </c>
      <c r="F220" s="19">
        <f t="shared" si="15"/>
        <v>45027.877083332998</v>
      </c>
      <c r="G220" s="6">
        <f>_xlfn.XLOOKUP(C220,'2024'!C:C,'2024'!A:A,"")</f>
        <v>45391.868750000001</v>
      </c>
      <c r="H220" s="6">
        <f>_xlfn.XLOOKUP(C221,'2024'!C:C,'2024'!B:B,"")</f>
        <v>45392.741666667003</v>
      </c>
      <c r="I220" s="19">
        <f t="shared" si="12"/>
        <v>45391.868750000001</v>
      </c>
      <c r="J220" s="6">
        <f>_xlfn.XLOOKUP(C220,'2025'!C:C,'2025'!A:A,"")</f>
        <v>45755.729166666999</v>
      </c>
      <c r="K220" s="6">
        <f>_xlfn.XLOOKUP(C220,'2025'!C:C,'2025'!B:B,"")</f>
        <v>45755.729166666999</v>
      </c>
      <c r="L220" s="19">
        <f t="shared" si="13"/>
        <v>45755.729166666999</v>
      </c>
      <c r="M220" s="16" cm="1">
        <f t="array" ref="M220">IFERROR(_xlfn.LET(
_xlpm.x,TRIM(C220),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0" s="16" t="b">
        <f t="shared" si="14"/>
        <v>0</v>
      </c>
    </row>
    <row r="221" spans="1:14" x14ac:dyDescent="0.25">
      <c r="A221" s="5" t="s">
        <v>142</v>
      </c>
      <c r="B221" s="16">
        <v>147</v>
      </c>
      <c r="C221" s="16" t="str">
        <v>Clark V - CL-V 417-420 - 420</v>
      </c>
      <c r="D221" s="6">
        <f>_xlfn.XLOOKUP(C221,'2023'!C:C,'2023'!A:A,"")</f>
        <v>45027.745833333</v>
      </c>
      <c r="E221" s="6" t="str">
        <f>_xlfn.XLOOKUP(C221,'2023'!C:C,'2023'!B:B,"")</f>
        <v>No Selection Time Issued</v>
      </c>
      <c r="F221" s="19">
        <f t="shared" si="15"/>
        <v>45027.745833333</v>
      </c>
      <c r="G221" s="6">
        <f>_xlfn.XLOOKUP(C221,'2024'!C:C,'2024'!A:A,"")</f>
        <v>45391.866666667003</v>
      </c>
      <c r="H221" s="6">
        <f>_xlfn.XLOOKUP(C222,'2024'!C:C,'2024'!B:B,"")</f>
        <v>45391.731249999997</v>
      </c>
      <c r="I221" s="19">
        <f t="shared" si="12"/>
        <v>45391.731249999997</v>
      </c>
      <c r="J221" s="6">
        <f>_xlfn.XLOOKUP(C221,'2025'!C:C,'2025'!A:A,"")</f>
        <v>45756.762499999997</v>
      </c>
      <c r="K221" s="6">
        <f>_xlfn.XLOOKUP(C221,'2025'!C:C,'2025'!B:B,"")</f>
        <v>45755.729166666999</v>
      </c>
      <c r="L221" s="19">
        <f t="shared" si="13"/>
        <v>45755.729166666999</v>
      </c>
      <c r="M221" s="16" cm="1">
        <f t="array" ref="M221">IFERROR(_xlfn.LET(
_xlpm.x,TRIM(C221),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1" s="16" t="b">
        <f t="shared" si="14"/>
        <v>0</v>
      </c>
    </row>
    <row r="222" spans="1:14" x14ac:dyDescent="0.25">
      <c r="A222" s="5" t="s">
        <v>640</v>
      </c>
      <c r="B222" s="16">
        <v>142</v>
      </c>
      <c r="C222" s="16" t="str">
        <v>Clark V - CL-V 421-424 - 421</v>
      </c>
      <c r="D222" s="6">
        <f>_xlfn.XLOOKUP(C222,'2023'!C:C,'2023'!A:A,"")</f>
        <v>45028.856249999997</v>
      </c>
      <c r="E222" s="6">
        <f>_xlfn.XLOOKUP(C222,'2023'!C:C,'2023'!B:B,"")</f>
        <v>45027.737500000003</v>
      </c>
      <c r="F222" s="19">
        <f t="shared" si="15"/>
        <v>45027.737500000003</v>
      </c>
      <c r="G222" s="6">
        <f>_xlfn.XLOOKUP(C222,'2024'!C:C,'2024'!A:A,"")</f>
        <v>45391.764583333003</v>
      </c>
      <c r="H222" s="6">
        <f>_xlfn.XLOOKUP(C223,'2024'!C:C,'2024'!B:B,"")</f>
        <v>45392.720833332998</v>
      </c>
      <c r="I222" s="19">
        <f t="shared" si="12"/>
        <v>45391.764583333003</v>
      </c>
      <c r="J222" s="6">
        <f>_xlfn.XLOOKUP(C222,'2025'!C:C,'2025'!A:A,"")</f>
        <v>45755.795833333003</v>
      </c>
      <c r="K222" s="6">
        <f>_xlfn.XLOOKUP(C222,'2025'!C:C,'2025'!B:B,"")</f>
        <v>45755.727083332997</v>
      </c>
      <c r="L222" s="19">
        <f t="shared" si="13"/>
        <v>45755.727083332997</v>
      </c>
      <c r="M222" s="16" cm="1">
        <f t="array" ref="M222">IFERROR(_xlfn.LET(
_xlpm.x,TRIM(C222),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2" s="16" t="b">
        <f t="shared" si="14"/>
        <v>0</v>
      </c>
    </row>
    <row r="223" spans="1:14" x14ac:dyDescent="0.25">
      <c r="A223" s="5" t="s">
        <v>640</v>
      </c>
      <c r="B223" s="16">
        <v>149</v>
      </c>
      <c r="C223" s="16" t="str">
        <v>Clark V - CL-V 421-424 - 422</v>
      </c>
      <c r="D223" s="6">
        <f>_xlfn.XLOOKUP(C223,'2023'!C:C,'2023'!A:A,"")</f>
        <v>45027.777083333</v>
      </c>
      <c r="E223" s="6" t="str">
        <f>_xlfn.XLOOKUP(C223,'2023'!C:C,'2023'!B:B,"")</f>
        <v>No Selection Time Issued</v>
      </c>
      <c r="F223" s="19">
        <f t="shared" si="15"/>
        <v>45027.777083333</v>
      </c>
      <c r="G223" s="6">
        <f>_xlfn.XLOOKUP(C223,'2024'!C:C,'2024'!A:A,"")</f>
        <v>45391.735416666997</v>
      </c>
      <c r="H223" s="6">
        <f>_xlfn.XLOOKUP(C224,'2024'!C:C,'2024'!B:B,"")</f>
        <v>45391.729166666999</v>
      </c>
      <c r="I223" s="19">
        <f t="shared" si="12"/>
        <v>45391.729166666999</v>
      </c>
      <c r="J223" s="6">
        <f>_xlfn.XLOOKUP(C223,'2025'!C:C,'2025'!A:A,"")</f>
        <v>45755.727083332997</v>
      </c>
      <c r="K223" s="6">
        <f>_xlfn.XLOOKUP(C223,'2025'!C:C,'2025'!B:B,"")</f>
        <v>45755.727083332997</v>
      </c>
      <c r="L223" s="19">
        <f t="shared" si="13"/>
        <v>45755.727083332997</v>
      </c>
      <c r="M223" s="16" cm="1">
        <f t="array" ref="M223">IFERROR(_xlfn.LET(
_xlpm.x,TRIM(C223),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3" s="16" t="b">
        <f t="shared" si="14"/>
        <v>0</v>
      </c>
    </row>
    <row r="224" spans="1:14" x14ac:dyDescent="0.25">
      <c r="A224" s="5" t="s">
        <v>640</v>
      </c>
      <c r="B224" s="16">
        <v>144</v>
      </c>
      <c r="C224" s="16" t="str">
        <v>Clark V - CL-V 421-424 - 423</v>
      </c>
      <c r="D224" s="6">
        <f>_xlfn.XLOOKUP(C224,'2023'!C:C,'2023'!A:A,"")</f>
        <v>45027.831250000003</v>
      </c>
      <c r="E224" s="6">
        <f>_xlfn.XLOOKUP(C224,'2023'!C:C,'2023'!B:B,"")</f>
        <v>45028.714583333</v>
      </c>
      <c r="F224" s="19">
        <f t="shared" si="15"/>
        <v>45027.831250000003</v>
      </c>
      <c r="G224" s="6">
        <f>_xlfn.XLOOKUP(C224,'2024'!C:C,'2024'!A:A,"")</f>
        <v>45391.839583333</v>
      </c>
      <c r="H224" s="6">
        <f>_xlfn.XLOOKUP(C225,'2024'!C:C,'2024'!B:B,"")</f>
        <v>45393.710416667003</v>
      </c>
      <c r="I224" s="19">
        <f t="shared" si="12"/>
        <v>45391.839583333</v>
      </c>
      <c r="J224" s="6">
        <f>_xlfn.XLOOKUP(C224,'2025'!C:C,'2025'!A:A,"")</f>
        <v>45756.777083333</v>
      </c>
      <c r="K224" s="6">
        <f>_xlfn.XLOOKUP(C224,'2025'!C:C,'2025'!B:B,"")</f>
        <v>45755.727083332997</v>
      </c>
      <c r="L224" s="19">
        <f t="shared" si="13"/>
        <v>45755.727083332997</v>
      </c>
      <c r="M224" s="16" cm="1">
        <f t="array" ref="M224">IFERROR(_xlfn.LET(
_xlpm.x,TRIM(C224),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4" s="16" t="b">
        <f t="shared" si="14"/>
        <v>0</v>
      </c>
    </row>
    <row r="225" spans="1:14" x14ac:dyDescent="0.25">
      <c r="A225" s="5" t="s">
        <v>481</v>
      </c>
      <c r="B225" s="16">
        <v>149</v>
      </c>
      <c r="C225" s="16" t="str">
        <v>Clark V - CL-V 421-424 - 424</v>
      </c>
      <c r="D225" s="6">
        <f>_xlfn.XLOOKUP(C225,'2023'!C:C,'2023'!A:A,"")</f>
        <v>45027.733333333003</v>
      </c>
      <c r="E225" s="6">
        <f>_xlfn.XLOOKUP(C225,'2023'!C:C,'2023'!B:B,"")</f>
        <v>45029.708333333001</v>
      </c>
      <c r="F225" s="19">
        <f t="shared" si="15"/>
        <v>45027.733333333003</v>
      </c>
      <c r="G225" s="6">
        <f>_xlfn.XLOOKUP(C225,'2024'!C:C,'2024'!A:A,"")</f>
        <v>45391.743750000001</v>
      </c>
      <c r="H225" s="6">
        <f>_xlfn.XLOOKUP(C226,'2024'!C:C,'2024'!B:B,"")</f>
        <v>45391.733333333003</v>
      </c>
      <c r="I225" s="19">
        <f t="shared" si="12"/>
        <v>45391.733333333003</v>
      </c>
      <c r="J225" s="6">
        <f>_xlfn.XLOOKUP(C225,'2025'!C:C,'2025'!A:A,"")</f>
        <v>45755.814583332998</v>
      </c>
      <c r="K225" s="6">
        <f>_xlfn.XLOOKUP(C225,'2025'!C:C,'2025'!B:B,"")</f>
        <v>45755.727083332997</v>
      </c>
      <c r="L225" s="19">
        <f t="shared" si="13"/>
        <v>45755.727083332997</v>
      </c>
      <c r="M225" s="16" cm="1">
        <f t="array" ref="M225">IFERROR(_xlfn.LET(
_xlpm.x,TRIM(C225),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5" s="16" t="b">
        <f t="shared" si="14"/>
        <v>0</v>
      </c>
    </row>
    <row r="226" spans="1:14" x14ac:dyDescent="0.25">
      <c r="A226" s="5" t="s">
        <v>481</v>
      </c>
      <c r="B226" s="16">
        <v>141</v>
      </c>
      <c r="C226" s="16" t="str">
        <v>Clark V - CL-V 425-427 - 425</v>
      </c>
      <c r="D226" s="6">
        <f>_xlfn.XLOOKUP(C226,'2023'!C:C,'2023'!A:A,"")</f>
        <v>45027.745833333</v>
      </c>
      <c r="E226" s="6">
        <f>_xlfn.XLOOKUP(C226,'2023'!C:C,'2023'!B:B,"")</f>
        <v>45029.745833333</v>
      </c>
      <c r="F226" s="19">
        <f t="shared" si="15"/>
        <v>45027.745833333</v>
      </c>
      <c r="G226" s="6">
        <f>_xlfn.XLOOKUP(C226,'2024'!C:C,'2024'!A:A,"")</f>
        <v>45391.827083333003</v>
      </c>
      <c r="H226" s="6">
        <f>_xlfn.XLOOKUP(C227,'2024'!C:C,'2024'!B:B,"")</f>
        <v>45391.712500000001</v>
      </c>
      <c r="I226" s="19">
        <f t="shared" si="12"/>
        <v>45391.712500000001</v>
      </c>
      <c r="J226" s="6">
        <f>_xlfn.XLOOKUP(C226,'2025'!C:C,'2025'!A:A,"")</f>
        <v>45755.854166666999</v>
      </c>
      <c r="K226" s="6">
        <f>_xlfn.XLOOKUP(C226,'2025'!C:C,'2025'!B:B,"")</f>
        <v>45755.743750000001</v>
      </c>
      <c r="L226" s="19">
        <f t="shared" si="13"/>
        <v>45755.743750000001</v>
      </c>
      <c r="M226" s="16" cm="1">
        <f t="array" ref="M226">IFERROR(_xlfn.LET(
_xlpm.x,TRIM(C226),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6" s="16" t="b">
        <f t="shared" si="14"/>
        <v>0</v>
      </c>
    </row>
    <row r="227" spans="1:14" x14ac:dyDescent="0.25">
      <c r="A227" s="5" t="s">
        <v>481</v>
      </c>
      <c r="B227" s="16">
        <v>147</v>
      </c>
      <c r="C227" s="16" t="str">
        <v>Clark V - CL-V 425-427 - 426</v>
      </c>
      <c r="D227" s="6">
        <f>_xlfn.XLOOKUP(C227,'2023'!C:C,'2023'!A:A,"")</f>
        <v>45027.797916666997</v>
      </c>
      <c r="E227" s="6" t="str">
        <f>_xlfn.XLOOKUP(C227,'2023'!C:C,'2023'!B:B,"")</f>
        <v>No Selection Time Issued</v>
      </c>
      <c r="F227" s="19">
        <f t="shared" si="15"/>
        <v>45027.797916666997</v>
      </c>
      <c r="G227" s="6">
        <f>_xlfn.XLOOKUP(C227,'2024'!C:C,'2024'!A:A,"")</f>
        <v>45391.764583333003</v>
      </c>
      <c r="H227" s="6">
        <f>_xlfn.XLOOKUP(C228,'2024'!C:C,'2024'!B:B,"")</f>
        <v>45391.745833333</v>
      </c>
      <c r="I227" s="19">
        <f t="shared" si="12"/>
        <v>45391.745833333</v>
      </c>
      <c r="J227" s="6">
        <f>_xlfn.XLOOKUP(C227,'2025'!C:C,'2025'!A:A,"")</f>
        <v>45755.743750000001</v>
      </c>
      <c r="K227" s="6">
        <f>_xlfn.XLOOKUP(C227,'2025'!C:C,'2025'!B:B,"")</f>
        <v>45755.743750000001</v>
      </c>
      <c r="L227" s="19">
        <f t="shared" si="13"/>
        <v>45755.743750000001</v>
      </c>
      <c r="M227" s="16" cm="1">
        <f t="array" ref="M227">IFERROR(_xlfn.LET(
_xlpm.x,TRIM(C227),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7" s="16" t="b">
        <f t="shared" si="14"/>
        <v>0</v>
      </c>
    </row>
    <row r="228" spans="1:14" x14ac:dyDescent="0.25">
      <c r="A228" s="5" t="s">
        <v>474</v>
      </c>
      <c r="B228" s="16">
        <v>179</v>
      </c>
      <c r="C228" s="16" t="str">
        <v>Clark V - CL-V 425-427 - 427</v>
      </c>
      <c r="D228" s="6">
        <f>_xlfn.XLOOKUP(C228,'2023'!C:C,'2023'!A:A,"")</f>
        <v>45027.795833333003</v>
      </c>
      <c r="E228" s="6" t="str">
        <f>_xlfn.XLOOKUP(C228,'2023'!C:C,'2023'!B:B,"")</f>
        <v>No Selection Time Issued</v>
      </c>
      <c r="F228" s="19">
        <f t="shared" si="15"/>
        <v>45027.795833333003</v>
      </c>
      <c r="G228" s="6">
        <f>_xlfn.XLOOKUP(C228,'2024'!C:C,'2024'!A:A,"")</f>
        <v>45391.747916667002</v>
      </c>
      <c r="H228" s="6">
        <f>_xlfn.XLOOKUP(C229,'2024'!C:C,'2024'!B:B,"")</f>
        <v>45392.766666666997</v>
      </c>
      <c r="I228" s="19">
        <f t="shared" si="12"/>
        <v>45391.747916667002</v>
      </c>
      <c r="J228" s="6">
        <f>_xlfn.XLOOKUP(C228,'2025'!C:C,'2025'!A:A,"")</f>
        <v>45755.747916667002</v>
      </c>
      <c r="K228" s="6">
        <f>_xlfn.XLOOKUP(C228,'2025'!C:C,'2025'!B:B,"")</f>
        <v>45755.743750000001</v>
      </c>
      <c r="L228" s="19">
        <f t="shared" si="13"/>
        <v>45755.743750000001</v>
      </c>
      <c r="M228" s="16" cm="1">
        <f t="array" ref="M228">IFERROR(_xlfn.LET(
_xlpm.x,TRIM(C228),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8" s="16" t="b">
        <f t="shared" si="14"/>
        <v>0</v>
      </c>
    </row>
    <row r="229" spans="1:14" x14ac:dyDescent="0.25">
      <c r="A229" s="5" t="s">
        <v>474</v>
      </c>
      <c r="B229" s="16">
        <v>186</v>
      </c>
      <c r="C229" s="16" t="str">
        <v>Clark V - CL-V 428-430 - 428</v>
      </c>
      <c r="D229" s="6">
        <f>_xlfn.XLOOKUP(C229,'2023'!C:C,'2023'!A:A,"")</f>
        <v>45027.743750000001</v>
      </c>
      <c r="E229" s="6" t="str">
        <f>_xlfn.XLOOKUP(C229,'2023'!C:C,'2023'!B:B,"")</f>
        <v>No Selection Time Issued</v>
      </c>
      <c r="F229" s="19">
        <f t="shared" si="15"/>
        <v>45027.743750000001</v>
      </c>
      <c r="G229" s="6">
        <f>_xlfn.XLOOKUP(C229,'2024'!C:C,'2024'!A:A,"")</f>
        <v>45391.841666667002</v>
      </c>
      <c r="H229" s="6">
        <f>_xlfn.XLOOKUP(C230,'2024'!C:C,'2024'!B:B,"")</f>
        <v>45392.822916666999</v>
      </c>
      <c r="I229" s="19">
        <f t="shared" si="12"/>
        <v>45391.841666667002</v>
      </c>
      <c r="J229" s="6">
        <f>_xlfn.XLOOKUP(C229,'2025'!C:C,'2025'!A:A,"")</f>
        <v>45755.768750000003</v>
      </c>
      <c r="K229" s="6">
        <f>_xlfn.XLOOKUP(C229,'2025'!C:C,'2025'!B:B,"")</f>
        <v>45755.747916667002</v>
      </c>
      <c r="L229" s="19">
        <f t="shared" si="13"/>
        <v>45755.747916667002</v>
      </c>
      <c r="M229" s="16" cm="1">
        <f t="array" ref="M229">IFERROR(_xlfn.LET(
_xlpm.x,TRIM(C229),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29" s="16" t="b">
        <f t="shared" si="14"/>
        <v>0</v>
      </c>
    </row>
    <row r="230" spans="1:14" x14ac:dyDescent="0.25">
      <c r="A230" s="5" t="s">
        <v>474</v>
      </c>
      <c r="B230" s="16">
        <v>136</v>
      </c>
      <c r="C230" s="16" t="str">
        <v>Clark V - CL-V 428-430 - 429</v>
      </c>
      <c r="D230" s="6">
        <f>_xlfn.XLOOKUP(C230,'2023'!C:C,'2023'!A:A,"")</f>
        <v>45027.820833332997</v>
      </c>
      <c r="E230" s="6">
        <f>_xlfn.XLOOKUP(C230,'2023'!C:C,'2023'!B:B,"")</f>
        <v>45027.8</v>
      </c>
      <c r="F230" s="19">
        <f t="shared" si="15"/>
        <v>45027.8</v>
      </c>
      <c r="G230" s="6">
        <f>_xlfn.XLOOKUP(C230,'2024'!C:C,'2024'!A:A,"")</f>
        <v>45391.743750000001</v>
      </c>
      <c r="H230" s="6">
        <f>_xlfn.XLOOKUP(C231,'2024'!C:C,'2024'!B:B,"")</f>
        <v>45391.829166666997</v>
      </c>
      <c r="I230" s="19">
        <f t="shared" si="12"/>
        <v>45391.743750000001</v>
      </c>
      <c r="J230" s="6">
        <f>_xlfn.XLOOKUP(C230,'2025'!C:C,'2025'!A:A,"")</f>
        <v>45755.747916667002</v>
      </c>
      <c r="K230" s="6">
        <f>_xlfn.XLOOKUP(C230,'2025'!C:C,'2025'!B:B,"")</f>
        <v>45755.747916667002</v>
      </c>
      <c r="L230" s="19">
        <f t="shared" si="13"/>
        <v>45755.747916667002</v>
      </c>
      <c r="M230" s="16" cm="1">
        <f t="array" ref="M230">IFERROR(_xlfn.LET(
_xlpm.x,TRIM(C230),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0" s="16" t="b">
        <f t="shared" si="14"/>
        <v>0</v>
      </c>
    </row>
    <row r="231" spans="1:14" x14ac:dyDescent="0.25">
      <c r="A231" s="5" t="s">
        <v>265</v>
      </c>
      <c r="B231" s="16">
        <v>150</v>
      </c>
      <c r="C231" s="16" t="str">
        <v>Clark V - CL-V 428-430 - 430</v>
      </c>
      <c r="D231" s="6">
        <f>_xlfn.XLOOKUP(C231,'2023'!C:C,'2023'!A:A,"")</f>
        <v>45027.881249999999</v>
      </c>
      <c r="E231" s="6">
        <f>_xlfn.XLOOKUP(C231,'2023'!C:C,'2023'!B:B,"")</f>
        <v>45027.789583332997</v>
      </c>
      <c r="F231" s="19">
        <f t="shared" si="15"/>
        <v>45027.789583332997</v>
      </c>
      <c r="G231" s="6">
        <f>_xlfn.XLOOKUP(C231,'2024'!C:C,'2024'!A:A,"")</f>
        <v>45391.829166666997</v>
      </c>
      <c r="H231" s="6">
        <f>_xlfn.XLOOKUP(C232,'2024'!C:C,'2024'!B:B,"")</f>
        <v>45392.745833333</v>
      </c>
      <c r="I231" s="19">
        <f t="shared" si="12"/>
        <v>45391.829166666997</v>
      </c>
      <c r="J231" s="6">
        <f>_xlfn.XLOOKUP(C231,'2025'!C:C,'2025'!A:A,"")</f>
        <v>45755.84375</v>
      </c>
      <c r="K231" s="6">
        <f>_xlfn.XLOOKUP(C231,'2025'!C:C,'2025'!B:B,"")</f>
        <v>45755.747916667002</v>
      </c>
      <c r="L231" s="19">
        <f t="shared" si="13"/>
        <v>45755.747916667002</v>
      </c>
      <c r="M231" s="16" cm="1">
        <f t="array" ref="M231">IFERROR(_xlfn.LET(
_xlpm.x,TRIM(C231),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1" s="16" t="b">
        <f t="shared" si="14"/>
        <v>0</v>
      </c>
    </row>
    <row r="232" spans="1:14" x14ac:dyDescent="0.25">
      <c r="A232" s="5" t="s">
        <v>265</v>
      </c>
      <c r="B232" s="16">
        <v>225</v>
      </c>
      <c r="C232" s="16" t="str">
        <v>Clark V - CL-V 431-432 - 431</v>
      </c>
      <c r="D232" s="6">
        <f>_xlfn.XLOOKUP(C232,'2023'!C:C,'2023'!A:A,"")</f>
        <v>45028.779166667002</v>
      </c>
      <c r="E232" s="6">
        <f>_xlfn.XLOOKUP(C232,'2023'!C:C,'2023'!B:B,"")</f>
        <v>45027.8125</v>
      </c>
      <c r="F232" s="19">
        <f t="shared" si="15"/>
        <v>45027.8125</v>
      </c>
      <c r="G232" s="6">
        <f>_xlfn.XLOOKUP(C232,'2024'!C:C,'2024'!A:A,"")</f>
        <v>45392.716666667002</v>
      </c>
      <c r="H232" s="6">
        <f>_xlfn.XLOOKUP(C233,'2024'!C:C,'2024'!B:B,"")</f>
        <v>45391.745833333</v>
      </c>
      <c r="I232" s="19">
        <f t="shared" si="12"/>
        <v>45391.745833333</v>
      </c>
      <c r="J232" s="6">
        <f>_xlfn.XLOOKUP(C232,'2025'!C:C,'2025'!A:A,"")</f>
        <v>45756.720833332998</v>
      </c>
      <c r="K232" s="6">
        <f>_xlfn.XLOOKUP(C232,'2025'!C:C,'2025'!B:B,"")</f>
        <v>45756.720833332998</v>
      </c>
      <c r="L232" s="19">
        <f t="shared" si="13"/>
        <v>45756.720833332998</v>
      </c>
      <c r="M232" s="16" cm="1">
        <f t="array" ref="M232">IFERROR(_xlfn.LET(
_xlpm.x,TRIM(C232),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232" s="16" t="b">
        <f t="shared" si="14"/>
        <v>0</v>
      </c>
    </row>
    <row r="233" spans="1:14" x14ac:dyDescent="0.25">
      <c r="A233" s="5" t="s">
        <v>265</v>
      </c>
      <c r="B233" s="16">
        <v>144</v>
      </c>
      <c r="C233" s="16" t="str">
        <v>Clark V - CL-V 431-432 - 432</v>
      </c>
      <c r="D233" s="6">
        <f>_xlfn.XLOOKUP(C233,'2023'!C:C,'2023'!A:A,"")</f>
        <v>45028.716666667002</v>
      </c>
      <c r="E233" s="6" t="str">
        <f>_xlfn.XLOOKUP(C233,'2023'!C:C,'2023'!B:B,"")</f>
        <v>No Selection Time Issued</v>
      </c>
      <c r="F233" s="19">
        <f t="shared" si="15"/>
        <v>45028.716666667002</v>
      </c>
      <c r="G233" s="6">
        <f>_xlfn.XLOOKUP(C233,'2024'!C:C,'2024'!A:A,"")</f>
        <v>45392.866666667003</v>
      </c>
      <c r="H233" s="6">
        <f>_xlfn.XLOOKUP(C234,'2024'!C:C,'2024'!B:B,"")</f>
        <v>45391.820833332997</v>
      </c>
      <c r="I233" s="19">
        <f t="shared" si="12"/>
        <v>45391.820833332997</v>
      </c>
      <c r="J233" s="6">
        <f>_xlfn.XLOOKUP(C233,'2025'!C:C,'2025'!A:A,"")</f>
        <v>45757.78125</v>
      </c>
      <c r="K233" s="6">
        <f>_xlfn.XLOOKUP(C233,'2025'!C:C,'2025'!B:B,"")</f>
        <v>45756.720833332998</v>
      </c>
      <c r="L233" s="19">
        <f t="shared" si="13"/>
        <v>45756.720833332998</v>
      </c>
      <c r="M233" s="16" cm="1">
        <f t="array" ref="M233">IFERROR(_xlfn.LET(
_xlpm.x,TRIM(C233),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3" s="16" t="b">
        <f t="shared" si="14"/>
        <v>0</v>
      </c>
    </row>
    <row r="234" spans="1:14" x14ac:dyDescent="0.25">
      <c r="A234" s="5" t="s">
        <v>18</v>
      </c>
      <c r="B234" s="16">
        <v>148</v>
      </c>
      <c r="C234" s="16" t="str">
        <v>Clark V - CL-V 433-434 - 433</v>
      </c>
      <c r="D234" s="6">
        <f>_xlfn.XLOOKUP(C234,'2023'!C:C,'2023'!A:A,"")</f>
        <v>45027.8125</v>
      </c>
      <c r="E234" s="6" t="str">
        <f>_xlfn.XLOOKUP(C234,'2023'!C:C,'2023'!B:B,"")</f>
        <v>No Selection Time Issued</v>
      </c>
      <c r="F234" s="19">
        <f t="shared" si="15"/>
        <v>45027.8125</v>
      </c>
      <c r="G234" s="6">
        <f>_xlfn.XLOOKUP(C234,'2024'!C:C,'2024'!A:A,"")</f>
        <v>45391.885416666999</v>
      </c>
      <c r="H234" s="6">
        <f>_xlfn.XLOOKUP(C235,'2024'!C:C,'2024'!B:B,"")</f>
        <v>45391.727083332997</v>
      </c>
      <c r="I234" s="19">
        <f t="shared" si="12"/>
        <v>45391.727083332997</v>
      </c>
      <c r="J234" s="6">
        <f>_xlfn.XLOOKUP(C234,'2025'!C:C,'2025'!A:A,"")</f>
        <v>45755.887499999997</v>
      </c>
      <c r="K234" s="6">
        <f>_xlfn.XLOOKUP(C234,'2025'!C:C,'2025'!B:B,"")</f>
        <v>45755.708333333001</v>
      </c>
      <c r="L234" s="19">
        <f t="shared" si="13"/>
        <v>45755.708333333001</v>
      </c>
      <c r="M234" s="16" cm="1">
        <f t="array" ref="M234">IFERROR(_xlfn.LET(
_xlpm.x,TRIM(C234),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4" s="16" t="b">
        <f t="shared" si="14"/>
        <v>0</v>
      </c>
    </row>
    <row r="235" spans="1:14" x14ac:dyDescent="0.25">
      <c r="A235" s="5" t="s">
        <v>18</v>
      </c>
      <c r="B235" s="16">
        <v>205</v>
      </c>
      <c r="C235" s="16" t="str">
        <v>Clark V - CL-V 433-434 - 434</v>
      </c>
      <c r="D235" s="6">
        <f>_xlfn.XLOOKUP(C235,'2023'!C:C,'2023'!A:A,"")</f>
        <v>45027.760416666999</v>
      </c>
      <c r="E235" s="6" t="str">
        <f>_xlfn.XLOOKUP(C235,'2023'!C:C,'2023'!B:B,"")</f>
        <v>No Selection Time Issued</v>
      </c>
      <c r="F235" s="19">
        <f t="shared" si="15"/>
        <v>45027.760416666999</v>
      </c>
      <c r="G235" s="6">
        <f>_xlfn.XLOOKUP(C235,'2024'!C:C,'2024'!A:A,"")</f>
        <v>45391.762499999997</v>
      </c>
      <c r="H235" s="6">
        <f>_xlfn.XLOOKUP(C236,'2024'!C:C,'2024'!B:B,"")</f>
        <v>45393.739583333001</v>
      </c>
      <c r="I235" s="19">
        <f t="shared" si="12"/>
        <v>45391.762499999997</v>
      </c>
      <c r="J235" s="6">
        <f>_xlfn.XLOOKUP(C235,'2025'!C:C,'2025'!A:A,"")</f>
        <v>45755.708333333001</v>
      </c>
      <c r="K235" s="6">
        <f>_xlfn.XLOOKUP(C235,'2025'!C:C,'2025'!B:B,"")</f>
        <v>45755.708333333001</v>
      </c>
      <c r="L235" s="19">
        <f t="shared" si="13"/>
        <v>45755.708333333001</v>
      </c>
      <c r="M235" s="16" cm="1">
        <f t="array" ref="M235">IFERROR(_xlfn.LET(
_xlpm.x,TRIM(C235),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5" s="16" t="b">
        <f t="shared" si="14"/>
        <v>0</v>
      </c>
    </row>
    <row r="236" spans="1:14" x14ac:dyDescent="0.25">
      <c r="A236" s="5" t="s">
        <v>18</v>
      </c>
      <c r="B236" s="16">
        <v>189</v>
      </c>
      <c r="C236" s="16" t="str">
        <v>Clark V - CL-V 435-436 - 435</v>
      </c>
      <c r="D236" s="6">
        <f>_xlfn.XLOOKUP(C236,'2023'!C:C,'2023'!A:A,"")</f>
        <v>45027.762499999997</v>
      </c>
      <c r="E236" s="6">
        <f>_xlfn.XLOOKUP(C236,'2023'!C:C,'2023'!B:B,"")</f>
        <v>45027.722916667</v>
      </c>
      <c r="F236" s="19">
        <f t="shared" si="15"/>
        <v>45027.722916667</v>
      </c>
      <c r="G236" s="6">
        <f>_xlfn.XLOOKUP(C236,'2024'!C:C,'2024'!A:A,"")</f>
        <v>45391.847916667</v>
      </c>
      <c r="H236" s="6">
        <f>_xlfn.XLOOKUP(C237,'2024'!C:C,'2024'!B:B,"")</f>
        <v>45391.85</v>
      </c>
      <c r="I236" s="19">
        <f t="shared" si="12"/>
        <v>45391.847916667</v>
      </c>
      <c r="J236" s="6">
        <f>_xlfn.XLOOKUP(C236,'2025'!C:C,'2025'!A:A,"")</f>
        <v>45755.737500000003</v>
      </c>
      <c r="K236" s="6">
        <f>_xlfn.XLOOKUP(C236,'2025'!C:C,'2025'!B:B,"")</f>
        <v>45755.737500000003</v>
      </c>
      <c r="L236" s="19">
        <f t="shared" si="13"/>
        <v>45755.737500000003</v>
      </c>
      <c r="M236" s="16" cm="1">
        <f t="array" ref="M236">IFERROR(_xlfn.LET(
_xlpm.x,TRIM(C236),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6" s="16" t="b">
        <f t="shared" si="14"/>
        <v>0</v>
      </c>
    </row>
    <row r="237" spans="1:14" x14ac:dyDescent="0.25">
      <c r="A237" s="5" t="s">
        <v>712</v>
      </c>
      <c r="B237" s="16">
        <v>147</v>
      </c>
      <c r="C237" s="16" t="str">
        <v>Clark V - CL-V 435-436 - 436</v>
      </c>
      <c r="D237" s="6">
        <f>_xlfn.XLOOKUP(C237,'2023'!C:C,'2023'!A:A,"")</f>
        <v>45027.845833332998</v>
      </c>
      <c r="E237" s="6">
        <f>_xlfn.XLOOKUP(C237,'2023'!C:C,'2023'!B:B,"")</f>
        <v>45027.727083332997</v>
      </c>
      <c r="F237" s="19">
        <f t="shared" si="15"/>
        <v>45027.727083332997</v>
      </c>
      <c r="G237" s="6">
        <f>_xlfn.XLOOKUP(C237,'2024'!C:C,'2024'!A:A,"")</f>
        <v>45391.762499999997</v>
      </c>
      <c r="H237" s="6" t="str">
        <f>_xlfn.XLOOKUP(C238,'2024'!C:C,'2024'!B:B,"")</f>
        <v>No Selection Time Issued</v>
      </c>
      <c r="I237" s="19">
        <f t="shared" si="12"/>
        <v>45391.762499999997</v>
      </c>
      <c r="J237" s="6">
        <f>_xlfn.XLOOKUP(C237,'2025'!C:C,'2025'!A:A,"")</f>
        <v>45756.785416667</v>
      </c>
      <c r="K237" s="6">
        <f>_xlfn.XLOOKUP(C237,'2025'!C:C,'2025'!B:B,"")</f>
        <v>45755.737500000003</v>
      </c>
      <c r="L237" s="19">
        <f t="shared" si="13"/>
        <v>45755.737500000003</v>
      </c>
      <c r="M237" s="16" cm="1">
        <f t="array" ref="M237">IFERROR(_xlfn.LET(
_xlpm.x,TRIM(C237),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7" s="16" t="b">
        <f t="shared" si="14"/>
        <v>0</v>
      </c>
    </row>
    <row r="238" spans="1:14" x14ac:dyDescent="0.25">
      <c r="A238" s="5" t="s">
        <v>712</v>
      </c>
      <c r="B238" s="16">
        <v>183</v>
      </c>
      <c r="C238" s="16" t="str">
        <v>Clark V - CL-V 437-438 - 437</v>
      </c>
      <c r="D238" s="6">
        <f>_xlfn.XLOOKUP(C238,'2023'!C:C,'2023'!A:A,"")</f>
        <v>45027.75</v>
      </c>
      <c r="E238" s="6" t="str">
        <f>_xlfn.XLOOKUP(C238,'2023'!C:C,'2023'!B:B,"")</f>
        <v>No Selection Time Issued</v>
      </c>
      <c r="F238" s="19">
        <f t="shared" si="15"/>
        <v>45027.75</v>
      </c>
      <c r="G238" s="6">
        <f>_xlfn.XLOOKUP(C238,'2024'!C:C,'2024'!A:A,"")</f>
        <v>45391.795833333003</v>
      </c>
      <c r="H238" s="6">
        <f>_xlfn.XLOOKUP(C239,'2024'!C:C,'2024'!B:B,"")</f>
        <v>45391.722916667</v>
      </c>
      <c r="I238" s="19">
        <f t="shared" si="12"/>
        <v>45391.722916667</v>
      </c>
      <c r="J238" s="6">
        <f>_xlfn.XLOOKUP(C238,'2025'!C:C,'2025'!A:A,"")</f>
        <v>45755.737500000003</v>
      </c>
      <c r="K238" s="6">
        <f>_xlfn.XLOOKUP(C238,'2025'!C:C,'2025'!B:B,"")</f>
        <v>45755.737500000003</v>
      </c>
      <c r="L238" s="19">
        <f t="shared" si="13"/>
        <v>45755.737500000003</v>
      </c>
      <c r="M238" s="16" cm="1">
        <f t="array" ref="M238">IFERROR(_xlfn.LET(
_xlpm.x,TRIM(C238),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8" s="16" t="b">
        <f t="shared" si="14"/>
        <v>0</v>
      </c>
    </row>
    <row r="239" spans="1:14" x14ac:dyDescent="0.25">
      <c r="A239" s="5" t="s">
        <v>712</v>
      </c>
      <c r="B239" s="16">
        <v>152</v>
      </c>
      <c r="C239" s="16" t="str">
        <v>Clark V - CL-V 437-438 - 438</v>
      </c>
      <c r="D239" s="6">
        <f>_xlfn.XLOOKUP(C239,'2023'!C:C,'2023'!A:A,"")</f>
        <v>45028.860416666997</v>
      </c>
      <c r="E239" s="6">
        <f>_xlfn.XLOOKUP(C239,'2023'!C:C,'2023'!B:B,"")</f>
        <v>45027.816666667</v>
      </c>
      <c r="F239" s="19">
        <f t="shared" si="15"/>
        <v>45027.816666667</v>
      </c>
      <c r="G239" s="6">
        <f>_xlfn.XLOOKUP(C239,'2024'!C:C,'2024'!A:A,"")</f>
        <v>45391.762499999997</v>
      </c>
      <c r="H239" s="6">
        <f>_xlfn.XLOOKUP(C240,'2024'!C:C,'2024'!B:B,"")</f>
        <v>45391.729166666999</v>
      </c>
      <c r="I239" s="19">
        <f t="shared" si="12"/>
        <v>45391.729166666999</v>
      </c>
      <c r="J239" s="6">
        <f>_xlfn.XLOOKUP(C239,'2025'!C:C,'2025'!A:A,"")</f>
        <v>45755.816666667</v>
      </c>
      <c r="K239" s="6">
        <f>_xlfn.XLOOKUP(C239,'2025'!C:C,'2025'!B:B,"")</f>
        <v>45755.737500000003</v>
      </c>
      <c r="L239" s="19">
        <f t="shared" si="13"/>
        <v>45755.737500000003</v>
      </c>
      <c r="M239" s="16" cm="1">
        <f t="array" ref="M239">IFERROR(_xlfn.LET(
_xlpm.x,TRIM(C239),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39" s="16" t="b">
        <f t="shared" si="14"/>
        <v>0</v>
      </c>
    </row>
    <row r="240" spans="1:14" x14ac:dyDescent="0.25">
      <c r="A240" s="5" t="s">
        <v>393</v>
      </c>
      <c r="B240" s="16">
        <v>150</v>
      </c>
      <c r="C240" s="16" t="str">
        <v>Clark V - CL-V 439-440 - 439</v>
      </c>
      <c r="D240" s="6">
        <f>_xlfn.XLOOKUP(C240,'2023'!C:C,'2023'!A:A,"")</f>
        <v>45028.864583333001</v>
      </c>
      <c r="E240" s="6">
        <f>_xlfn.XLOOKUP(C240,'2023'!C:C,'2023'!B:B,"")</f>
        <v>45027.741666667003</v>
      </c>
      <c r="F240" s="19">
        <f t="shared" si="15"/>
        <v>45027.741666667003</v>
      </c>
      <c r="G240" s="6">
        <f>_xlfn.XLOOKUP(C240,'2024'!C:C,'2024'!A:A,"")</f>
        <v>45392.818749999999</v>
      </c>
      <c r="H240" s="6">
        <f>_xlfn.XLOOKUP(C241,'2024'!C:C,'2024'!B:B,"")</f>
        <v>45393.722916667</v>
      </c>
      <c r="I240" s="19">
        <f t="shared" si="12"/>
        <v>45392.818749999999</v>
      </c>
      <c r="J240" s="6">
        <f>_xlfn.XLOOKUP(C240,'2025'!C:C,'2025'!A:A,"")</f>
        <v>45755.741666667003</v>
      </c>
      <c r="K240" s="6">
        <f>_xlfn.XLOOKUP(C240,'2025'!C:C,'2025'!B:B,"")</f>
        <v>45755.741666667003</v>
      </c>
      <c r="L240" s="19">
        <f t="shared" si="13"/>
        <v>45755.741666667003</v>
      </c>
      <c r="M240" s="16" cm="1">
        <f t="array" ref="M240">IFERROR(_xlfn.LET(
_xlpm.x,TRIM(C240),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0" s="16" t="b">
        <f t="shared" si="14"/>
        <v>0</v>
      </c>
    </row>
    <row r="241" spans="1:14" x14ac:dyDescent="0.25">
      <c r="A241" s="5" t="s">
        <v>393</v>
      </c>
      <c r="B241" s="16">
        <v>182</v>
      </c>
      <c r="C241" s="16" t="str">
        <v>Clark V - CL-V 439-440 - 440</v>
      </c>
      <c r="D241" s="6">
        <f>_xlfn.XLOOKUP(C241,'2023'!C:C,'2023'!A:A,"")</f>
        <v>45027.745833333</v>
      </c>
      <c r="E241" s="6" t="str">
        <f>_xlfn.XLOOKUP(C241,'2023'!C:C,'2023'!B:B,"")</f>
        <v>No Selection Time Issued</v>
      </c>
      <c r="F241" s="19">
        <f t="shared" si="15"/>
        <v>45027.745833333</v>
      </c>
      <c r="G241" s="6">
        <f>_xlfn.XLOOKUP(C241,'2024'!C:C,'2024'!A:A,"")</f>
        <v>45391.729166666999</v>
      </c>
      <c r="H241" s="6" t="str">
        <f>_xlfn.XLOOKUP(C242,'2024'!C:C,'2024'!B:B,"")</f>
        <v/>
      </c>
      <c r="I241" s="19">
        <f t="shared" si="12"/>
        <v>45391.729166666999</v>
      </c>
      <c r="J241" s="6">
        <f>_xlfn.XLOOKUP(C241,'2025'!C:C,'2025'!A:A,"")</f>
        <v>45755.795833333003</v>
      </c>
      <c r="K241" s="6">
        <f>_xlfn.XLOOKUP(C241,'2025'!C:C,'2025'!B:B,"")</f>
        <v>45755.741666667003</v>
      </c>
      <c r="L241" s="19">
        <f t="shared" si="13"/>
        <v>45755.741666667003</v>
      </c>
      <c r="M241" s="16" cm="1">
        <f t="array" ref="M241">IFERROR(_xlfn.LET(
_xlpm.x,TRIM(C241),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1" s="16" t="b">
        <f t="shared" si="14"/>
        <v>0</v>
      </c>
    </row>
    <row r="242" spans="1:14" x14ac:dyDescent="0.25">
      <c r="A242" s="5" t="s">
        <v>393</v>
      </c>
      <c r="B242" s="16">
        <v>185</v>
      </c>
      <c r="C242" s="16" t="str">
        <v>Clark V - CL-V 441-442 - 441</v>
      </c>
      <c r="D242" s="6">
        <f>_xlfn.XLOOKUP(C242,'2023'!C:C,'2023'!A:A,"")</f>
        <v>45027.735416666997</v>
      </c>
      <c r="E242" s="6" t="str">
        <f>_xlfn.XLOOKUP(C242,'2023'!C:C,'2023'!B:B,"")</f>
        <v>No Selection Time Issued</v>
      </c>
      <c r="F242" s="19">
        <f t="shared" si="15"/>
        <v>45027.735416666997</v>
      </c>
      <c r="G242" s="6" t="str">
        <f>_xlfn.XLOOKUP(C242,'2024'!C:C,'2024'!A:A,"")</f>
        <v/>
      </c>
      <c r="H242" s="6" t="str">
        <f>_xlfn.XLOOKUP(C243,'2024'!C:C,'2024'!B:B,"")</f>
        <v/>
      </c>
      <c r="I242" s="19" t="str">
        <f t="shared" si="12"/>
        <v/>
      </c>
      <c r="J242" s="6" t="str">
        <f>_xlfn.XLOOKUP(C242,'2025'!C:C,'2025'!A:A,"")</f>
        <v/>
      </c>
      <c r="K242" s="6" t="str">
        <f>_xlfn.XLOOKUP(C242,'2025'!C:C,'2025'!B:B,"")</f>
        <v/>
      </c>
      <c r="L242" s="19" t="str">
        <f t="shared" si="13"/>
        <v/>
      </c>
      <c r="M242" s="16" cm="1">
        <f t="array" ref="M242">IFERROR(_xlfn.LET(
_xlpm.x,TRIM(C242),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2" s="16" t="b">
        <f t="shared" si="14"/>
        <v>0</v>
      </c>
    </row>
    <row r="243" spans="1:14" x14ac:dyDescent="0.25">
      <c r="A243" s="5" t="s">
        <v>152</v>
      </c>
      <c r="B243" s="16">
        <v>147</v>
      </c>
      <c r="C243" s="16" t="str">
        <v>Clark V - CL-V 441-442 - 442</v>
      </c>
      <c r="D243" s="6">
        <f>_xlfn.XLOOKUP(C243,'2023'!C:C,'2023'!A:A,"")</f>
        <v>45028.84375</v>
      </c>
      <c r="E243" s="6" t="str">
        <f>_xlfn.XLOOKUP(C243,'2023'!C:C,'2023'!B:B,"")</f>
        <v>No Selection Time Issued</v>
      </c>
      <c r="F243" s="19">
        <f t="shared" si="15"/>
        <v>45028.84375</v>
      </c>
      <c r="G243" s="6" t="str">
        <f>_xlfn.XLOOKUP(C243,'2024'!C:C,'2024'!A:A,"")</f>
        <v/>
      </c>
      <c r="H243" s="6">
        <f>_xlfn.XLOOKUP(C244,'2024'!C:C,'2024'!B:B,"")</f>
        <v>45391.729166666999</v>
      </c>
      <c r="I243" s="19">
        <f t="shared" si="12"/>
        <v>45391.729166666999</v>
      </c>
      <c r="J243" s="6" t="str">
        <f>_xlfn.XLOOKUP(C243,'2025'!C:C,'2025'!A:A,"")</f>
        <v/>
      </c>
      <c r="K243" s="6" t="str">
        <f>_xlfn.XLOOKUP(C243,'2025'!C:C,'2025'!B:B,"")</f>
        <v/>
      </c>
      <c r="L243" s="19" t="str">
        <f t="shared" si="13"/>
        <v/>
      </c>
      <c r="M243" s="16" cm="1">
        <f t="array" ref="M243">IFERROR(_xlfn.LET(
_xlpm.x,TRIM(C243),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3" s="16" t="b">
        <f t="shared" si="14"/>
        <v>0</v>
      </c>
    </row>
    <row r="244" spans="1:14" x14ac:dyDescent="0.25">
      <c r="A244" s="5" t="s">
        <v>152</v>
      </c>
      <c r="B244" s="16">
        <v>181</v>
      </c>
      <c r="C244" s="16" t="str">
        <v>Clark V - CL-V 443-444 - 443</v>
      </c>
      <c r="D244" s="6">
        <f>_xlfn.XLOOKUP(C244,'2023'!C:C,'2023'!A:A,"")</f>
        <v>45027.75</v>
      </c>
      <c r="E244" s="6">
        <f>_xlfn.XLOOKUP(C244,'2023'!C:C,'2023'!B:B,"")</f>
        <v>45028.737500000003</v>
      </c>
      <c r="F244" s="19">
        <f t="shared" si="15"/>
        <v>45027.75</v>
      </c>
      <c r="G244" s="6">
        <f>_xlfn.XLOOKUP(C244,'2024'!C:C,'2024'!A:A,"")</f>
        <v>45391.835416667003</v>
      </c>
      <c r="H244" s="6">
        <f>_xlfn.XLOOKUP(C245,'2024'!C:C,'2024'!B:B,"")</f>
        <v>45391.727083332997</v>
      </c>
      <c r="I244" s="19">
        <f t="shared" si="12"/>
        <v>45391.727083332997</v>
      </c>
      <c r="J244" s="6">
        <f>_xlfn.XLOOKUP(C244,'2025'!C:C,'2025'!A:A,"")</f>
        <v>45755.743750000001</v>
      </c>
      <c r="K244" s="6">
        <f>_xlfn.XLOOKUP(C244,'2025'!C:C,'2025'!B:B,"")</f>
        <v>45755.743750000001</v>
      </c>
      <c r="L244" s="19">
        <f t="shared" si="13"/>
        <v>45755.743750000001</v>
      </c>
      <c r="M244" s="16" cm="1">
        <f t="array" ref="M244">IFERROR(_xlfn.LET(
_xlpm.x,TRIM(C244),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4" s="16" t="b">
        <f t="shared" si="14"/>
        <v>0</v>
      </c>
    </row>
    <row r="245" spans="1:14" x14ac:dyDescent="0.25">
      <c r="A245" s="5" t="s">
        <v>152</v>
      </c>
      <c r="B245" s="16">
        <v>145</v>
      </c>
      <c r="C245" s="16" t="str">
        <v>Clark V - CL-V 443-444 - 444</v>
      </c>
      <c r="D245" s="6">
        <f>_xlfn.XLOOKUP(C245,'2023'!C:C,'2023'!A:A,"")</f>
        <v>45027.895833333001</v>
      </c>
      <c r="E245" s="6">
        <f>_xlfn.XLOOKUP(C245,'2023'!C:C,'2023'!B:B,"")</f>
        <v>45028.741666667003</v>
      </c>
      <c r="F245" s="19">
        <f t="shared" si="15"/>
        <v>45027.895833333001</v>
      </c>
      <c r="G245" s="6">
        <f>_xlfn.XLOOKUP(C245,'2024'!C:C,'2024'!A:A,"")</f>
        <v>45391.737500000003</v>
      </c>
      <c r="H245" s="6">
        <f>_xlfn.XLOOKUP(C246,'2024'!C:C,'2024'!B:B,"")</f>
        <v>45393.708333333001</v>
      </c>
      <c r="I245" s="19">
        <f t="shared" si="12"/>
        <v>45391.737500000003</v>
      </c>
      <c r="J245" s="6">
        <f>_xlfn.XLOOKUP(C245,'2025'!C:C,'2025'!A:A,"")</f>
        <v>45755.841666667002</v>
      </c>
      <c r="K245" s="6">
        <f>_xlfn.XLOOKUP(C245,'2025'!C:C,'2025'!B:B,"")</f>
        <v>45755.743750000001</v>
      </c>
      <c r="L245" s="19">
        <f t="shared" si="13"/>
        <v>45755.743750000001</v>
      </c>
      <c r="M245" s="16" cm="1">
        <f t="array" ref="M245">IFERROR(_xlfn.LET(
_xlpm.x,TRIM(C245),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5" s="16" t="b">
        <f t="shared" si="14"/>
        <v>0</v>
      </c>
    </row>
    <row r="246" spans="1:14" x14ac:dyDescent="0.25">
      <c r="A246" s="5" t="s">
        <v>594</v>
      </c>
      <c r="B246" s="16">
        <v>144</v>
      </c>
      <c r="C246" s="16" t="str">
        <v>Clark V - CL-V 445-446 - 445</v>
      </c>
      <c r="D246" s="6" t="str">
        <f>_xlfn.XLOOKUP(C246,'2023'!C:C,'2023'!A:A,"")</f>
        <v/>
      </c>
      <c r="E246" s="6" t="str">
        <f>_xlfn.XLOOKUP(C246,'2023'!C:C,'2023'!B:B,"")</f>
        <v/>
      </c>
      <c r="F246" s="19" t="str">
        <f t="shared" si="15"/>
        <v/>
      </c>
      <c r="G246" s="6">
        <f>_xlfn.XLOOKUP(C246,'2024'!C:C,'2024'!A:A,"")</f>
        <v>45391.872916667002</v>
      </c>
      <c r="H246" s="6">
        <f>_xlfn.XLOOKUP(C247,'2024'!C:C,'2024'!B:B,"")</f>
        <v>45393.727083332997</v>
      </c>
      <c r="I246" s="19">
        <f t="shared" si="12"/>
        <v>45391.872916667002</v>
      </c>
      <c r="J246" s="6">
        <f>_xlfn.XLOOKUP(C246,'2025'!C:C,'2025'!A:A,"")</f>
        <v>45755.78125</v>
      </c>
      <c r="K246" s="6">
        <f>_xlfn.XLOOKUP(C246,'2025'!C:C,'2025'!B:B,"")</f>
        <v>45755.741666667003</v>
      </c>
      <c r="L246" s="19">
        <f t="shared" si="13"/>
        <v>45755.741666667003</v>
      </c>
      <c r="M246" s="16" cm="1">
        <f t="array" ref="M246">IFERROR(_xlfn.LET(
_xlpm.x,TRIM(C246),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6" s="16" t="b">
        <f t="shared" si="14"/>
        <v>0</v>
      </c>
    </row>
    <row r="247" spans="1:14" x14ac:dyDescent="0.25">
      <c r="A247" s="5" t="s">
        <v>594</v>
      </c>
      <c r="B247" s="16">
        <v>200</v>
      </c>
      <c r="C247" s="16" t="str">
        <v>Clark V - CL-V 445-446 - 446</v>
      </c>
      <c r="D247" s="6" t="str">
        <f>_xlfn.XLOOKUP(C247,'2023'!C:C,'2023'!A:A,"")</f>
        <v/>
      </c>
      <c r="E247" s="6" t="str">
        <f>_xlfn.XLOOKUP(C247,'2023'!C:C,'2023'!B:B,"")</f>
        <v/>
      </c>
      <c r="F247" s="19" t="str">
        <f t="shared" si="15"/>
        <v/>
      </c>
      <c r="G247" s="6">
        <f>_xlfn.XLOOKUP(C247,'2024'!C:C,'2024'!A:A,"")</f>
        <v>45391.768750000003</v>
      </c>
      <c r="H247" s="6">
        <f>_xlfn.XLOOKUP(C248,'2024'!C:C,'2024'!B:B,"")</f>
        <v>45391.731249999997</v>
      </c>
      <c r="I247" s="19">
        <f t="shared" si="12"/>
        <v>45391.731249999997</v>
      </c>
      <c r="J247" s="6">
        <f>_xlfn.XLOOKUP(C247,'2025'!C:C,'2025'!A:A,"")</f>
        <v>45755.741666667003</v>
      </c>
      <c r="K247" s="6">
        <f>_xlfn.XLOOKUP(C247,'2025'!C:C,'2025'!B:B,"")</f>
        <v>45755.741666667003</v>
      </c>
      <c r="L247" s="19">
        <f t="shared" si="13"/>
        <v>45755.741666667003</v>
      </c>
      <c r="M247" s="16" cm="1">
        <f t="array" ref="M247">IFERROR(_xlfn.LET(
_xlpm.x,TRIM(C247),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7" s="16" t="b">
        <f t="shared" si="14"/>
        <v>0</v>
      </c>
    </row>
    <row r="248" spans="1:14" x14ac:dyDescent="0.25">
      <c r="A248" s="5" t="s">
        <v>594</v>
      </c>
      <c r="B248" s="16">
        <v>149</v>
      </c>
      <c r="C248" s="16" t="str">
        <v>Clark V - CL-V 451-454 - 451</v>
      </c>
      <c r="D248" s="6">
        <f>_xlfn.XLOOKUP(C248,'2023'!C:C,'2023'!A:A,"")</f>
        <v>45028.785416667</v>
      </c>
      <c r="E248" s="6" t="str">
        <f>_xlfn.XLOOKUP(C248,'2023'!C:C,'2023'!B:B,"")</f>
        <v>No Selection Time Issued</v>
      </c>
      <c r="F248" s="19">
        <f t="shared" si="15"/>
        <v>45028.785416667</v>
      </c>
      <c r="G248" s="6">
        <f>_xlfn.XLOOKUP(C248,'2024'!C:C,'2024'!A:A,"")</f>
        <v>45391.845833332998</v>
      </c>
      <c r="H248" s="6">
        <f>_xlfn.XLOOKUP(C249,'2024'!C:C,'2024'!B:B,"")</f>
        <v>45391.772916667003</v>
      </c>
      <c r="I248" s="19">
        <f t="shared" si="12"/>
        <v>45391.772916667003</v>
      </c>
      <c r="J248" s="6">
        <f>_xlfn.XLOOKUP(C248,'2025'!C:C,'2025'!A:A,"")</f>
        <v>45755.845833332998</v>
      </c>
      <c r="K248" s="6">
        <f>_xlfn.XLOOKUP(C248,'2025'!C:C,'2025'!B:B,"")</f>
        <v>45755.729166666999</v>
      </c>
      <c r="L248" s="19">
        <f t="shared" si="13"/>
        <v>45755.729166666999</v>
      </c>
      <c r="M248" s="16" cm="1">
        <f t="array" ref="M248">IFERROR(_xlfn.LET(
_xlpm.x,TRIM(C248),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8" s="16" t="b">
        <f t="shared" si="14"/>
        <v>0</v>
      </c>
    </row>
    <row r="249" spans="1:14" x14ac:dyDescent="0.25">
      <c r="A249" s="5" t="s">
        <v>182</v>
      </c>
      <c r="B249" s="16">
        <v>146</v>
      </c>
      <c r="C249" s="16" t="str">
        <v>Clark V - CL-V 451-454 - 452</v>
      </c>
      <c r="D249" s="6">
        <f>_xlfn.XLOOKUP(C249,'2023'!C:C,'2023'!A:A,"")</f>
        <v>45028.710416667003</v>
      </c>
      <c r="E249" s="6">
        <f>_xlfn.XLOOKUP(C249,'2023'!C:C,'2023'!B:B,"")</f>
        <v>45027.720833332998</v>
      </c>
      <c r="F249" s="19">
        <f t="shared" si="15"/>
        <v>45027.720833332998</v>
      </c>
      <c r="G249" s="6">
        <f>_xlfn.XLOOKUP(C249,'2024'!C:C,'2024'!A:A,"")</f>
        <v>45391.8125</v>
      </c>
      <c r="H249" s="6">
        <f>_xlfn.XLOOKUP(C250,'2024'!C:C,'2024'!B:B,"")</f>
        <v>45391.797916666997</v>
      </c>
      <c r="I249" s="19">
        <f t="shared" si="12"/>
        <v>45391.797916666997</v>
      </c>
      <c r="J249" s="6">
        <f>_xlfn.XLOOKUP(C249,'2025'!C:C,'2025'!A:A,"")</f>
        <v>45756.791666666999</v>
      </c>
      <c r="K249" s="6">
        <f>_xlfn.XLOOKUP(C249,'2025'!C:C,'2025'!B:B,"")</f>
        <v>45755.729166666999</v>
      </c>
      <c r="L249" s="19">
        <f t="shared" si="13"/>
        <v>45755.729166666999</v>
      </c>
      <c r="M249" s="16" cm="1">
        <f t="array" ref="M249">IFERROR(_xlfn.LET(
_xlpm.x,TRIM(C249),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49" s="16" t="b">
        <f t="shared" si="14"/>
        <v>0</v>
      </c>
    </row>
    <row r="250" spans="1:14" x14ac:dyDescent="0.25">
      <c r="A250" s="5" t="s">
        <v>182</v>
      </c>
      <c r="B250" s="16">
        <v>149</v>
      </c>
      <c r="C250" s="16" t="str">
        <v>Clark V - CL-V 451-454 - 453</v>
      </c>
      <c r="D250" s="6">
        <f>_xlfn.XLOOKUP(C250,'2023'!C:C,'2023'!A:A,"")</f>
        <v>45027.729166666999</v>
      </c>
      <c r="E250" s="6">
        <f>_xlfn.XLOOKUP(C250,'2023'!C:C,'2023'!B:B,"")</f>
        <v>45027.814583332998</v>
      </c>
      <c r="F250" s="19">
        <f t="shared" si="15"/>
        <v>45027.729166666999</v>
      </c>
      <c r="G250" s="6">
        <f>_xlfn.XLOOKUP(C250,'2024'!C:C,'2024'!A:A,"")</f>
        <v>45391.733333333003</v>
      </c>
      <c r="H250" s="6">
        <f>_xlfn.XLOOKUP(C251,'2024'!C:C,'2024'!B:B,"")</f>
        <v>45393.708333333001</v>
      </c>
      <c r="I250" s="19">
        <f t="shared" si="12"/>
        <v>45391.733333333003</v>
      </c>
      <c r="J250" s="6">
        <f>_xlfn.XLOOKUP(C250,'2025'!C:C,'2025'!A:A,"")</f>
        <v>45755.829166666997</v>
      </c>
      <c r="K250" s="6">
        <f>_xlfn.XLOOKUP(C250,'2025'!C:C,'2025'!B:B,"")</f>
        <v>45755.729166666999</v>
      </c>
      <c r="L250" s="19">
        <f t="shared" si="13"/>
        <v>45755.729166666999</v>
      </c>
      <c r="M250" s="16" cm="1">
        <f t="array" ref="M250">IFERROR(_xlfn.LET(
_xlpm.x,TRIM(C250),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0" s="16" t="b">
        <f t="shared" si="14"/>
        <v>0</v>
      </c>
    </row>
    <row r="251" spans="1:14" x14ac:dyDescent="0.25">
      <c r="A251" s="5" t="s">
        <v>182</v>
      </c>
      <c r="B251" s="16">
        <v>146</v>
      </c>
      <c r="C251" s="16" t="str">
        <v>Clark V - CL-V 451-454 - 454</v>
      </c>
      <c r="D251" s="6">
        <f>_xlfn.XLOOKUP(C251,'2023'!C:C,'2023'!A:A,"")</f>
        <v>45027.747916667002</v>
      </c>
      <c r="E251" s="6" t="str">
        <f>_xlfn.XLOOKUP(C251,'2023'!C:C,'2023'!B:B,"")</f>
        <v>No Selection Time Issued</v>
      </c>
      <c r="F251" s="19">
        <f t="shared" si="15"/>
        <v>45027.747916667002</v>
      </c>
      <c r="G251" s="6">
        <f>_xlfn.XLOOKUP(C251,'2024'!C:C,'2024'!A:A,"")</f>
        <v>45391.893750000003</v>
      </c>
      <c r="H251" s="6">
        <f>_xlfn.XLOOKUP(C252,'2024'!C:C,'2024'!B:B,"")</f>
        <v>45391.710416667003</v>
      </c>
      <c r="I251" s="19">
        <f t="shared" si="12"/>
        <v>45391.710416667003</v>
      </c>
      <c r="J251" s="6">
        <f>_xlfn.XLOOKUP(C251,'2025'!C:C,'2025'!A:A,"")</f>
        <v>45755.729166666999</v>
      </c>
      <c r="K251" s="6">
        <f>_xlfn.XLOOKUP(C251,'2025'!C:C,'2025'!B:B,"")</f>
        <v>45755.729166666999</v>
      </c>
      <c r="L251" s="19">
        <f t="shared" si="13"/>
        <v>45755.729166666999</v>
      </c>
      <c r="M251" s="16" cm="1">
        <f t="array" ref="M251">IFERROR(_xlfn.LET(
_xlpm.x,TRIM(C251),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1" s="16" t="b">
        <f t="shared" si="14"/>
        <v>0</v>
      </c>
    </row>
    <row r="252" spans="1:14" x14ac:dyDescent="0.25">
      <c r="A252" s="5" t="s">
        <v>419</v>
      </c>
      <c r="B252" s="16">
        <v>149</v>
      </c>
      <c r="C252" s="16" t="str">
        <v>Clark V - CL-V 455-458 - 455</v>
      </c>
      <c r="D252" s="6">
        <f>_xlfn.XLOOKUP(C252,'2023'!C:C,'2023'!A:A,"")</f>
        <v>45027.760416666999</v>
      </c>
      <c r="E252" s="6">
        <f>_xlfn.XLOOKUP(C252,'2023'!C:C,'2023'!B:B,"")</f>
        <v>45028.814583332998</v>
      </c>
      <c r="F252" s="19">
        <f t="shared" si="15"/>
        <v>45027.760416666999</v>
      </c>
      <c r="G252" s="6">
        <f>_xlfn.XLOOKUP(C252,'2024'!C:C,'2024'!A:A,"")</f>
        <v>45391.747916667002</v>
      </c>
      <c r="H252" s="6">
        <f>_xlfn.XLOOKUP(C253,'2024'!C:C,'2024'!B:B,"")</f>
        <v>45391.735416666997</v>
      </c>
      <c r="I252" s="19">
        <f t="shared" si="12"/>
        <v>45391.735416666997</v>
      </c>
      <c r="J252" s="6">
        <f>_xlfn.XLOOKUP(C252,'2025'!C:C,'2025'!A:A,"")</f>
        <v>45755.731249999997</v>
      </c>
      <c r="K252" s="6">
        <f>_xlfn.XLOOKUP(C252,'2025'!C:C,'2025'!B:B,"")</f>
        <v>45755.731249999997</v>
      </c>
      <c r="L252" s="19">
        <f t="shared" si="13"/>
        <v>45755.731249999997</v>
      </c>
      <c r="M252" s="16" cm="1">
        <f t="array" ref="M252">IFERROR(_xlfn.LET(
_xlpm.x,TRIM(C252),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2" s="16" t="b">
        <f t="shared" si="14"/>
        <v>0</v>
      </c>
    </row>
    <row r="253" spans="1:14" x14ac:dyDescent="0.25">
      <c r="A253" s="5" t="s">
        <v>419</v>
      </c>
      <c r="B253" s="16">
        <v>149</v>
      </c>
      <c r="C253" s="16" t="str">
        <v>Clark V - CL-V 455-458 - 456</v>
      </c>
      <c r="D253" s="6">
        <f>_xlfn.XLOOKUP(C253,'2023'!C:C,'2023'!A:A,"")</f>
        <v>45027.741666667003</v>
      </c>
      <c r="E253" s="6">
        <f>_xlfn.XLOOKUP(C253,'2023'!C:C,'2023'!B:B,"")</f>
        <v>45027.720833332998</v>
      </c>
      <c r="F253" s="19">
        <f t="shared" si="15"/>
        <v>45027.720833332998</v>
      </c>
      <c r="G253" s="6">
        <f>_xlfn.XLOOKUP(C253,'2024'!C:C,'2024'!A:A,"")</f>
        <v>45391.879166667</v>
      </c>
      <c r="H253" s="6">
        <f>_xlfn.XLOOKUP(C254,'2024'!C:C,'2024'!B:B,"")</f>
        <v>45393.789583332997</v>
      </c>
      <c r="I253" s="19">
        <f t="shared" si="12"/>
        <v>45391.879166667</v>
      </c>
      <c r="J253" s="6">
        <f>_xlfn.XLOOKUP(C253,'2025'!C:C,'2025'!A:A,"")</f>
        <v>45755.835416667003</v>
      </c>
      <c r="K253" s="6">
        <f>_xlfn.XLOOKUP(C253,'2025'!C:C,'2025'!B:B,"")</f>
        <v>45755.731249999997</v>
      </c>
      <c r="L253" s="19">
        <f t="shared" si="13"/>
        <v>45755.731249999997</v>
      </c>
      <c r="M253" s="16" cm="1">
        <f t="array" ref="M253">IFERROR(_xlfn.LET(
_xlpm.x,TRIM(C253),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3" s="16" t="b">
        <f t="shared" si="14"/>
        <v>0</v>
      </c>
    </row>
    <row r="254" spans="1:14" x14ac:dyDescent="0.25">
      <c r="A254" s="5" t="s">
        <v>419</v>
      </c>
      <c r="B254" s="16">
        <v>147</v>
      </c>
      <c r="C254" s="16" t="str">
        <v>Clark V - CL-V 455-458 - 457</v>
      </c>
      <c r="D254" s="6">
        <f>_xlfn.XLOOKUP(C254,'2023'!C:C,'2023'!A:A,"")</f>
        <v>45027.783333332998</v>
      </c>
      <c r="E254" s="6">
        <f>_xlfn.XLOOKUP(C254,'2023'!C:C,'2023'!B:B,"")</f>
        <v>45027.712500000001</v>
      </c>
      <c r="F254" s="19">
        <f t="shared" si="15"/>
        <v>45027.712500000001</v>
      </c>
      <c r="G254" s="6">
        <f>_xlfn.XLOOKUP(C254,'2024'!C:C,'2024'!A:A,"")</f>
        <v>45391.743750000001</v>
      </c>
      <c r="H254" s="6">
        <f>_xlfn.XLOOKUP(C255,'2024'!C:C,'2024'!B:B,"")</f>
        <v>45391.733333333003</v>
      </c>
      <c r="I254" s="19">
        <f t="shared" si="12"/>
        <v>45391.733333333003</v>
      </c>
      <c r="J254" s="6">
        <f>_xlfn.XLOOKUP(C254,'2025'!C:C,'2025'!A:A,"")</f>
        <v>45755.760416666999</v>
      </c>
      <c r="K254" s="6">
        <f>_xlfn.XLOOKUP(C254,'2025'!C:C,'2025'!B:B,"")</f>
        <v>45755.731249999997</v>
      </c>
      <c r="L254" s="19">
        <f t="shared" si="13"/>
        <v>45755.731249999997</v>
      </c>
      <c r="M254" s="16" cm="1">
        <f t="array" ref="M254">IFERROR(_xlfn.LET(
_xlpm.x,TRIM(C254),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4" s="16" t="b">
        <f t="shared" si="14"/>
        <v>0</v>
      </c>
    </row>
    <row r="255" spans="1:14" x14ac:dyDescent="0.25">
      <c r="A255" s="5" t="s">
        <v>34</v>
      </c>
      <c r="B255" s="16">
        <v>149</v>
      </c>
      <c r="C255" s="16" t="str">
        <v>Clark V - CL-V 455-458 - 458</v>
      </c>
      <c r="D255" s="6">
        <f>_xlfn.XLOOKUP(C255,'2023'!C:C,'2023'!A:A,"")</f>
        <v>45027.827083333003</v>
      </c>
      <c r="E255" s="6" t="str">
        <f>_xlfn.XLOOKUP(C255,'2023'!C:C,'2023'!B:B,"")</f>
        <v>No Selection Time Issued</v>
      </c>
      <c r="F255" s="19">
        <f t="shared" si="15"/>
        <v>45027.827083333003</v>
      </c>
      <c r="G255" s="6">
        <f>_xlfn.XLOOKUP(C255,'2024'!C:C,'2024'!A:A,"")</f>
        <v>45391.766666666997</v>
      </c>
      <c r="H255" s="6">
        <f>_xlfn.XLOOKUP(C256,'2024'!C:C,'2024'!B:B,"")</f>
        <v>45392.745833333</v>
      </c>
      <c r="I255" s="19">
        <f t="shared" si="12"/>
        <v>45391.766666666997</v>
      </c>
      <c r="J255" s="6">
        <f>_xlfn.XLOOKUP(C255,'2025'!C:C,'2025'!A:A,"")</f>
        <v>45755.78125</v>
      </c>
      <c r="K255" s="6">
        <f>_xlfn.XLOOKUP(C255,'2025'!C:C,'2025'!B:B,"")</f>
        <v>45755.731249999997</v>
      </c>
      <c r="L255" s="19">
        <f t="shared" si="13"/>
        <v>45755.731249999997</v>
      </c>
      <c r="M255" s="16" cm="1">
        <f t="array" ref="M255">IFERROR(_xlfn.LET(
_xlpm.x,TRIM(C255),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5" s="16" t="b">
        <f t="shared" si="14"/>
        <v>0</v>
      </c>
    </row>
    <row r="256" spans="1:14" x14ac:dyDescent="0.25">
      <c r="A256" s="5" t="s">
        <v>34</v>
      </c>
      <c r="B256" s="16">
        <v>149</v>
      </c>
      <c r="C256" s="16" t="str">
        <v>Clark V - CL-V 459-462 - 459</v>
      </c>
      <c r="D256" s="6">
        <f>_xlfn.XLOOKUP(C256,'2023'!C:C,'2023'!A:A,"")</f>
        <v>45027.775000000001</v>
      </c>
      <c r="E256" s="6">
        <f>_xlfn.XLOOKUP(C256,'2023'!C:C,'2023'!B:B,"")</f>
        <v>45027.891666666997</v>
      </c>
      <c r="F256" s="19">
        <f t="shared" si="15"/>
        <v>45027.775000000001</v>
      </c>
      <c r="G256" s="6">
        <f>_xlfn.XLOOKUP(C256,'2024'!C:C,'2024'!A:A,"")</f>
        <v>45391.770833333001</v>
      </c>
      <c r="H256" s="6">
        <f>_xlfn.XLOOKUP(C257,'2024'!C:C,'2024'!B:B,"")</f>
        <v>45391.712500000001</v>
      </c>
      <c r="I256" s="19">
        <f t="shared" si="12"/>
        <v>45391.712500000001</v>
      </c>
      <c r="J256" s="6">
        <f>_xlfn.XLOOKUP(C256,'2025'!C:C,'2025'!A:A,"")</f>
        <v>45755.727083332997</v>
      </c>
      <c r="K256" s="6">
        <f>_xlfn.XLOOKUP(C256,'2025'!C:C,'2025'!B:B,"")</f>
        <v>45755.727083332997</v>
      </c>
      <c r="L256" s="19">
        <f t="shared" si="13"/>
        <v>45755.727083332997</v>
      </c>
      <c r="M256" s="16" cm="1">
        <f t="array" ref="M256">IFERROR(_xlfn.LET(
_xlpm.x,TRIM(C256),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6" s="16" t="b">
        <f t="shared" si="14"/>
        <v>0</v>
      </c>
    </row>
    <row r="257" spans="1:14" x14ac:dyDescent="0.25">
      <c r="A257" s="5" t="s">
        <v>34</v>
      </c>
      <c r="B257" s="16">
        <v>149</v>
      </c>
      <c r="C257" s="16" t="str">
        <v>Clark V - CL-V 459-462 - 460</v>
      </c>
      <c r="D257" s="6">
        <f>_xlfn.XLOOKUP(C257,'2023'!C:C,'2023'!A:A,"")</f>
        <v>45027.854166666999</v>
      </c>
      <c r="E257" s="6">
        <f>_xlfn.XLOOKUP(C257,'2023'!C:C,'2023'!B:B,"")</f>
        <v>45028.729166666999</v>
      </c>
      <c r="F257" s="19">
        <f t="shared" si="15"/>
        <v>45027.854166666999</v>
      </c>
      <c r="G257" s="6">
        <f>_xlfn.XLOOKUP(C257,'2024'!C:C,'2024'!A:A,"")</f>
        <v>45391.741666667003</v>
      </c>
      <c r="H257" s="6">
        <f>_xlfn.XLOOKUP(C258,'2024'!C:C,'2024'!B:B,"")</f>
        <v>45392.731249999997</v>
      </c>
      <c r="I257" s="19">
        <f t="shared" si="12"/>
        <v>45391.741666667003</v>
      </c>
      <c r="J257" s="6">
        <f>_xlfn.XLOOKUP(C257,'2025'!C:C,'2025'!A:A,"")</f>
        <v>45756.772916667003</v>
      </c>
      <c r="K257" s="6">
        <f>_xlfn.XLOOKUP(C257,'2025'!C:C,'2025'!B:B,"")</f>
        <v>45755.727083332997</v>
      </c>
      <c r="L257" s="19">
        <f t="shared" si="13"/>
        <v>45755.727083332997</v>
      </c>
      <c r="M257" s="16" cm="1">
        <f t="array" ref="M257">IFERROR(_xlfn.LET(
_xlpm.x,TRIM(C257),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7" s="16" t="b">
        <f t="shared" si="14"/>
        <v>0</v>
      </c>
    </row>
    <row r="258" spans="1:14" x14ac:dyDescent="0.25">
      <c r="A258" s="5" t="s">
        <v>172</v>
      </c>
      <c r="B258" s="16">
        <v>148</v>
      </c>
      <c r="C258" s="16" t="str">
        <v>Clark V - CL-V 459-462 - 461</v>
      </c>
      <c r="D258" s="6">
        <f>_xlfn.XLOOKUP(C258,'2023'!C:C,'2023'!A:A,"")</f>
        <v>45027.731249999997</v>
      </c>
      <c r="E258" s="6">
        <f>_xlfn.XLOOKUP(C258,'2023'!C:C,'2023'!B:B,"")</f>
        <v>45029.708333333001</v>
      </c>
      <c r="F258" s="19">
        <f t="shared" si="15"/>
        <v>45027.731249999997</v>
      </c>
      <c r="G258" s="6">
        <f>_xlfn.XLOOKUP(C258,'2024'!C:C,'2024'!A:A,"")</f>
        <v>45391.739583333001</v>
      </c>
      <c r="H258" s="6">
        <f>_xlfn.XLOOKUP(C259,'2024'!C:C,'2024'!B:B,"")</f>
        <v>45391.720833332998</v>
      </c>
      <c r="I258" s="19">
        <f t="shared" ref="I258:I321" si="16">_xlfn.LET(
_xlpm.ind,G258,
_xlpm.grp,H258,
IF(AND(NOT(ISNUMBER(_xlpm.ind)),NOT(ISNUMBER(_xlpm.grp))),"",
MIN(IF(ISNUMBER(_xlpm.ind),_xlpm.ind,1E+99),IF(ISNUMBER(_xlpm.grp),_xlpm.grp,1E+99))
)
)</f>
        <v>45391.720833332998</v>
      </c>
      <c r="J258" s="6">
        <f>_xlfn.XLOOKUP(C258,'2025'!C:C,'2025'!A:A,"")</f>
        <v>45756.800000000003</v>
      </c>
      <c r="K258" s="6">
        <f>_xlfn.XLOOKUP(C258,'2025'!C:C,'2025'!B:B,"")</f>
        <v>45755.727083332997</v>
      </c>
      <c r="L258" s="19">
        <f t="shared" ref="L258:L321" si="17">_xlfn.LET(_xlpm.ind,J258,_xlpm.grp,K258,IF(AND(NOT(ISNUMBER(_xlpm.ind)),NOT(ISNUMBER(_xlpm.grp))),"",MIN(IF(ISNUMBER(_xlpm.ind),_xlpm.ind,1E+99),IF(ISNUMBER(_xlpm.grp),_xlpm.grp,1E+99))))</f>
        <v>45755.727083332997</v>
      </c>
      <c r="M258" s="16" cm="1">
        <f t="array" ref="M258">IFERROR(_xlfn.LET(
_xlpm.x,TRIM(C258),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8" s="16" t="b">
        <f t="shared" ref="N258:N321" si="18">OR(_xlfn.TEXTBEFORE(C258," - ")="Blaisdell",_xlfn.TEXTBEFORE(C258," - ")="Mudd",_xlfn.TEXTBEFORE(C258," - ")="Dialynas",_xlfn.TEXTBEFORE(C258," - ")="Sontag")</f>
        <v>0</v>
      </c>
    </row>
    <row r="259" spans="1:14" x14ac:dyDescent="0.25">
      <c r="A259" s="5" t="s">
        <v>172</v>
      </c>
      <c r="B259" s="16">
        <v>149</v>
      </c>
      <c r="C259" s="16" t="str">
        <v>Clark V - CL-V 459-462 - 462</v>
      </c>
      <c r="D259" s="6">
        <f>_xlfn.XLOOKUP(C259,'2023'!C:C,'2023'!A:A,"")</f>
        <v>45027.824999999997</v>
      </c>
      <c r="E259" s="6" t="str">
        <f>_xlfn.XLOOKUP(C259,'2023'!C:C,'2023'!B:B,"")</f>
        <v>No Selection Time Issued</v>
      </c>
      <c r="F259" s="19">
        <f t="shared" ref="F259:F322" si="19">_xlfn.LET(
_xlpm.ind,D259,
_xlpm.grp,E259,
IF(AND(NOT(ISNUMBER(_xlpm.ind)),NOT(ISNUMBER(_xlpm.grp))),"",
MIN(IF(ISNUMBER(_xlpm.ind),_xlpm.ind,1E+99),IF(ISNUMBER(_xlpm.grp),_xlpm.grp,1E+99))
)
)</f>
        <v>45027.824999999997</v>
      </c>
      <c r="G259" s="6">
        <f>_xlfn.XLOOKUP(C259,'2024'!C:C,'2024'!A:A,"")</f>
        <v>45391.779166667002</v>
      </c>
      <c r="H259" s="6">
        <f>_xlfn.XLOOKUP(C260,'2024'!C:C,'2024'!B:B,"")</f>
        <v>45393.816666667</v>
      </c>
      <c r="I259" s="19">
        <f t="shared" si="16"/>
        <v>45391.779166667002</v>
      </c>
      <c r="J259" s="6">
        <f>_xlfn.XLOOKUP(C259,'2025'!C:C,'2025'!A:A,"")</f>
        <v>45755.864583333001</v>
      </c>
      <c r="K259" s="6">
        <f>_xlfn.XLOOKUP(C259,'2025'!C:C,'2025'!B:B,"")</f>
        <v>45755.727083332997</v>
      </c>
      <c r="L259" s="19">
        <f t="shared" si="17"/>
        <v>45755.727083332997</v>
      </c>
      <c r="M259" s="16" cm="1">
        <f t="array" ref="M259">IFERROR(_xlfn.LET(
_xlpm.x,TRIM(C259),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59" s="16" t="b">
        <f t="shared" si="18"/>
        <v>0</v>
      </c>
    </row>
    <row r="260" spans="1:14" x14ac:dyDescent="0.25">
      <c r="A260" s="5" t="s">
        <v>172</v>
      </c>
      <c r="B260" s="16">
        <v>149</v>
      </c>
      <c r="C260" s="16" t="str">
        <v>Clark V - CL-V 463-466 - 463</v>
      </c>
      <c r="D260" s="6">
        <f>_xlfn.XLOOKUP(C260,'2023'!C:C,'2023'!A:A,"")</f>
        <v>45027.818749999999</v>
      </c>
      <c r="E260" s="6" t="str">
        <f>_xlfn.XLOOKUP(C260,'2023'!C:C,'2023'!B:B,"")</f>
        <v>No Selection Time Issued</v>
      </c>
      <c r="F260" s="19">
        <f t="shared" si="19"/>
        <v>45027.818749999999</v>
      </c>
      <c r="G260" s="6">
        <f>_xlfn.XLOOKUP(C260,'2024'!C:C,'2024'!A:A,"")</f>
        <v>45391.785416667</v>
      </c>
      <c r="H260" s="6">
        <f>_xlfn.XLOOKUP(C261,'2024'!C:C,'2024'!B:B,"")</f>
        <v>45391.729166666999</v>
      </c>
      <c r="I260" s="19">
        <f t="shared" si="16"/>
        <v>45391.729166666999</v>
      </c>
      <c r="J260" s="6">
        <f>_xlfn.XLOOKUP(C260,'2025'!C:C,'2025'!A:A,"")</f>
        <v>45755.839583333</v>
      </c>
      <c r="K260" s="6">
        <f>_xlfn.XLOOKUP(C260,'2025'!C:C,'2025'!B:B,"")</f>
        <v>45755.733333333003</v>
      </c>
      <c r="L260" s="19">
        <f t="shared" si="17"/>
        <v>45755.733333333003</v>
      </c>
      <c r="M260" s="16" cm="1">
        <f t="array" ref="M260">IFERROR(_xlfn.LET(
_xlpm.x,TRIM(C260),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0" s="16" t="b">
        <f t="shared" si="18"/>
        <v>0</v>
      </c>
    </row>
    <row r="261" spans="1:14" x14ac:dyDescent="0.25">
      <c r="A261" s="5" t="s">
        <v>241</v>
      </c>
      <c r="B261" s="16">
        <v>149</v>
      </c>
      <c r="C261" s="16" t="str">
        <v>Clark V - CL-V 463-466 - 464</v>
      </c>
      <c r="D261" s="6">
        <f>_xlfn.XLOOKUP(C261,'2023'!C:C,'2023'!A:A,"")</f>
        <v>45027.766666666997</v>
      </c>
      <c r="E261" s="6">
        <f>_xlfn.XLOOKUP(C261,'2023'!C:C,'2023'!B:B,"")</f>
        <v>45027.712500000001</v>
      </c>
      <c r="F261" s="19">
        <f t="shared" si="19"/>
        <v>45027.712500000001</v>
      </c>
      <c r="G261" s="6">
        <f>_xlfn.XLOOKUP(C261,'2024'!C:C,'2024'!A:A,"")</f>
        <v>45391.789583332997</v>
      </c>
      <c r="H261" s="6">
        <f>_xlfn.XLOOKUP(C262,'2024'!C:C,'2024'!B:B,"")</f>
        <v>45391.747916667002</v>
      </c>
      <c r="I261" s="19">
        <f t="shared" si="16"/>
        <v>45391.747916667002</v>
      </c>
      <c r="J261" s="6">
        <f>_xlfn.XLOOKUP(C261,'2025'!C:C,'2025'!A:A,"")</f>
        <v>45755.904166667002</v>
      </c>
      <c r="K261" s="6">
        <f>_xlfn.XLOOKUP(C261,'2025'!C:C,'2025'!B:B,"")</f>
        <v>45755.733333333003</v>
      </c>
      <c r="L261" s="19">
        <f t="shared" si="17"/>
        <v>45755.733333333003</v>
      </c>
      <c r="M261" s="16" cm="1">
        <f t="array" ref="M261">IFERROR(_xlfn.LET(
_xlpm.x,TRIM(C261),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1" s="16" t="b">
        <f t="shared" si="18"/>
        <v>0</v>
      </c>
    </row>
    <row r="262" spans="1:14" x14ac:dyDescent="0.25">
      <c r="A262" s="5" t="s">
        <v>241</v>
      </c>
      <c r="B262" s="16">
        <v>149</v>
      </c>
      <c r="C262" s="16" t="str">
        <v>Clark V - CL-V 463-466 - 465</v>
      </c>
      <c r="D262" s="6">
        <f>_xlfn.XLOOKUP(C262,'2023'!C:C,'2023'!A:A,"")</f>
        <v>45027.827083333003</v>
      </c>
      <c r="E262" s="6" t="str">
        <f>_xlfn.XLOOKUP(C262,'2023'!C:C,'2023'!B:B,"")</f>
        <v>No Selection Time Issued</v>
      </c>
      <c r="F262" s="19">
        <f t="shared" si="19"/>
        <v>45027.827083333003</v>
      </c>
      <c r="G262" s="6">
        <f>_xlfn.XLOOKUP(C262,'2024'!C:C,'2024'!A:A,"")</f>
        <v>45391.745833333</v>
      </c>
      <c r="H262" s="6">
        <f>_xlfn.XLOOKUP(C263,'2024'!C:C,'2024'!B:B,"")</f>
        <v>45392.729166666999</v>
      </c>
      <c r="I262" s="19">
        <f t="shared" si="16"/>
        <v>45391.745833333</v>
      </c>
      <c r="J262" s="6">
        <f>_xlfn.XLOOKUP(C262,'2025'!C:C,'2025'!A:A,"")</f>
        <v>45755.841666667002</v>
      </c>
      <c r="K262" s="6">
        <f>_xlfn.XLOOKUP(C262,'2025'!C:C,'2025'!B:B,"")</f>
        <v>45755.733333333003</v>
      </c>
      <c r="L262" s="19">
        <f t="shared" si="17"/>
        <v>45755.733333333003</v>
      </c>
      <c r="M262" s="16" cm="1">
        <f t="array" ref="M262">IFERROR(_xlfn.LET(
_xlpm.x,TRIM(C262),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2" s="16" t="b">
        <f t="shared" si="18"/>
        <v>0</v>
      </c>
    </row>
    <row r="263" spans="1:14" x14ac:dyDescent="0.25">
      <c r="A263" s="5" t="s">
        <v>241</v>
      </c>
      <c r="B263" s="16">
        <v>149</v>
      </c>
      <c r="C263" s="16" t="str">
        <v>Clark V - CL-V 463-466 - 466</v>
      </c>
      <c r="D263" s="6">
        <f>_xlfn.XLOOKUP(C263,'2023'!C:C,'2023'!A:A,"")</f>
        <v>45027.737500000003</v>
      </c>
      <c r="E263" s="6">
        <f>_xlfn.XLOOKUP(C263,'2023'!C:C,'2023'!B:B,"")</f>
        <v>45028.777083333</v>
      </c>
      <c r="F263" s="19">
        <f t="shared" si="19"/>
        <v>45027.737500000003</v>
      </c>
      <c r="G263" s="6">
        <f>_xlfn.XLOOKUP(C263,'2024'!C:C,'2024'!A:A,"")</f>
        <v>45391.887499999997</v>
      </c>
      <c r="H263" s="6">
        <f>_xlfn.XLOOKUP(C264,'2024'!C:C,'2024'!B:B,"")</f>
        <v>45393.722916667</v>
      </c>
      <c r="I263" s="19">
        <f t="shared" si="16"/>
        <v>45391.887499999997</v>
      </c>
      <c r="J263" s="6">
        <f>_xlfn.XLOOKUP(C263,'2025'!C:C,'2025'!A:A,"")</f>
        <v>45755.733333333003</v>
      </c>
      <c r="K263" s="6">
        <f>_xlfn.XLOOKUP(C263,'2025'!C:C,'2025'!B:B,"")</f>
        <v>45755.733333333003</v>
      </c>
      <c r="L263" s="19">
        <f t="shared" si="17"/>
        <v>45755.733333333003</v>
      </c>
      <c r="M263" s="16" cm="1">
        <f t="array" ref="M263">IFERROR(_xlfn.LET(
_xlpm.x,TRIM(C263),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3" s="16" t="b">
        <f t="shared" si="18"/>
        <v>0</v>
      </c>
    </row>
    <row r="264" spans="1:14" x14ac:dyDescent="0.25">
      <c r="A264" s="5" t="s">
        <v>600</v>
      </c>
      <c r="B264" s="16">
        <v>149</v>
      </c>
      <c r="C264" s="16" t="str">
        <v>Clark V - CL-V 467-470 - 467</v>
      </c>
      <c r="D264" s="6">
        <f>_xlfn.XLOOKUP(C264,'2023'!C:C,'2023'!A:A,"")</f>
        <v>45027.793749999997</v>
      </c>
      <c r="E264" s="6">
        <f>_xlfn.XLOOKUP(C264,'2023'!C:C,'2023'!B:B,"")</f>
        <v>45027.762499999997</v>
      </c>
      <c r="F264" s="19">
        <f t="shared" si="19"/>
        <v>45027.762499999997</v>
      </c>
      <c r="G264" s="6">
        <f>_xlfn.XLOOKUP(C264,'2024'!C:C,'2024'!A:A,"")</f>
        <v>45391.770833333001</v>
      </c>
      <c r="H264" s="6">
        <f>_xlfn.XLOOKUP(C265,'2024'!C:C,'2024'!B:B,"")</f>
        <v>45391.710416667003</v>
      </c>
      <c r="I264" s="19">
        <f t="shared" si="16"/>
        <v>45391.710416667003</v>
      </c>
      <c r="J264" s="6">
        <f>_xlfn.XLOOKUP(C264,'2025'!C:C,'2025'!A:A,"")</f>
        <v>45755.737500000003</v>
      </c>
      <c r="K264" s="6">
        <f>_xlfn.XLOOKUP(C264,'2025'!C:C,'2025'!B:B,"")</f>
        <v>45755.737500000003</v>
      </c>
      <c r="L264" s="19">
        <f t="shared" si="17"/>
        <v>45755.737500000003</v>
      </c>
      <c r="M264" s="16" cm="1">
        <f t="array" ref="M264">IFERROR(_xlfn.LET(
_xlpm.x,TRIM(C264),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4" s="16" t="b">
        <f t="shared" si="18"/>
        <v>0</v>
      </c>
    </row>
    <row r="265" spans="1:14" x14ac:dyDescent="0.25">
      <c r="A265" s="5" t="s">
        <v>600</v>
      </c>
      <c r="B265" s="16">
        <v>149</v>
      </c>
      <c r="C265" s="16" t="str">
        <v>Clark V - CL-V 467-470 - 468</v>
      </c>
      <c r="D265" s="6">
        <f>_xlfn.XLOOKUP(C265,'2023'!C:C,'2023'!A:A,"")</f>
        <v>45027.902083333</v>
      </c>
      <c r="E265" s="6">
        <f>_xlfn.XLOOKUP(C265,'2023'!C:C,'2023'!B:B,"")</f>
        <v>45027.712500000001</v>
      </c>
      <c r="F265" s="19">
        <f t="shared" si="19"/>
        <v>45027.712500000001</v>
      </c>
      <c r="G265" s="6">
        <f>_xlfn.XLOOKUP(C265,'2024'!C:C,'2024'!A:A,"")</f>
        <v>45393.766666666997</v>
      </c>
      <c r="H265" s="6">
        <f>_xlfn.XLOOKUP(C266,'2024'!C:C,'2024'!B:B,"")</f>
        <v>45392.716666667002</v>
      </c>
      <c r="I265" s="19">
        <f t="shared" si="16"/>
        <v>45392.716666667002</v>
      </c>
      <c r="J265" s="6">
        <f>_xlfn.XLOOKUP(C265,'2025'!C:C,'2025'!A:A,"")</f>
        <v>45755.797916666997</v>
      </c>
      <c r="K265" s="6">
        <f>_xlfn.XLOOKUP(C265,'2025'!C:C,'2025'!B:B,"")</f>
        <v>45755.737500000003</v>
      </c>
      <c r="L265" s="19">
        <f t="shared" si="17"/>
        <v>45755.737500000003</v>
      </c>
      <c r="M265" s="16" cm="1">
        <f t="array" ref="M265">IFERROR(_xlfn.LET(
_xlpm.x,TRIM(C265),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5" s="16" t="b">
        <f t="shared" si="18"/>
        <v>0</v>
      </c>
    </row>
    <row r="266" spans="1:14" x14ac:dyDescent="0.25">
      <c r="A266" s="5" t="s">
        <v>600</v>
      </c>
      <c r="B266" s="16">
        <v>149</v>
      </c>
      <c r="C266" s="16" t="str">
        <v>Clark V - CL-V 467-470 - 469</v>
      </c>
      <c r="D266" s="6">
        <f>_xlfn.XLOOKUP(C266,'2023'!C:C,'2023'!A:A,"")</f>
        <v>45027.735416666997</v>
      </c>
      <c r="E266" s="6">
        <f>_xlfn.XLOOKUP(C266,'2023'!C:C,'2023'!B:B,"")</f>
        <v>45027.745833333</v>
      </c>
      <c r="F266" s="19">
        <f t="shared" si="19"/>
        <v>45027.735416666997</v>
      </c>
      <c r="G266" s="6">
        <f>_xlfn.XLOOKUP(C266,'2024'!C:C,'2024'!A:A,"")</f>
        <v>45391.741666667003</v>
      </c>
      <c r="H266" s="6">
        <f>_xlfn.XLOOKUP(C267,'2024'!C:C,'2024'!B:B,"")</f>
        <v>45391.85</v>
      </c>
      <c r="I266" s="19">
        <f t="shared" si="16"/>
        <v>45391.741666667003</v>
      </c>
      <c r="J266" s="6">
        <f>_xlfn.XLOOKUP(C266,'2025'!C:C,'2025'!A:A,"")</f>
        <v>45755.885416666999</v>
      </c>
      <c r="K266" s="6">
        <f>_xlfn.XLOOKUP(C266,'2025'!C:C,'2025'!B:B,"")</f>
        <v>45755.737500000003</v>
      </c>
      <c r="L266" s="19">
        <f t="shared" si="17"/>
        <v>45755.737500000003</v>
      </c>
      <c r="M266" s="16" cm="1">
        <f t="array" ref="M266">IFERROR(_xlfn.LET(
_xlpm.x,TRIM(C266),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6" s="16" t="b">
        <f t="shared" si="18"/>
        <v>0</v>
      </c>
    </row>
    <row r="267" spans="1:14" x14ac:dyDescent="0.25">
      <c r="A267" s="5" t="s">
        <v>286</v>
      </c>
      <c r="B267" s="16">
        <v>149</v>
      </c>
      <c r="C267" s="16" t="str">
        <v>Clark V - CL-V 467-470 - 470</v>
      </c>
      <c r="D267" s="6">
        <f>_xlfn.XLOOKUP(C267,'2023'!C:C,'2023'!A:A,"")</f>
        <v>45027.904166667002</v>
      </c>
      <c r="E267" s="6" t="str">
        <f>_xlfn.XLOOKUP(C267,'2023'!C:C,'2023'!B:B,"")</f>
        <v>No Selection Time Issued</v>
      </c>
      <c r="F267" s="19">
        <f t="shared" si="19"/>
        <v>45027.904166667002</v>
      </c>
      <c r="G267" s="6">
        <f>_xlfn.XLOOKUP(C267,'2024'!C:C,'2024'!A:A,"")</f>
        <v>45391.795833333003</v>
      </c>
      <c r="H267" s="6">
        <f>_xlfn.XLOOKUP(C268,'2024'!C:C,'2024'!B:B,"")</f>
        <v>45392.729166666999</v>
      </c>
      <c r="I267" s="19">
        <f t="shared" si="16"/>
        <v>45391.795833333003</v>
      </c>
      <c r="J267" s="6">
        <f>_xlfn.XLOOKUP(C267,'2025'!C:C,'2025'!A:A,"")</f>
        <v>45756.822916666999</v>
      </c>
      <c r="K267" s="6">
        <f>_xlfn.XLOOKUP(C267,'2025'!C:C,'2025'!B:B,"")</f>
        <v>45755.737500000003</v>
      </c>
      <c r="L267" s="19">
        <f t="shared" si="17"/>
        <v>45755.737500000003</v>
      </c>
      <c r="M267" s="16" cm="1">
        <f t="array" ref="M267">IFERROR(_xlfn.LET(
_xlpm.x,TRIM(C267),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7" s="16" t="b">
        <f t="shared" si="18"/>
        <v>0</v>
      </c>
    </row>
    <row r="268" spans="1:14" x14ac:dyDescent="0.25">
      <c r="A268" s="5" t="s">
        <v>286</v>
      </c>
      <c r="B268" s="16">
        <v>146</v>
      </c>
      <c r="C268" s="16" t="str">
        <v>Clark V - CL-V 471-474 - 471</v>
      </c>
      <c r="D268" s="6">
        <f>_xlfn.XLOOKUP(C268,'2023'!C:C,'2023'!A:A,"")</f>
        <v>45027.887499999997</v>
      </c>
      <c r="E268" s="6">
        <f>_xlfn.XLOOKUP(C268,'2023'!C:C,'2023'!B:B,"")</f>
        <v>45027.772916667003</v>
      </c>
      <c r="F268" s="19">
        <f t="shared" si="19"/>
        <v>45027.772916667003</v>
      </c>
      <c r="G268" s="6">
        <f>_xlfn.XLOOKUP(C268,'2024'!C:C,'2024'!A:A,"")</f>
        <v>45392.762499999997</v>
      </c>
      <c r="H268" s="6">
        <f>_xlfn.XLOOKUP(C269,'2024'!C:C,'2024'!B:B,"")</f>
        <v>45391.731249999997</v>
      </c>
      <c r="I268" s="19">
        <f t="shared" si="16"/>
        <v>45391.731249999997</v>
      </c>
      <c r="J268" s="6">
        <f>_xlfn.XLOOKUP(C268,'2025'!C:C,'2025'!A:A,"")</f>
        <v>45756.8125</v>
      </c>
      <c r="K268" s="6">
        <f>_xlfn.XLOOKUP(C268,'2025'!C:C,'2025'!B:B,"")</f>
        <v>45755.731249999997</v>
      </c>
      <c r="L268" s="19">
        <f t="shared" si="17"/>
        <v>45755.731249999997</v>
      </c>
      <c r="M268" s="16" cm="1">
        <f t="array" ref="M268">IFERROR(_xlfn.LET(
_xlpm.x,TRIM(C268),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8" s="16" t="b">
        <f t="shared" si="18"/>
        <v>0</v>
      </c>
    </row>
    <row r="269" spans="1:14" x14ac:dyDescent="0.25">
      <c r="A269" s="5" t="s">
        <v>286</v>
      </c>
      <c r="B269" s="16">
        <v>149</v>
      </c>
      <c r="C269" s="16" t="str">
        <v>Clark V - CL-V 471-474 - 472</v>
      </c>
      <c r="D269" s="6">
        <f>_xlfn.XLOOKUP(C269,'2023'!C:C,'2023'!A:A,"")</f>
        <v>45027.724999999999</v>
      </c>
      <c r="E269" s="6" t="str">
        <f>_xlfn.XLOOKUP(C269,'2023'!C:C,'2023'!B:B,"")</f>
        <v>No Selection Time Issued</v>
      </c>
      <c r="F269" s="19">
        <f t="shared" si="19"/>
        <v>45027.724999999999</v>
      </c>
      <c r="G269" s="6">
        <f>_xlfn.XLOOKUP(C269,'2024'!C:C,'2024'!A:A,"")</f>
        <v>45391.872916667002</v>
      </c>
      <c r="H269" s="6" t="str">
        <f>_xlfn.XLOOKUP(C270,'2024'!C:C,'2024'!B:B,"")</f>
        <v>No Selection Time Issued</v>
      </c>
      <c r="I269" s="19">
        <f t="shared" si="16"/>
        <v>45391.872916667002</v>
      </c>
      <c r="J269" s="6">
        <f>_xlfn.XLOOKUP(C269,'2025'!C:C,'2025'!A:A,"")</f>
        <v>45755.731249999997</v>
      </c>
      <c r="K269" s="6">
        <f>_xlfn.XLOOKUP(C269,'2025'!C:C,'2025'!B:B,"")</f>
        <v>45755.731249999997</v>
      </c>
      <c r="L269" s="19">
        <f t="shared" si="17"/>
        <v>45755.731249999997</v>
      </c>
      <c r="M269" s="16" cm="1">
        <f t="array" ref="M269">IFERROR(_xlfn.LET(
_xlpm.x,TRIM(C269),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69" s="16" t="b">
        <f t="shared" si="18"/>
        <v>0</v>
      </c>
    </row>
    <row r="270" spans="1:14" x14ac:dyDescent="0.25">
      <c r="A270" s="5" t="s">
        <v>89</v>
      </c>
      <c r="B270" s="16">
        <v>146</v>
      </c>
      <c r="C270" s="16" t="str">
        <v>Clark V - CL-V 471-474 - 473</v>
      </c>
      <c r="D270" s="6">
        <f>_xlfn.XLOOKUP(C270,'2023'!C:C,'2023'!A:A,"")</f>
        <v>45028.716666667002</v>
      </c>
      <c r="E270" s="6">
        <f>_xlfn.XLOOKUP(C270,'2023'!C:C,'2023'!B:B,"")</f>
        <v>45028.720833332998</v>
      </c>
      <c r="F270" s="19">
        <f t="shared" si="19"/>
        <v>45028.716666667002</v>
      </c>
      <c r="G270" s="6">
        <f>_xlfn.XLOOKUP(C270,'2024'!C:C,'2024'!A:A,"")</f>
        <v>45391.895833333001</v>
      </c>
      <c r="H270" s="6">
        <f>_xlfn.XLOOKUP(C271,'2024'!C:C,'2024'!B:B,"")</f>
        <v>45391.833333333001</v>
      </c>
      <c r="I270" s="19">
        <f t="shared" si="16"/>
        <v>45391.833333333001</v>
      </c>
      <c r="J270" s="6">
        <f>_xlfn.XLOOKUP(C270,'2025'!C:C,'2025'!A:A,"")</f>
        <v>45755.795833333003</v>
      </c>
      <c r="K270" s="6">
        <f>_xlfn.XLOOKUP(C270,'2025'!C:C,'2025'!B:B,"")</f>
        <v>45755.731249999997</v>
      </c>
      <c r="L270" s="19">
        <f t="shared" si="17"/>
        <v>45755.731249999997</v>
      </c>
      <c r="M270" s="16" cm="1">
        <f t="array" ref="M270">IFERROR(_xlfn.LET(
_xlpm.x,TRIM(C270),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0" s="16" t="b">
        <f t="shared" si="18"/>
        <v>0</v>
      </c>
    </row>
    <row r="271" spans="1:14" x14ac:dyDescent="0.25">
      <c r="A271" s="5" t="s">
        <v>89</v>
      </c>
      <c r="B271" s="16">
        <v>149</v>
      </c>
      <c r="C271" s="16" t="str">
        <v>Clark V - CL-V 471-474 - 474</v>
      </c>
      <c r="D271" s="6">
        <f>_xlfn.XLOOKUP(C271,'2023'!C:C,'2023'!A:A,"")</f>
        <v>45028.839583333</v>
      </c>
      <c r="E271" s="6">
        <f>_xlfn.XLOOKUP(C271,'2023'!C:C,'2023'!B:B,"")</f>
        <v>45028.737500000003</v>
      </c>
      <c r="F271" s="19">
        <f t="shared" si="19"/>
        <v>45028.737500000003</v>
      </c>
      <c r="G271" s="6">
        <f>_xlfn.XLOOKUP(C271,'2024'!C:C,'2024'!A:A,"")</f>
        <v>45391.737500000003</v>
      </c>
      <c r="H271" s="6">
        <f>_xlfn.XLOOKUP(C272,'2024'!C:C,'2024'!B:B,"")</f>
        <v>45393.766666666997</v>
      </c>
      <c r="I271" s="19">
        <f t="shared" si="16"/>
        <v>45391.737500000003</v>
      </c>
      <c r="J271" s="6">
        <f>_xlfn.XLOOKUP(C271,'2025'!C:C,'2025'!A:A,"")</f>
        <v>45757.760416666999</v>
      </c>
      <c r="K271" s="6">
        <f>_xlfn.XLOOKUP(C271,'2025'!C:C,'2025'!B:B,"")</f>
        <v>45755.731249999997</v>
      </c>
      <c r="L271" s="19">
        <f t="shared" si="17"/>
        <v>45755.731249999997</v>
      </c>
      <c r="M271" s="16" cm="1">
        <f t="array" ref="M271">IFERROR(_xlfn.LET(
_xlpm.x,TRIM(C271),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1" s="16" t="b">
        <f t="shared" si="18"/>
        <v>0</v>
      </c>
    </row>
    <row r="272" spans="1:14" x14ac:dyDescent="0.25">
      <c r="A272" s="5" t="s">
        <v>89</v>
      </c>
      <c r="B272" s="16">
        <v>170</v>
      </c>
      <c r="C272" s="16" t="str">
        <v>Clark V - CL-V S1 - S01A</v>
      </c>
      <c r="D272" s="6">
        <f>_xlfn.XLOOKUP(C272,'2023'!C:C,'2023'!A:A,"")</f>
        <v>45027.739583333001</v>
      </c>
      <c r="E272" s="6">
        <f>_xlfn.XLOOKUP(C272,'2023'!C:C,'2023'!B:B,"")</f>
        <v>45027.766666666997</v>
      </c>
      <c r="F272" s="19">
        <f t="shared" si="19"/>
        <v>45027.739583333001</v>
      </c>
      <c r="G272" s="6">
        <f>_xlfn.XLOOKUP(C272,'2024'!C:C,'2024'!A:A,"")</f>
        <v>45391.908333332998</v>
      </c>
      <c r="H272" s="6">
        <f>_xlfn.XLOOKUP(C273,'2024'!C:C,'2024'!B:B,"")</f>
        <v>45391.714583333</v>
      </c>
      <c r="I272" s="19">
        <f t="shared" si="16"/>
        <v>45391.714583333</v>
      </c>
      <c r="J272" s="6" t="str">
        <f>_xlfn.XLOOKUP(C272,'2025'!C:C,'2025'!A:A,"")</f>
        <v/>
      </c>
      <c r="K272" s="6" t="str">
        <f>_xlfn.XLOOKUP(C272,'2025'!C:C,'2025'!B:B,"")</f>
        <v/>
      </c>
      <c r="L272" s="19" t="str">
        <f t="shared" si="17"/>
        <v/>
      </c>
      <c r="M272" s="16" cm="1">
        <f t="array" ref="M272">IFERROR(_xlfn.LET(
_xlpm.x,TRIM(C272),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2" s="16" t="b">
        <f t="shared" si="18"/>
        <v>0</v>
      </c>
    </row>
    <row r="273" spans="1:14" x14ac:dyDescent="0.25">
      <c r="A273" s="5" t="s">
        <v>236</v>
      </c>
      <c r="B273" s="16">
        <v>144</v>
      </c>
      <c r="C273" s="16" t="str">
        <v>Clark V - CL-V S1 - S01B</v>
      </c>
      <c r="D273" s="6">
        <f>_xlfn.XLOOKUP(C273,'2023'!C:C,'2023'!A:A,"")</f>
        <v>45027.737500000003</v>
      </c>
      <c r="E273" s="6">
        <f>_xlfn.XLOOKUP(C273,'2023'!C:C,'2023'!B:B,"")</f>
        <v>45027.714583333</v>
      </c>
      <c r="F273" s="19">
        <f t="shared" si="19"/>
        <v>45027.714583333</v>
      </c>
      <c r="G273" s="6">
        <f>_xlfn.XLOOKUP(C273,'2024'!C:C,'2024'!A:A,"")</f>
        <v>45391.760416666999</v>
      </c>
      <c r="H273" s="6">
        <f>_xlfn.XLOOKUP(C274,'2024'!C:C,'2024'!B:B,"")</f>
        <v>45391.729166666999</v>
      </c>
      <c r="I273" s="19">
        <f t="shared" si="16"/>
        <v>45391.729166666999</v>
      </c>
      <c r="J273" s="6" t="str">
        <f>_xlfn.XLOOKUP(C273,'2025'!C:C,'2025'!A:A,"")</f>
        <v/>
      </c>
      <c r="K273" s="6" t="str">
        <f>_xlfn.XLOOKUP(C273,'2025'!C:C,'2025'!B:B,"")</f>
        <v/>
      </c>
      <c r="L273" s="19" t="str">
        <f t="shared" si="17"/>
        <v/>
      </c>
      <c r="M273" s="16" cm="1">
        <f t="array" ref="M273">IFERROR(_xlfn.LET(
_xlpm.x,TRIM(C273),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3" s="16" t="b">
        <f t="shared" si="18"/>
        <v>0</v>
      </c>
    </row>
    <row r="274" spans="1:14" x14ac:dyDescent="0.25">
      <c r="A274" s="5" t="s">
        <v>236</v>
      </c>
      <c r="B274" s="16">
        <v>162</v>
      </c>
      <c r="C274" s="16" t="str">
        <v>Clark V - CL-V S2 - S02A</v>
      </c>
      <c r="D274" s="6">
        <f>_xlfn.XLOOKUP(C274,'2023'!C:C,'2023'!A:A,"")</f>
        <v>45027.739583333001</v>
      </c>
      <c r="E274" s="6" t="str">
        <f>_xlfn.XLOOKUP(C274,'2023'!C:C,'2023'!B:B,"")</f>
        <v>No Selection Time Issued</v>
      </c>
      <c r="F274" s="19">
        <f t="shared" si="19"/>
        <v>45027.739583333001</v>
      </c>
      <c r="G274" s="6">
        <f>_xlfn.XLOOKUP(C274,'2024'!C:C,'2024'!A:A,"")</f>
        <v>45391.816666667</v>
      </c>
      <c r="H274" s="6">
        <f>_xlfn.XLOOKUP(C275,'2024'!C:C,'2024'!B:B,"")</f>
        <v>45391.714583333</v>
      </c>
      <c r="I274" s="19">
        <f t="shared" si="16"/>
        <v>45391.714583333</v>
      </c>
      <c r="J274" s="6">
        <f>_xlfn.XLOOKUP(C274,'2025'!C:C,'2025'!A:A,"")</f>
        <v>45755.737500000003</v>
      </c>
      <c r="K274" s="6">
        <f>_xlfn.XLOOKUP(C274,'2025'!C:C,'2025'!B:B,"")</f>
        <v>45755.737500000003</v>
      </c>
      <c r="L274" s="19">
        <f t="shared" si="17"/>
        <v>45755.737500000003</v>
      </c>
      <c r="M274" s="16" cm="1">
        <f t="array" ref="M274">IFERROR(_xlfn.LET(
_xlpm.x,TRIM(C274),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4" s="16" t="b">
        <f t="shared" si="18"/>
        <v>0</v>
      </c>
    </row>
    <row r="275" spans="1:14" x14ac:dyDescent="0.25">
      <c r="A275" s="5" t="s">
        <v>236</v>
      </c>
      <c r="B275" s="16">
        <v>143</v>
      </c>
      <c r="C275" s="16" t="str">
        <v>Clark V - CL-V S2 - S02B</v>
      </c>
      <c r="D275" s="6">
        <f>_xlfn.XLOOKUP(C275,'2023'!C:C,'2023'!A:A,"")</f>
        <v>45027.864583333001</v>
      </c>
      <c r="E275" s="6">
        <f>_xlfn.XLOOKUP(C275,'2023'!C:C,'2023'!B:B,"")</f>
        <v>45028.724999999999</v>
      </c>
      <c r="F275" s="19">
        <f t="shared" si="19"/>
        <v>45027.864583333001</v>
      </c>
      <c r="G275" s="6">
        <f>_xlfn.XLOOKUP(C275,'2024'!C:C,'2024'!A:A,"")</f>
        <v>45391.768750000003</v>
      </c>
      <c r="H275" s="6" t="str">
        <f>_xlfn.XLOOKUP(C276,'2024'!C:C,'2024'!B:B,"")</f>
        <v/>
      </c>
      <c r="I275" s="19">
        <f t="shared" si="16"/>
        <v>45391.768750000003</v>
      </c>
      <c r="J275" s="6">
        <f>_xlfn.XLOOKUP(C275,'2025'!C:C,'2025'!A:A,"")</f>
        <v>45755.777083333</v>
      </c>
      <c r="K275" s="6">
        <f>_xlfn.XLOOKUP(C275,'2025'!C:C,'2025'!B:B,"")</f>
        <v>45755.737500000003</v>
      </c>
      <c r="L275" s="19">
        <f t="shared" si="17"/>
        <v>45755.737500000003</v>
      </c>
      <c r="M275" s="16" cm="1">
        <f t="array" ref="M275">IFERROR(_xlfn.LET(
_xlpm.x,TRIM(C275),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5" s="16" t="b">
        <f t="shared" si="18"/>
        <v>0</v>
      </c>
    </row>
    <row r="276" spans="1:14" x14ac:dyDescent="0.25">
      <c r="A276" s="5" t="s">
        <v>236</v>
      </c>
      <c r="B276" s="16">
        <v>164</v>
      </c>
      <c r="C276" s="16" t="str">
        <v>Clark V - CL-V S21 - S21A</v>
      </c>
      <c r="D276" s="6">
        <f>_xlfn.XLOOKUP(C276,'2023'!C:C,'2023'!A:A,"")</f>
        <v>45027.737500000003</v>
      </c>
      <c r="E276" s="6">
        <f>_xlfn.XLOOKUP(C276,'2023'!C:C,'2023'!B:B,"")</f>
        <v>45027.775000000001</v>
      </c>
      <c r="F276" s="19">
        <f t="shared" si="19"/>
        <v>45027.737500000003</v>
      </c>
      <c r="G276" s="6" t="str">
        <f>_xlfn.XLOOKUP(C276,'2024'!C:C,'2024'!A:A,"")</f>
        <v/>
      </c>
      <c r="H276" s="6" t="str">
        <f>_xlfn.XLOOKUP(C277,'2024'!C:C,'2024'!B:B,"")</f>
        <v/>
      </c>
      <c r="I276" s="19" t="str">
        <f t="shared" si="16"/>
        <v/>
      </c>
      <c r="J276" s="6">
        <f>_xlfn.XLOOKUP(C276,'2025'!C:C,'2025'!A:A,"")</f>
        <v>45755.729166666999</v>
      </c>
      <c r="K276" s="6">
        <f>_xlfn.XLOOKUP(C276,'2025'!C:C,'2025'!B:B,"")</f>
        <v>45755.729166666999</v>
      </c>
      <c r="L276" s="19">
        <f t="shared" si="17"/>
        <v>45755.729166666999</v>
      </c>
      <c r="M276" s="16" cm="1">
        <f t="array" ref="M276">IFERROR(_xlfn.LET(
_xlpm.x,TRIM(C276),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6" s="16" t="b">
        <f t="shared" si="18"/>
        <v>0</v>
      </c>
    </row>
    <row r="277" spans="1:14" x14ac:dyDescent="0.25">
      <c r="A277" s="5" t="s">
        <v>236</v>
      </c>
      <c r="B277" s="16">
        <v>136</v>
      </c>
      <c r="C277" s="16" t="str">
        <v>Clark V - CL-V S21 - S21B</v>
      </c>
      <c r="D277" s="6">
        <f>_xlfn.XLOOKUP(C277,'2023'!C:C,'2023'!A:A,"")</f>
        <v>45028.745833333</v>
      </c>
      <c r="E277" s="6">
        <f>_xlfn.XLOOKUP(C277,'2023'!C:C,'2023'!B:B,"")</f>
        <v>45027.712500000001</v>
      </c>
      <c r="F277" s="19">
        <f t="shared" si="19"/>
        <v>45027.712500000001</v>
      </c>
      <c r="G277" s="6" t="str">
        <f>_xlfn.XLOOKUP(C277,'2024'!C:C,'2024'!A:A,"")</f>
        <v/>
      </c>
      <c r="H277" s="6">
        <f>_xlfn.XLOOKUP(C278,'2024'!C:C,'2024'!B:B,"")</f>
        <v>45391.733333333003</v>
      </c>
      <c r="I277" s="19">
        <f t="shared" si="16"/>
        <v>45391.733333333003</v>
      </c>
      <c r="J277" s="6">
        <f>_xlfn.XLOOKUP(C277,'2025'!C:C,'2025'!A:A,"")</f>
        <v>45755.779166667002</v>
      </c>
      <c r="K277" s="6">
        <f>_xlfn.XLOOKUP(C277,'2025'!C:C,'2025'!B:B,"")</f>
        <v>45755.729166666999</v>
      </c>
      <c r="L277" s="19">
        <f t="shared" si="17"/>
        <v>45755.729166666999</v>
      </c>
      <c r="M277" s="16" cm="1">
        <f t="array" ref="M277">IFERROR(_xlfn.LET(
_xlpm.x,TRIM(C277),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7" s="16" t="b">
        <f t="shared" si="18"/>
        <v>0</v>
      </c>
    </row>
    <row r="278" spans="1:14" x14ac:dyDescent="0.25">
      <c r="A278" s="5" t="s">
        <v>236</v>
      </c>
      <c r="B278" s="16">
        <v>165</v>
      </c>
      <c r="C278" s="16" t="str">
        <v>Clark V - CL-V S22 - S22A</v>
      </c>
      <c r="D278" s="6">
        <f>_xlfn.XLOOKUP(C278,'2023'!C:C,'2023'!A:A,"")</f>
        <v>45027.722916667</v>
      </c>
      <c r="E278" s="6">
        <f>_xlfn.XLOOKUP(C278,'2023'!C:C,'2023'!B:B,"")</f>
        <v>45027.777083333</v>
      </c>
      <c r="F278" s="19">
        <f t="shared" si="19"/>
        <v>45027.722916667</v>
      </c>
      <c r="G278" s="6">
        <f>_xlfn.XLOOKUP(C278,'2024'!C:C,'2024'!A:A,"")</f>
        <v>45391.747916667002</v>
      </c>
      <c r="H278" s="6">
        <f>_xlfn.XLOOKUP(C279,'2024'!C:C,'2024'!B:B,"")</f>
        <v>45393.727083332997</v>
      </c>
      <c r="I278" s="19">
        <f t="shared" si="16"/>
        <v>45391.747916667002</v>
      </c>
      <c r="J278" s="6">
        <f>_xlfn.XLOOKUP(C278,'2025'!C:C,'2025'!A:A,"")</f>
        <v>45755.735416666997</v>
      </c>
      <c r="K278" s="6">
        <f>_xlfn.XLOOKUP(C278,'2025'!C:C,'2025'!B:B,"")</f>
        <v>45755.729166666999</v>
      </c>
      <c r="L278" s="19">
        <f t="shared" si="17"/>
        <v>45755.729166666999</v>
      </c>
      <c r="M278" s="16" cm="1">
        <f t="array" ref="M278">IFERROR(_xlfn.LET(
_xlpm.x,TRIM(C278),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8" s="16" t="b">
        <f t="shared" si="18"/>
        <v>0</v>
      </c>
    </row>
    <row r="279" spans="1:14" x14ac:dyDescent="0.25">
      <c r="A279" s="5" t="s">
        <v>587</v>
      </c>
      <c r="B279" s="16">
        <v>140</v>
      </c>
      <c r="C279" s="16" t="str">
        <v>Clark V - CL-V S22 - S22B</v>
      </c>
      <c r="D279" s="6">
        <f>_xlfn.XLOOKUP(C279,'2023'!C:C,'2023'!A:A,"")</f>
        <v>45027.831250000003</v>
      </c>
      <c r="E279" s="6">
        <f>_xlfn.XLOOKUP(C279,'2023'!C:C,'2023'!B:B,"")</f>
        <v>45028.710416667003</v>
      </c>
      <c r="F279" s="19">
        <f t="shared" si="19"/>
        <v>45027.831250000003</v>
      </c>
      <c r="G279" s="6">
        <f>_xlfn.XLOOKUP(C279,'2024'!C:C,'2024'!A:A,"")</f>
        <v>45391.829166666997</v>
      </c>
      <c r="H279" s="6" t="str">
        <f>_xlfn.XLOOKUP(C280,'2024'!C:C,'2024'!B:B,"")</f>
        <v/>
      </c>
      <c r="I279" s="19">
        <f t="shared" si="16"/>
        <v>45391.829166666997</v>
      </c>
      <c r="J279" s="6">
        <f>_xlfn.XLOOKUP(C279,'2025'!C:C,'2025'!A:A,"")</f>
        <v>45755.729166666999</v>
      </c>
      <c r="K279" s="6">
        <f>_xlfn.XLOOKUP(C279,'2025'!C:C,'2025'!B:B,"")</f>
        <v>45755.729166666999</v>
      </c>
      <c r="L279" s="19">
        <f t="shared" si="17"/>
        <v>45755.729166666999</v>
      </c>
      <c r="M279" s="16" cm="1">
        <f t="array" ref="M279">IFERROR(_xlfn.LET(
_xlpm.x,TRIM(C279),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79" s="16" t="b">
        <f t="shared" si="18"/>
        <v>0</v>
      </c>
    </row>
    <row r="280" spans="1:14" x14ac:dyDescent="0.25">
      <c r="A280" s="5" t="s">
        <v>587</v>
      </c>
      <c r="B280" s="16">
        <v>164</v>
      </c>
      <c r="C280" s="16" t="str">
        <v>Clark V - CL-V S23 - S23A</v>
      </c>
      <c r="D280" s="6">
        <f>_xlfn.XLOOKUP(C280,'2023'!C:C,'2023'!A:A,"")</f>
        <v>45027.737500000003</v>
      </c>
      <c r="E280" s="6">
        <f>_xlfn.XLOOKUP(C280,'2023'!C:C,'2023'!B:B,"")</f>
        <v>45029.833333333001</v>
      </c>
      <c r="F280" s="19">
        <f t="shared" si="19"/>
        <v>45027.737500000003</v>
      </c>
      <c r="G280" s="6" t="str">
        <f>_xlfn.XLOOKUP(C280,'2024'!C:C,'2024'!A:A,"")</f>
        <v/>
      </c>
      <c r="H280" s="6">
        <f>_xlfn.XLOOKUP(C281,'2024'!C:C,'2024'!B:B,"")</f>
        <v>45391.720833332998</v>
      </c>
      <c r="I280" s="19">
        <f t="shared" si="16"/>
        <v>45391.720833332998</v>
      </c>
      <c r="J280" s="6" t="str">
        <f>_xlfn.XLOOKUP(C280,'2025'!C:C,'2025'!A:A,"")</f>
        <v/>
      </c>
      <c r="K280" s="6" t="str">
        <f>_xlfn.XLOOKUP(C280,'2025'!C:C,'2025'!B:B,"")</f>
        <v/>
      </c>
      <c r="L280" s="19" t="str">
        <f t="shared" si="17"/>
        <v/>
      </c>
      <c r="M280" s="16" cm="1">
        <f t="array" ref="M280">IFERROR(_xlfn.LET(
_xlpm.x,TRIM(C280),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0" s="16" t="b">
        <f t="shared" si="18"/>
        <v>0</v>
      </c>
    </row>
    <row r="281" spans="1:14" x14ac:dyDescent="0.25">
      <c r="A281" s="5" t="s">
        <v>587</v>
      </c>
      <c r="B281" s="16">
        <v>139</v>
      </c>
      <c r="C281" s="16" t="str">
        <v>Clark V - CL-V S23 - S23B</v>
      </c>
      <c r="D281" s="6">
        <f>_xlfn.XLOOKUP(C281,'2023'!C:C,'2023'!A:A,"")</f>
        <v>45027.770833333001</v>
      </c>
      <c r="E281" s="6">
        <f>_xlfn.XLOOKUP(C281,'2023'!C:C,'2023'!B:B,"")</f>
        <v>45027.891666666997</v>
      </c>
      <c r="F281" s="19">
        <f t="shared" si="19"/>
        <v>45027.770833333001</v>
      </c>
      <c r="G281" s="6">
        <f>_xlfn.XLOOKUP(C281,'2024'!C:C,'2024'!A:A,"")</f>
        <v>45391.802083333001</v>
      </c>
      <c r="H281" s="6">
        <f>_xlfn.XLOOKUP(C282,'2024'!C:C,'2024'!B:B,"")</f>
        <v>45392.779166667002</v>
      </c>
      <c r="I281" s="19">
        <f t="shared" si="16"/>
        <v>45391.802083333001</v>
      </c>
      <c r="J281" s="6" t="str">
        <f>_xlfn.XLOOKUP(C281,'2025'!C:C,'2025'!A:A,"")</f>
        <v/>
      </c>
      <c r="K281" s="6" t="str">
        <f>_xlfn.XLOOKUP(C281,'2025'!C:C,'2025'!B:B,"")</f>
        <v/>
      </c>
      <c r="L281" s="19" t="str">
        <f t="shared" si="17"/>
        <v/>
      </c>
      <c r="M281" s="16" cm="1">
        <f t="array" ref="M281">IFERROR(_xlfn.LET(
_xlpm.x,TRIM(C281),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1" s="16" t="b">
        <f t="shared" si="18"/>
        <v>0</v>
      </c>
    </row>
    <row r="282" spans="1:14" x14ac:dyDescent="0.25">
      <c r="A282" s="5" t="s">
        <v>587</v>
      </c>
      <c r="B282" s="16">
        <v>165</v>
      </c>
      <c r="C282" s="16" t="str">
        <v>Clark V - CL-V S24 - S24A</v>
      </c>
      <c r="D282" s="6">
        <f>_xlfn.XLOOKUP(C282,'2023'!C:C,'2023'!A:A,"")</f>
        <v>45027.818749999999</v>
      </c>
      <c r="E282" s="6">
        <f>_xlfn.XLOOKUP(C282,'2023'!C:C,'2023'!B:B,"")</f>
        <v>45027.739583333001</v>
      </c>
      <c r="F282" s="19">
        <f t="shared" si="19"/>
        <v>45027.739583333001</v>
      </c>
      <c r="G282" s="6">
        <f>_xlfn.XLOOKUP(C282,'2024'!C:C,'2024'!A:A,"")</f>
        <v>45391.747916667002</v>
      </c>
      <c r="H282" s="6" t="str">
        <f>_xlfn.XLOOKUP(C283,'2024'!C:C,'2024'!B:B,"")</f>
        <v>No Selection Time Issued</v>
      </c>
      <c r="I282" s="19">
        <f t="shared" si="16"/>
        <v>45391.747916667002</v>
      </c>
      <c r="J282" s="6">
        <f>_xlfn.XLOOKUP(C282,'2025'!C:C,'2025'!A:A,"")</f>
        <v>45755.731249999997</v>
      </c>
      <c r="K282" s="6">
        <f>_xlfn.XLOOKUP(C282,'2025'!C:C,'2025'!B:B,"")</f>
        <v>45755.731249999997</v>
      </c>
      <c r="L282" s="19">
        <f t="shared" si="17"/>
        <v>45755.731249999997</v>
      </c>
      <c r="M282" s="16" cm="1">
        <f t="array" ref="M282">IFERROR(_xlfn.LET(
_xlpm.x,TRIM(C282),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2" s="16" t="b">
        <f t="shared" si="18"/>
        <v>0</v>
      </c>
    </row>
    <row r="283" spans="1:14" x14ac:dyDescent="0.25">
      <c r="A283" s="5" t="s">
        <v>587</v>
      </c>
      <c r="B283" s="16">
        <v>140</v>
      </c>
      <c r="C283" s="16" t="str">
        <v>Clark V - CL-V S24 - S24B</v>
      </c>
      <c r="D283" s="6">
        <f>_xlfn.XLOOKUP(C283,'2023'!C:C,'2023'!A:A,"")</f>
        <v>45027.731249999997</v>
      </c>
      <c r="E283" s="6">
        <f>_xlfn.XLOOKUP(C283,'2023'!C:C,'2023'!B:B,"")</f>
        <v>45028.739583333001</v>
      </c>
      <c r="F283" s="19">
        <f t="shared" si="19"/>
        <v>45027.731249999997</v>
      </c>
      <c r="G283" s="6">
        <f>_xlfn.XLOOKUP(C283,'2024'!C:C,'2024'!A:A,"")</f>
        <v>45393.785416667</v>
      </c>
      <c r="H283" s="6">
        <f>_xlfn.XLOOKUP(C284,'2024'!C:C,'2024'!B:B,"")</f>
        <v>45391.714583333</v>
      </c>
      <c r="I283" s="19">
        <f t="shared" si="16"/>
        <v>45391.714583333</v>
      </c>
      <c r="J283" s="6">
        <f>_xlfn.XLOOKUP(C283,'2025'!C:C,'2025'!A:A,"")</f>
        <v>45755.877083332998</v>
      </c>
      <c r="K283" s="6">
        <f>_xlfn.XLOOKUP(C283,'2025'!C:C,'2025'!B:B,"")</f>
        <v>45755.731249999997</v>
      </c>
      <c r="L283" s="19">
        <f t="shared" si="17"/>
        <v>45755.731249999997</v>
      </c>
      <c r="M283" s="16" cm="1">
        <f t="array" ref="M283">IFERROR(_xlfn.LET(
_xlpm.x,TRIM(C283),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3" s="16" t="b">
        <f t="shared" si="18"/>
        <v>0</v>
      </c>
    </row>
    <row r="284" spans="1:14" x14ac:dyDescent="0.25">
      <c r="A284" s="5" t="s">
        <v>587</v>
      </c>
      <c r="B284" s="16">
        <v>164</v>
      </c>
      <c r="C284" s="16" t="str">
        <v>Clark V - CL-V S25 - S25A</v>
      </c>
      <c r="D284" s="6">
        <f>_xlfn.XLOOKUP(C284,'2023'!C:C,'2023'!A:A,"")</f>
        <v>45027.735416666997</v>
      </c>
      <c r="E284" s="6">
        <f>_xlfn.XLOOKUP(C284,'2023'!C:C,'2023'!B:B,"")</f>
        <v>45027.772916667003</v>
      </c>
      <c r="F284" s="19">
        <f t="shared" si="19"/>
        <v>45027.735416666997</v>
      </c>
      <c r="G284" s="6">
        <f>_xlfn.XLOOKUP(C284,'2024'!C:C,'2024'!A:A,"")</f>
        <v>45391.735416666997</v>
      </c>
      <c r="H284" s="6">
        <f>_xlfn.XLOOKUP(C285,'2024'!C:C,'2024'!B:B,"")</f>
        <v>45391.743750000001</v>
      </c>
      <c r="I284" s="19">
        <f t="shared" si="16"/>
        <v>45391.735416666997</v>
      </c>
      <c r="J284" s="6">
        <f>_xlfn.XLOOKUP(C284,'2025'!C:C,'2025'!A:A,"")</f>
        <v>45755.724999999999</v>
      </c>
      <c r="K284" s="6">
        <f>_xlfn.XLOOKUP(C284,'2025'!C:C,'2025'!B:B,"")</f>
        <v>45755.724999999999</v>
      </c>
      <c r="L284" s="19">
        <f t="shared" si="17"/>
        <v>45755.724999999999</v>
      </c>
      <c r="M284" s="16" cm="1">
        <f t="array" ref="M284">IFERROR(_xlfn.LET(
_xlpm.x,TRIM(C284),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4" s="16" t="b">
        <f t="shared" si="18"/>
        <v>0</v>
      </c>
    </row>
    <row r="285" spans="1:14" x14ac:dyDescent="0.25">
      <c r="A285" s="5" t="s">
        <v>36</v>
      </c>
      <c r="B285" s="16">
        <v>139</v>
      </c>
      <c r="C285" s="16" t="str">
        <v>Clark V - CL-V S25 - S25B</v>
      </c>
      <c r="D285" s="6">
        <f>_xlfn.XLOOKUP(C285,'2023'!C:C,'2023'!A:A,"")</f>
        <v>45027.791666666999</v>
      </c>
      <c r="E285" s="6">
        <f>_xlfn.XLOOKUP(C285,'2023'!C:C,'2023'!B:B,"")</f>
        <v>45028.85</v>
      </c>
      <c r="F285" s="19">
        <f t="shared" si="19"/>
        <v>45027.791666666999</v>
      </c>
      <c r="G285" s="6">
        <f>_xlfn.XLOOKUP(C285,'2024'!C:C,'2024'!A:A,"")</f>
        <v>45391.879166667</v>
      </c>
      <c r="H285" s="6">
        <f>_xlfn.XLOOKUP(C286,'2024'!C:C,'2024'!B:B,"")</f>
        <v>45392.745833333</v>
      </c>
      <c r="I285" s="19">
        <f t="shared" si="16"/>
        <v>45391.879166667</v>
      </c>
      <c r="J285" s="6">
        <f>_xlfn.XLOOKUP(C285,'2025'!C:C,'2025'!A:A,"")</f>
        <v>45755.783333332998</v>
      </c>
      <c r="K285" s="6">
        <f>_xlfn.XLOOKUP(C285,'2025'!C:C,'2025'!B:B,"")</f>
        <v>45755.724999999999</v>
      </c>
      <c r="L285" s="19">
        <f t="shared" si="17"/>
        <v>45755.724999999999</v>
      </c>
      <c r="M285" s="16" cm="1">
        <f t="array" ref="M285">IFERROR(_xlfn.LET(
_xlpm.x,TRIM(C285),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5" s="16" t="b">
        <f t="shared" si="18"/>
        <v>0</v>
      </c>
    </row>
    <row r="286" spans="1:14" x14ac:dyDescent="0.25">
      <c r="A286" s="5" t="s">
        <v>36</v>
      </c>
      <c r="B286" s="16">
        <v>165</v>
      </c>
      <c r="C286" s="16" t="str">
        <v>Clark V - CL-V S26 - S26A</v>
      </c>
      <c r="D286" s="6">
        <f>_xlfn.XLOOKUP(C286,'2023'!C:C,'2023'!A:A,"")</f>
        <v>45027.722916667</v>
      </c>
      <c r="E286" s="6" t="str">
        <f>_xlfn.XLOOKUP(C286,'2023'!C:C,'2023'!B:B,"")</f>
        <v>No Selection Time Issued</v>
      </c>
      <c r="F286" s="19">
        <f t="shared" si="19"/>
        <v>45027.722916667</v>
      </c>
      <c r="G286" s="6">
        <f>_xlfn.XLOOKUP(C286,'2024'!C:C,'2024'!A:A,"")</f>
        <v>45391.829166666997</v>
      </c>
      <c r="H286" s="6">
        <f>_xlfn.XLOOKUP(C287,'2024'!C:C,'2024'!B:B,"")</f>
        <v>45392.747916667002</v>
      </c>
      <c r="I286" s="19">
        <f t="shared" si="16"/>
        <v>45391.829166666997</v>
      </c>
      <c r="J286" s="6" t="str">
        <f>_xlfn.XLOOKUP(C286,'2025'!C:C,'2025'!A:A,"")</f>
        <v/>
      </c>
      <c r="K286" s="6" t="str">
        <f>_xlfn.XLOOKUP(C286,'2025'!C:C,'2025'!B:B,"")</f>
        <v/>
      </c>
      <c r="L286" s="19" t="str">
        <f t="shared" si="17"/>
        <v/>
      </c>
      <c r="M286" s="16" cm="1">
        <f t="array" ref="M286">IFERROR(_xlfn.LET(
_xlpm.x,TRIM(C286),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6" s="16" t="b">
        <f t="shared" si="18"/>
        <v>0</v>
      </c>
    </row>
    <row r="287" spans="1:14" x14ac:dyDescent="0.25">
      <c r="A287" s="5" t="s">
        <v>36</v>
      </c>
      <c r="B287" s="16">
        <v>140</v>
      </c>
      <c r="C287" s="16" t="str">
        <v>Clark V - CL-V S26 - S26B</v>
      </c>
      <c r="D287" s="6">
        <f>_xlfn.XLOOKUP(C287,'2023'!C:C,'2023'!A:A,"")</f>
        <v>45027.747916667002</v>
      </c>
      <c r="E287" s="6" t="str">
        <f>_xlfn.XLOOKUP(C287,'2023'!C:C,'2023'!B:B,"")</f>
        <v>No Selection Time Issued</v>
      </c>
      <c r="F287" s="19">
        <f t="shared" si="19"/>
        <v>45027.747916667002</v>
      </c>
      <c r="G287" s="6">
        <f>_xlfn.XLOOKUP(C287,'2024'!C:C,'2024'!A:A,"")</f>
        <v>45391.724999999999</v>
      </c>
      <c r="H287" s="6">
        <f>_xlfn.XLOOKUP(C288,'2024'!C:C,'2024'!B:B,"")</f>
        <v>45391.743750000001</v>
      </c>
      <c r="I287" s="19">
        <f t="shared" si="16"/>
        <v>45391.724999999999</v>
      </c>
      <c r="J287" s="6" t="str">
        <f>_xlfn.XLOOKUP(C287,'2025'!C:C,'2025'!A:A,"")</f>
        <v/>
      </c>
      <c r="K287" s="6" t="str">
        <f>_xlfn.XLOOKUP(C287,'2025'!C:C,'2025'!B:B,"")</f>
        <v/>
      </c>
      <c r="L287" s="19" t="str">
        <f t="shared" si="17"/>
        <v/>
      </c>
      <c r="M287" s="16" cm="1">
        <f t="array" ref="M287">IFERROR(_xlfn.LET(
_xlpm.x,TRIM(C287),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7" s="16" t="b">
        <f t="shared" si="18"/>
        <v>0</v>
      </c>
    </row>
    <row r="288" spans="1:14" x14ac:dyDescent="0.25">
      <c r="A288" s="5" t="s">
        <v>216</v>
      </c>
      <c r="B288" s="16">
        <v>163</v>
      </c>
      <c r="C288" s="16" t="str">
        <v>Clark V - CL-V S3 - S03A</v>
      </c>
      <c r="D288" s="6">
        <f>_xlfn.XLOOKUP(C288,'2023'!C:C,'2023'!A:A,"")</f>
        <v>45027.731249999997</v>
      </c>
      <c r="E288" s="6">
        <f>_xlfn.XLOOKUP(C288,'2023'!C:C,'2023'!B:B,"")</f>
        <v>45028.708333333001</v>
      </c>
      <c r="F288" s="19">
        <f t="shared" si="19"/>
        <v>45027.731249999997</v>
      </c>
      <c r="G288" s="6">
        <f>_xlfn.XLOOKUP(C288,'2024'!C:C,'2024'!A:A,"")</f>
        <v>45391.766666666997</v>
      </c>
      <c r="H288" s="6">
        <f>_xlfn.XLOOKUP(C289,'2024'!C:C,'2024'!B:B,"")</f>
        <v>45391.71875</v>
      </c>
      <c r="I288" s="19">
        <f t="shared" si="16"/>
        <v>45391.71875</v>
      </c>
      <c r="J288" s="6">
        <f>_xlfn.XLOOKUP(C288,'2025'!C:C,'2025'!A:A,"")</f>
        <v>45755.733333333003</v>
      </c>
      <c r="K288" s="6">
        <f>_xlfn.XLOOKUP(C288,'2025'!C:C,'2025'!B:B,"")</f>
        <v>45755.733333333003</v>
      </c>
      <c r="L288" s="19">
        <f t="shared" si="17"/>
        <v>45755.733333333003</v>
      </c>
      <c r="M288" s="16" cm="1">
        <f t="array" ref="M288">IFERROR(_xlfn.LET(
_xlpm.x,TRIM(C288),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8" s="16" t="b">
        <f t="shared" si="18"/>
        <v>0</v>
      </c>
    </row>
    <row r="289" spans="1:14" x14ac:dyDescent="0.25">
      <c r="A289" s="5" t="s">
        <v>216</v>
      </c>
      <c r="B289" s="16">
        <v>142</v>
      </c>
      <c r="C289" s="16" t="str">
        <v>Clark V - CL-V S3 - S03B</v>
      </c>
      <c r="D289" s="6">
        <f>_xlfn.XLOOKUP(C289,'2023'!C:C,'2023'!A:A,"")</f>
        <v>45028.795833333003</v>
      </c>
      <c r="E289" s="6">
        <f>_xlfn.XLOOKUP(C289,'2023'!C:C,'2023'!B:B,"")</f>
        <v>45027.868750000001</v>
      </c>
      <c r="F289" s="19">
        <f t="shared" si="19"/>
        <v>45027.868750000001</v>
      </c>
      <c r="G289" s="6">
        <f>_xlfn.XLOOKUP(C289,'2024'!C:C,'2024'!A:A,"")</f>
        <v>45391.895833333001</v>
      </c>
      <c r="H289" s="6">
        <f>_xlfn.XLOOKUP(C290,'2024'!C:C,'2024'!B:B,"")</f>
        <v>45393.75</v>
      </c>
      <c r="I289" s="19">
        <f t="shared" si="16"/>
        <v>45391.895833333001</v>
      </c>
      <c r="J289" s="6">
        <f>_xlfn.XLOOKUP(C289,'2025'!C:C,'2025'!A:A,"")</f>
        <v>45755.870833333</v>
      </c>
      <c r="K289" s="6">
        <f>_xlfn.XLOOKUP(C289,'2025'!C:C,'2025'!B:B,"")</f>
        <v>45755.733333333003</v>
      </c>
      <c r="L289" s="19">
        <f t="shared" si="17"/>
        <v>45755.733333333003</v>
      </c>
      <c r="M289" s="16" cm="1">
        <f t="array" ref="M289">IFERROR(_xlfn.LET(
_xlpm.x,TRIM(C289),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89" s="16" t="b">
        <f t="shared" si="18"/>
        <v>0</v>
      </c>
    </row>
    <row r="290" spans="1:14" x14ac:dyDescent="0.25">
      <c r="A290" s="5" t="s">
        <v>216</v>
      </c>
      <c r="B290" s="16">
        <v>163</v>
      </c>
      <c r="C290" s="16" t="str">
        <v>Clark V - CL-V S4 - S04A</v>
      </c>
      <c r="D290" s="6">
        <f>_xlfn.XLOOKUP(C290,'2023'!C:C,'2023'!A:A,"")</f>
        <v>45027.762499999997</v>
      </c>
      <c r="E290" s="6" t="str">
        <f>_xlfn.XLOOKUP(C290,'2023'!C:C,'2023'!B:B,"")</f>
        <v>No Selection Time Issued</v>
      </c>
      <c r="F290" s="19">
        <f t="shared" si="19"/>
        <v>45027.762499999997</v>
      </c>
      <c r="G290" s="6">
        <f>_xlfn.XLOOKUP(C290,'2024'!C:C,'2024'!A:A,"")</f>
        <v>45391.714583333</v>
      </c>
      <c r="H290" s="6">
        <f>_xlfn.XLOOKUP(C291,'2024'!C:C,'2024'!B:B,"")</f>
        <v>45391.775000000001</v>
      </c>
      <c r="I290" s="19">
        <f t="shared" si="16"/>
        <v>45391.714583333</v>
      </c>
      <c r="J290" s="6" t="str">
        <f>_xlfn.XLOOKUP(C290,'2025'!C:C,'2025'!A:A,"")</f>
        <v/>
      </c>
      <c r="K290" s="6" t="str">
        <f>_xlfn.XLOOKUP(C290,'2025'!C:C,'2025'!B:B,"")</f>
        <v/>
      </c>
      <c r="L290" s="19" t="str">
        <f t="shared" si="17"/>
        <v/>
      </c>
      <c r="M290" s="16" cm="1">
        <f t="array" ref="M290">IFERROR(_xlfn.LET(
_xlpm.x,TRIM(C290),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0" s="16" t="b">
        <f t="shared" si="18"/>
        <v>0</v>
      </c>
    </row>
    <row r="291" spans="1:14" x14ac:dyDescent="0.25">
      <c r="A291" s="5" t="s">
        <v>382</v>
      </c>
      <c r="B291" s="16">
        <v>138</v>
      </c>
      <c r="C291" s="16" t="str">
        <v>Clark V - CL-V S4 - S04B</v>
      </c>
      <c r="D291" s="6">
        <f>_xlfn.XLOOKUP(C291,'2023'!C:C,'2023'!A:A,"")</f>
        <v>45027.78125</v>
      </c>
      <c r="E291" s="6" t="str">
        <f>_xlfn.XLOOKUP(C291,'2023'!C:C,'2023'!B:B,"")</f>
        <v>No Selection Time Issued</v>
      </c>
      <c r="F291" s="19">
        <f t="shared" si="19"/>
        <v>45027.78125</v>
      </c>
      <c r="G291" s="6">
        <f>_xlfn.XLOOKUP(C291,'2024'!C:C,'2024'!A:A,"")</f>
        <v>45391.895833333001</v>
      </c>
      <c r="H291" s="6">
        <f>_xlfn.XLOOKUP(C292,'2024'!C:C,'2024'!B:B,"")</f>
        <v>45393.712500000001</v>
      </c>
      <c r="I291" s="19">
        <f t="shared" si="16"/>
        <v>45391.895833333001</v>
      </c>
      <c r="J291" s="6" t="str">
        <f>_xlfn.XLOOKUP(C291,'2025'!C:C,'2025'!A:A,"")</f>
        <v/>
      </c>
      <c r="K291" s="6" t="str">
        <f>_xlfn.XLOOKUP(C291,'2025'!C:C,'2025'!B:B,"")</f>
        <v/>
      </c>
      <c r="L291" s="19" t="str">
        <f t="shared" si="17"/>
        <v/>
      </c>
      <c r="M291" s="16" cm="1">
        <f t="array" ref="M291">IFERROR(_xlfn.LET(
_xlpm.x,TRIM(C291),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1" s="16" t="b">
        <f t="shared" si="18"/>
        <v>0</v>
      </c>
    </row>
    <row r="292" spans="1:14" x14ac:dyDescent="0.25">
      <c r="A292" s="5" t="s">
        <v>382</v>
      </c>
      <c r="B292" s="16">
        <v>165</v>
      </c>
      <c r="C292" s="16" t="str">
        <v>Clark V - CL-V S6 - S06A</v>
      </c>
      <c r="D292" s="6">
        <f>_xlfn.XLOOKUP(C292,'2023'!C:C,'2023'!A:A,"")</f>
        <v>45027.743750000001</v>
      </c>
      <c r="E292" s="6">
        <f>_xlfn.XLOOKUP(C292,'2023'!C:C,'2023'!B:B,"")</f>
        <v>45027.745833333</v>
      </c>
      <c r="F292" s="19">
        <f t="shared" si="19"/>
        <v>45027.743750000001</v>
      </c>
      <c r="G292" s="6">
        <f>_xlfn.XLOOKUP(C292,'2024'!C:C,'2024'!A:A,"")</f>
        <v>45391.772916667003</v>
      </c>
      <c r="H292" s="6">
        <f>_xlfn.XLOOKUP(C293,'2024'!C:C,'2024'!B:B,"")</f>
        <v>45391.722916667</v>
      </c>
      <c r="I292" s="19">
        <f t="shared" si="16"/>
        <v>45391.722916667</v>
      </c>
      <c r="J292" s="6" t="str">
        <f>_xlfn.XLOOKUP(C292,'2025'!C:C,'2025'!A:A,"")</f>
        <v/>
      </c>
      <c r="K292" s="6" t="str">
        <f>_xlfn.XLOOKUP(C292,'2025'!C:C,'2025'!B:B,"")</f>
        <v/>
      </c>
      <c r="L292" s="19" t="str">
        <f t="shared" si="17"/>
        <v/>
      </c>
      <c r="M292" s="16" cm="1">
        <f t="array" ref="M292">IFERROR(_xlfn.LET(
_xlpm.x,TRIM(C292),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2" s="16" t="b">
        <f t="shared" si="18"/>
        <v>0</v>
      </c>
    </row>
    <row r="293" spans="1:14" x14ac:dyDescent="0.25">
      <c r="A293" s="5" t="s">
        <v>382</v>
      </c>
      <c r="B293" s="16">
        <v>136</v>
      </c>
      <c r="C293" s="16" t="str">
        <v>Clark V - CL-V S6 - S06B</v>
      </c>
      <c r="D293" s="6">
        <f>_xlfn.XLOOKUP(C293,'2023'!C:C,'2023'!A:A,"")</f>
        <v>45027.835416667003</v>
      </c>
      <c r="E293" s="6">
        <f>_xlfn.XLOOKUP(C293,'2023'!C:C,'2023'!B:B,"")</f>
        <v>45027.710416667003</v>
      </c>
      <c r="F293" s="19">
        <f t="shared" si="19"/>
        <v>45027.710416667003</v>
      </c>
      <c r="G293" s="6">
        <f>_xlfn.XLOOKUP(C293,'2024'!C:C,'2024'!A:A,"")</f>
        <v>45391.911805556003</v>
      </c>
      <c r="H293" s="6">
        <f>_xlfn.XLOOKUP(C294,'2024'!C:C,'2024'!B:B,"")</f>
        <v>45391.820833332997</v>
      </c>
      <c r="I293" s="19">
        <f t="shared" si="16"/>
        <v>45391.820833332997</v>
      </c>
      <c r="J293" s="6" t="str">
        <f>_xlfn.XLOOKUP(C293,'2025'!C:C,'2025'!A:A,"")</f>
        <v/>
      </c>
      <c r="K293" s="6" t="str">
        <f>_xlfn.XLOOKUP(C293,'2025'!C:C,'2025'!B:B,"")</f>
        <v/>
      </c>
      <c r="L293" s="19" t="str">
        <f t="shared" si="17"/>
        <v/>
      </c>
      <c r="M293" s="16" cm="1">
        <f t="array" ref="M293">IFERROR(_xlfn.LET(
_xlpm.x,TRIM(C293),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3" s="16" t="b">
        <f t="shared" si="18"/>
        <v>0</v>
      </c>
    </row>
    <row r="294" spans="1:14" x14ac:dyDescent="0.25">
      <c r="A294" s="5" t="s">
        <v>577</v>
      </c>
      <c r="B294" s="16">
        <v>137</v>
      </c>
      <c r="C294" s="16" t="str">
        <v>Dialynas - DLNS 100 - 101</v>
      </c>
      <c r="D294" s="6">
        <f>_xlfn.XLOOKUP(C294,'2023'!C:C,'2023'!A:A,"")</f>
        <v>45027.84375</v>
      </c>
      <c r="E294" s="6">
        <f>_xlfn.XLOOKUP(C294,'2023'!C:C,'2023'!B:B,"")</f>
        <v>45028.852083332997</v>
      </c>
      <c r="F294" s="19">
        <f t="shared" si="19"/>
        <v>45027.84375</v>
      </c>
      <c r="G294" s="6">
        <f>_xlfn.XLOOKUP(C294,'2024'!C:C,'2024'!A:A,"")</f>
        <v>45391.779166667002</v>
      </c>
      <c r="H294" s="6">
        <f>_xlfn.XLOOKUP(C295,'2024'!C:C,'2024'!B:B,"")</f>
        <v>45391.791666666999</v>
      </c>
      <c r="I294" s="19">
        <f t="shared" si="16"/>
        <v>45391.779166667002</v>
      </c>
      <c r="J294" s="6">
        <f>_xlfn.XLOOKUP(C294,'2025'!C:C,'2025'!A:A,"")</f>
        <v>45755.822916666999</v>
      </c>
      <c r="K294" s="6">
        <f>_xlfn.XLOOKUP(C294,'2025'!C:C,'2025'!B:B,"")</f>
        <v>45755.727083332997</v>
      </c>
      <c r="L294" s="19">
        <f t="shared" si="17"/>
        <v>45755.727083332997</v>
      </c>
      <c r="M294" s="16" cm="1">
        <f t="array" ref="M294">IFERROR(_xlfn.LET(
_xlpm.x,TRIM(C294),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4" s="16" t="b">
        <f t="shared" si="18"/>
        <v>1</v>
      </c>
    </row>
    <row r="295" spans="1:14" x14ac:dyDescent="0.25">
      <c r="A295" s="5" t="s">
        <v>577</v>
      </c>
      <c r="B295" s="16">
        <v>152</v>
      </c>
      <c r="C295" s="16" t="str">
        <v>Dialynas - DLNS 100 - 102</v>
      </c>
      <c r="D295" s="6">
        <f>_xlfn.XLOOKUP(C295,'2023'!C:C,'2023'!A:A,"")</f>
        <v>45027.724999999999</v>
      </c>
      <c r="E295" s="6" t="str">
        <f>_xlfn.XLOOKUP(C295,'2023'!C:C,'2023'!B:B,"")</f>
        <v>No Selection Time Issued</v>
      </c>
      <c r="F295" s="19">
        <f t="shared" si="19"/>
        <v>45027.724999999999</v>
      </c>
      <c r="G295" s="6">
        <f>_xlfn.XLOOKUP(C295,'2024'!C:C,'2024'!A:A,"")</f>
        <v>45392.827083333003</v>
      </c>
      <c r="H295" s="6">
        <f>_xlfn.XLOOKUP(C296,'2024'!C:C,'2024'!B:B,"")</f>
        <v>45393.724999999999</v>
      </c>
      <c r="I295" s="19">
        <f t="shared" si="16"/>
        <v>45392.827083333003</v>
      </c>
      <c r="J295" s="6">
        <f>_xlfn.XLOOKUP(C295,'2025'!C:C,'2025'!A:A,"")</f>
        <v>45755.727083332997</v>
      </c>
      <c r="K295" s="6">
        <f>_xlfn.XLOOKUP(C295,'2025'!C:C,'2025'!B:B,"")</f>
        <v>45755.727083332997</v>
      </c>
      <c r="L295" s="19">
        <f t="shared" si="17"/>
        <v>45755.727083332997</v>
      </c>
      <c r="M295" s="16" cm="1">
        <f t="array" ref="M295">IFERROR(_xlfn.LET(
_xlpm.x,TRIM(C295),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5" s="16" t="b">
        <f t="shared" si="18"/>
        <v>1</v>
      </c>
    </row>
    <row r="296" spans="1:14" x14ac:dyDescent="0.25">
      <c r="A296" s="5" t="s">
        <v>577</v>
      </c>
      <c r="B296" s="16">
        <v>134</v>
      </c>
      <c r="C296" s="16" t="str">
        <v>Dialynas - DLNS 100 - 103</v>
      </c>
      <c r="D296" s="6">
        <f>_xlfn.XLOOKUP(C296,'2023'!C:C,'2023'!A:A,"")</f>
        <v>45027.818749999999</v>
      </c>
      <c r="E296" s="6">
        <f>_xlfn.XLOOKUP(C296,'2023'!C:C,'2023'!B:B,"")</f>
        <v>45027.714583333</v>
      </c>
      <c r="F296" s="19">
        <f t="shared" si="19"/>
        <v>45027.714583333</v>
      </c>
      <c r="G296" s="6">
        <f>_xlfn.XLOOKUP(C296,'2024'!C:C,'2024'!A:A,"")</f>
        <v>45392.741666667003</v>
      </c>
      <c r="H296" s="6">
        <f>_xlfn.XLOOKUP(C297,'2024'!C:C,'2024'!B:B,"")</f>
        <v>45393.779166667002</v>
      </c>
      <c r="I296" s="19">
        <f t="shared" si="16"/>
        <v>45392.741666667003</v>
      </c>
      <c r="J296" s="6">
        <f>_xlfn.XLOOKUP(C296,'2025'!C:C,'2025'!A:A,"")</f>
        <v>45755.837500000001</v>
      </c>
      <c r="K296" s="6">
        <f>_xlfn.XLOOKUP(C296,'2025'!C:C,'2025'!B:B,"")</f>
        <v>45755.727083332997</v>
      </c>
      <c r="L296" s="19">
        <f t="shared" si="17"/>
        <v>45755.727083332997</v>
      </c>
      <c r="M296" s="16" cm="1">
        <f t="array" ref="M296">IFERROR(_xlfn.LET(
_xlpm.x,TRIM(C296),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6" s="16" t="b">
        <f t="shared" si="18"/>
        <v>1</v>
      </c>
    </row>
    <row r="297" spans="1:14" x14ac:dyDescent="0.25">
      <c r="A297" s="5" t="s">
        <v>215</v>
      </c>
      <c r="B297" s="16">
        <v>151</v>
      </c>
      <c r="C297" s="16" t="str">
        <v>Dialynas - DLNS 100 - 104</v>
      </c>
      <c r="D297" s="6">
        <f>_xlfn.XLOOKUP(C297,'2023'!C:C,'2023'!A:A,"")</f>
        <v>45027.787499999999</v>
      </c>
      <c r="E297" s="6">
        <f>_xlfn.XLOOKUP(C297,'2023'!C:C,'2023'!B:B,"")</f>
        <v>45028.762499999997</v>
      </c>
      <c r="F297" s="19">
        <f t="shared" si="19"/>
        <v>45027.787499999999</v>
      </c>
      <c r="G297" s="6">
        <f>_xlfn.XLOOKUP(C297,'2024'!C:C,'2024'!A:A,"")</f>
        <v>45391.731249999997</v>
      </c>
      <c r="H297" s="6">
        <f>_xlfn.XLOOKUP(C298,'2024'!C:C,'2024'!B:B,"")</f>
        <v>45391.739583333001</v>
      </c>
      <c r="I297" s="19">
        <f t="shared" si="16"/>
        <v>45391.731249999997</v>
      </c>
      <c r="J297" s="6">
        <f>_xlfn.XLOOKUP(C297,'2025'!C:C,'2025'!A:A,"")</f>
        <v>45755.864583333001</v>
      </c>
      <c r="K297" s="6">
        <f>_xlfn.XLOOKUP(C297,'2025'!C:C,'2025'!B:B,"")</f>
        <v>45755.727083332997</v>
      </c>
      <c r="L297" s="19">
        <f t="shared" si="17"/>
        <v>45755.727083332997</v>
      </c>
      <c r="M297" s="16" cm="1">
        <f t="array" ref="M297">IFERROR(_xlfn.LET(
_xlpm.x,TRIM(C297),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7" s="16" t="b">
        <f t="shared" si="18"/>
        <v>1</v>
      </c>
    </row>
    <row r="298" spans="1:14" x14ac:dyDescent="0.25">
      <c r="A298" s="5" t="s">
        <v>215</v>
      </c>
      <c r="B298" s="16">
        <v>134</v>
      </c>
      <c r="C298" s="16" t="str">
        <v>Dialynas - DLNS 110 - 111</v>
      </c>
      <c r="D298" s="6">
        <f>_xlfn.XLOOKUP(C298,'2023'!C:C,'2023'!A:A,"")</f>
        <v>45027.764583333003</v>
      </c>
      <c r="E298" s="6">
        <f>_xlfn.XLOOKUP(C298,'2023'!C:C,'2023'!B:B,"")</f>
        <v>45029.710416667003</v>
      </c>
      <c r="F298" s="19">
        <f t="shared" si="19"/>
        <v>45027.764583333003</v>
      </c>
      <c r="G298" s="6">
        <f>_xlfn.XLOOKUP(C298,'2024'!C:C,'2024'!A:A,"")</f>
        <v>45391.881249999999</v>
      </c>
      <c r="H298" s="6">
        <f>_xlfn.XLOOKUP(C299,'2024'!C:C,'2024'!B:B,"")</f>
        <v>45392.831250000003</v>
      </c>
      <c r="I298" s="19">
        <f t="shared" si="16"/>
        <v>45391.881249999999</v>
      </c>
      <c r="J298" s="6">
        <f>_xlfn.XLOOKUP(C298,'2025'!C:C,'2025'!A:A,"")</f>
        <v>45756.837500000001</v>
      </c>
      <c r="K298" s="6">
        <f>_xlfn.XLOOKUP(C298,'2025'!C:C,'2025'!B:B,"")</f>
        <v>45755.720833332998</v>
      </c>
      <c r="L298" s="19">
        <f t="shared" si="17"/>
        <v>45755.720833332998</v>
      </c>
      <c r="M298" s="16" cm="1">
        <f t="array" ref="M298">IFERROR(_xlfn.LET(
_xlpm.x,TRIM(C298),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8" s="16" t="b">
        <f t="shared" si="18"/>
        <v>1</v>
      </c>
    </row>
    <row r="299" spans="1:14" x14ac:dyDescent="0.25">
      <c r="A299" s="5" t="s">
        <v>215</v>
      </c>
      <c r="B299" s="16">
        <v>134</v>
      </c>
      <c r="C299" s="16" t="str">
        <v>Dialynas - DLNS 110 - 112</v>
      </c>
      <c r="D299" s="6">
        <f>_xlfn.XLOOKUP(C299,'2023'!C:C,'2023'!A:A,"")</f>
        <v>45027.870833333</v>
      </c>
      <c r="E299" s="6" t="str">
        <f>_xlfn.XLOOKUP(C299,'2023'!C:C,'2023'!B:B,"")</f>
        <v>No Selection Time Issued</v>
      </c>
      <c r="F299" s="19">
        <f t="shared" si="19"/>
        <v>45027.870833333</v>
      </c>
      <c r="G299" s="6">
        <f>_xlfn.XLOOKUP(C299,'2024'!C:C,'2024'!A:A,"")</f>
        <v>45391.739583333001</v>
      </c>
      <c r="H299" s="6">
        <f>_xlfn.XLOOKUP(C300,'2024'!C:C,'2024'!B:B,"")</f>
        <v>45392.741666667003</v>
      </c>
      <c r="I299" s="19">
        <f t="shared" si="16"/>
        <v>45391.739583333001</v>
      </c>
      <c r="J299" s="6">
        <f>_xlfn.XLOOKUP(C299,'2025'!C:C,'2025'!A:A,"")</f>
        <v>45756.724999999999</v>
      </c>
      <c r="K299" s="6">
        <f>_xlfn.XLOOKUP(C299,'2025'!C:C,'2025'!B:B,"")</f>
        <v>45755.720833332998</v>
      </c>
      <c r="L299" s="19">
        <f t="shared" si="17"/>
        <v>45755.720833332998</v>
      </c>
      <c r="M299" s="16" cm="1">
        <f t="array" ref="M299">IFERROR(_xlfn.LET(
_xlpm.x,TRIM(C299),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299" s="16" t="b">
        <f t="shared" si="18"/>
        <v>1</v>
      </c>
    </row>
    <row r="300" spans="1:14" x14ac:dyDescent="0.25">
      <c r="A300" s="5" t="s">
        <v>502</v>
      </c>
      <c r="B300" s="16">
        <v>152</v>
      </c>
      <c r="C300" s="16" t="str">
        <v>Dialynas - DLNS 110 - 113</v>
      </c>
      <c r="D300" s="6">
        <f>_xlfn.XLOOKUP(C300,'2023'!C:C,'2023'!A:A,"")</f>
        <v>45027.71875</v>
      </c>
      <c r="E300" s="6">
        <f>_xlfn.XLOOKUP(C300,'2023'!C:C,'2023'!B:B,"")</f>
        <v>45027.71875</v>
      </c>
      <c r="F300" s="19">
        <f t="shared" si="19"/>
        <v>45027.71875</v>
      </c>
      <c r="G300" s="6">
        <f>_xlfn.XLOOKUP(C300,'2024'!C:C,'2024'!A:A,"")</f>
        <v>45391.731249999997</v>
      </c>
      <c r="H300" s="6">
        <f>_xlfn.XLOOKUP(C301,'2024'!C:C,'2024'!B:B,"")</f>
        <v>45391.772916667003</v>
      </c>
      <c r="I300" s="19">
        <f t="shared" si="16"/>
        <v>45391.731249999997</v>
      </c>
      <c r="J300" s="6">
        <f>_xlfn.XLOOKUP(C300,'2025'!C:C,'2025'!A:A,"")</f>
        <v>45755.743750000001</v>
      </c>
      <c r="K300" s="6">
        <f>_xlfn.XLOOKUP(C300,'2025'!C:C,'2025'!B:B,"")</f>
        <v>45755.720833332998</v>
      </c>
      <c r="L300" s="19">
        <f t="shared" si="17"/>
        <v>45755.720833332998</v>
      </c>
      <c r="M300" s="16" cm="1">
        <f t="array" ref="M300">IFERROR(_xlfn.LET(
_xlpm.x,TRIM(C300),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0" s="16" t="b">
        <f t="shared" si="18"/>
        <v>1</v>
      </c>
    </row>
    <row r="301" spans="1:14" x14ac:dyDescent="0.25">
      <c r="A301" s="5" t="s">
        <v>502</v>
      </c>
      <c r="B301" s="16">
        <v>147</v>
      </c>
      <c r="C301" s="16" t="str">
        <v>Dialynas - DLNS 110 - 116</v>
      </c>
      <c r="D301" s="6">
        <f>_xlfn.XLOOKUP(C301,'2023'!C:C,'2023'!A:A,"")</f>
        <v>45027.791666666999</v>
      </c>
      <c r="E301" s="6">
        <f>_xlfn.XLOOKUP(C301,'2023'!C:C,'2023'!B:B,"")</f>
        <v>45027.735416666997</v>
      </c>
      <c r="F301" s="19">
        <f t="shared" si="19"/>
        <v>45027.735416666997</v>
      </c>
      <c r="G301" s="6">
        <f>_xlfn.XLOOKUP(C301,'2024'!C:C,'2024'!A:A,"")</f>
        <v>45391.789583332997</v>
      </c>
      <c r="H301" s="6">
        <f>_xlfn.XLOOKUP(C302,'2024'!C:C,'2024'!B:B,"")</f>
        <v>45393.727083332997</v>
      </c>
      <c r="I301" s="19">
        <f t="shared" si="16"/>
        <v>45391.789583332997</v>
      </c>
      <c r="J301" s="6">
        <f>_xlfn.XLOOKUP(C301,'2025'!C:C,'2025'!A:A,"")</f>
        <v>45755.720833332998</v>
      </c>
      <c r="K301" s="6">
        <f>_xlfn.XLOOKUP(C301,'2025'!C:C,'2025'!B:B,"")</f>
        <v>45755.720833332998</v>
      </c>
      <c r="L301" s="19">
        <f t="shared" si="17"/>
        <v>45755.720833332998</v>
      </c>
      <c r="M301" s="16" cm="1">
        <f t="array" ref="M301">IFERROR(_xlfn.LET(
_xlpm.x,TRIM(C301),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1" s="16" t="b">
        <f t="shared" si="18"/>
        <v>1</v>
      </c>
    </row>
    <row r="302" spans="1:14" x14ac:dyDescent="0.25">
      <c r="A302" s="5" t="s">
        <v>502</v>
      </c>
      <c r="B302" s="16">
        <v>151</v>
      </c>
      <c r="C302" s="16" t="str">
        <v>Dialynas - DLNS 120 - 121</v>
      </c>
      <c r="D302" s="6" t="str">
        <f>_xlfn.XLOOKUP(C302,'2023'!C:C,'2023'!A:A,"")</f>
        <v/>
      </c>
      <c r="E302" s="6" t="str">
        <f>_xlfn.XLOOKUP(C302,'2023'!C:C,'2023'!B:B,"")</f>
        <v/>
      </c>
      <c r="F302" s="19" t="str">
        <f t="shared" si="19"/>
        <v/>
      </c>
      <c r="G302" s="6">
        <f>_xlfn.XLOOKUP(C302,'2024'!C:C,'2024'!A:A,"")</f>
        <v>45391.722916667</v>
      </c>
      <c r="H302" s="6">
        <f>_xlfn.XLOOKUP(C303,'2024'!C:C,'2024'!B:B,"")</f>
        <v>45391.722916667</v>
      </c>
      <c r="I302" s="19">
        <f t="shared" si="16"/>
        <v>45391.722916667</v>
      </c>
      <c r="J302" s="6">
        <f>_xlfn.XLOOKUP(C302,'2025'!C:C,'2025'!A:A,"")</f>
        <v>45755.724999999999</v>
      </c>
      <c r="K302" s="6">
        <f>_xlfn.XLOOKUP(C302,'2025'!C:C,'2025'!B:B,"")</f>
        <v>45755.724999999999</v>
      </c>
      <c r="L302" s="19">
        <f t="shared" si="17"/>
        <v>45755.724999999999</v>
      </c>
      <c r="M302" s="16" cm="1">
        <f t="array" ref="M302">IFERROR(_xlfn.LET(
_xlpm.x,TRIM(C302),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2" s="16" t="b">
        <f t="shared" si="18"/>
        <v>1</v>
      </c>
    </row>
    <row r="303" spans="1:14" x14ac:dyDescent="0.25">
      <c r="A303" s="5" t="s">
        <v>230</v>
      </c>
      <c r="B303" s="16">
        <v>134</v>
      </c>
      <c r="C303" s="16" t="str">
        <v>Dialynas - DLNS 120 - 122</v>
      </c>
      <c r="D303" s="6" t="str">
        <f>_xlfn.XLOOKUP(C303,'2023'!C:C,'2023'!A:A,"")</f>
        <v/>
      </c>
      <c r="E303" s="6" t="str">
        <f>_xlfn.XLOOKUP(C303,'2023'!C:C,'2023'!B:B,"")</f>
        <v/>
      </c>
      <c r="F303" s="19" t="str">
        <f t="shared" si="19"/>
        <v/>
      </c>
      <c r="G303" s="6">
        <f>_xlfn.XLOOKUP(C303,'2024'!C:C,'2024'!A:A,"")</f>
        <v>45391.764583333003</v>
      </c>
      <c r="H303" s="6">
        <f>_xlfn.XLOOKUP(C304,'2024'!C:C,'2024'!B:B,"")</f>
        <v>45391.768750000003</v>
      </c>
      <c r="I303" s="19">
        <f t="shared" si="16"/>
        <v>45391.764583333003</v>
      </c>
      <c r="J303" s="6">
        <f>_xlfn.XLOOKUP(C303,'2025'!C:C,'2025'!A:A,"")</f>
        <v>45756.785416667</v>
      </c>
      <c r="K303" s="6">
        <f>_xlfn.XLOOKUP(C303,'2025'!C:C,'2025'!B:B,"")</f>
        <v>45755.724999999999</v>
      </c>
      <c r="L303" s="19">
        <f t="shared" si="17"/>
        <v>45755.724999999999</v>
      </c>
      <c r="M303" s="16" cm="1">
        <f t="array" ref="M303">IFERROR(_xlfn.LET(
_xlpm.x,TRIM(C303),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3" s="16" t="b">
        <f t="shared" si="18"/>
        <v>1</v>
      </c>
    </row>
    <row r="304" spans="1:14" x14ac:dyDescent="0.25">
      <c r="A304" s="5" t="s">
        <v>230</v>
      </c>
      <c r="B304" s="16">
        <v>135</v>
      </c>
      <c r="C304" s="16" t="str">
        <v>Dialynas - DLNS 120 - 123</v>
      </c>
      <c r="D304" s="6" t="str">
        <f>_xlfn.XLOOKUP(C304,'2023'!C:C,'2023'!A:A,"")</f>
        <v/>
      </c>
      <c r="E304" s="6" t="str">
        <f>_xlfn.XLOOKUP(C304,'2023'!C:C,'2023'!B:B,"")</f>
        <v/>
      </c>
      <c r="F304" s="19" t="str">
        <f t="shared" si="19"/>
        <v/>
      </c>
      <c r="G304" s="6">
        <f>_xlfn.XLOOKUP(C304,'2024'!C:C,'2024'!A:A,"")</f>
        <v>45391.904166667002</v>
      </c>
      <c r="H304" s="6">
        <f>_xlfn.XLOOKUP(C305,'2024'!C:C,'2024'!B:B,"")</f>
        <v>45391.735416666997</v>
      </c>
      <c r="I304" s="19">
        <f t="shared" si="16"/>
        <v>45391.735416666997</v>
      </c>
      <c r="J304" s="6">
        <f>_xlfn.XLOOKUP(C304,'2025'!C:C,'2025'!A:A,"")</f>
        <v>45755.84375</v>
      </c>
      <c r="K304" s="6">
        <f>_xlfn.XLOOKUP(C304,'2025'!C:C,'2025'!B:B,"")</f>
        <v>45755.724999999999</v>
      </c>
      <c r="L304" s="19">
        <f t="shared" si="17"/>
        <v>45755.724999999999</v>
      </c>
      <c r="M304" s="16" cm="1">
        <f t="array" ref="M304">IFERROR(_xlfn.LET(
_xlpm.x,TRIM(C304),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4" s="16" t="b">
        <f t="shared" si="18"/>
        <v>1</v>
      </c>
    </row>
    <row r="305" spans="1:14" x14ac:dyDescent="0.25">
      <c r="A305" s="5" t="s">
        <v>230</v>
      </c>
      <c r="B305" s="16">
        <v>151</v>
      </c>
      <c r="C305" s="16" t="str">
        <v>Dialynas - DLNS 120 - 124</v>
      </c>
      <c r="D305" s="6" t="str">
        <f>_xlfn.XLOOKUP(C305,'2023'!C:C,'2023'!A:A,"")</f>
        <v/>
      </c>
      <c r="E305" s="6" t="str">
        <f>_xlfn.XLOOKUP(C305,'2023'!C:C,'2023'!B:B,"")</f>
        <v/>
      </c>
      <c r="F305" s="19" t="str">
        <f t="shared" si="19"/>
        <v/>
      </c>
      <c r="G305" s="6">
        <f>_xlfn.XLOOKUP(C305,'2024'!C:C,'2024'!A:A,"")</f>
        <v>45391.824999999997</v>
      </c>
      <c r="H305" s="6">
        <f>_xlfn.XLOOKUP(C306,'2024'!C:C,'2024'!B:B,"")</f>
        <v>45391.745833333</v>
      </c>
      <c r="I305" s="19">
        <f t="shared" si="16"/>
        <v>45391.745833333</v>
      </c>
      <c r="J305" s="6">
        <f>_xlfn.XLOOKUP(C305,'2025'!C:C,'2025'!A:A,"")</f>
        <v>45755.802083333001</v>
      </c>
      <c r="K305" s="6">
        <f>_xlfn.XLOOKUP(C305,'2025'!C:C,'2025'!B:B,"")</f>
        <v>45755.724999999999</v>
      </c>
      <c r="L305" s="19">
        <f t="shared" si="17"/>
        <v>45755.724999999999</v>
      </c>
      <c r="M305" s="16" cm="1">
        <f t="array" ref="M305">IFERROR(_xlfn.LET(
_xlpm.x,TRIM(C305),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5" s="16" t="b">
        <f t="shared" si="18"/>
        <v>1</v>
      </c>
    </row>
    <row r="306" spans="1:14" x14ac:dyDescent="0.25">
      <c r="A306" s="5" t="s">
        <v>53</v>
      </c>
      <c r="B306" s="16">
        <v>138</v>
      </c>
      <c r="C306" s="16" t="str">
        <v>Dialynas - DLNS 130 - 131</v>
      </c>
      <c r="D306" s="6">
        <f>_xlfn.XLOOKUP(C306,'2023'!C:C,'2023'!A:A,"")</f>
        <v>45027.720833332998</v>
      </c>
      <c r="E306" s="6">
        <f>_xlfn.XLOOKUP(C306,'2023'!C:C,'2023'!B:B,"")</f>
        <v>45027.710416667003</v>
      </c>
      <c r="F306" s="19">
        <f t="shared" si="19"/>
        <v>45027.710416667003</v>
      </c>
      <c r="G306" s="6">
        <f>_xlfn.XLOOKUP(C306,'2024'!C:C,'2024'!A:A,"")</f>
        <v>45391.877083332998</v>
      </c>
      <c r="H306" s="6">
        <f>_xlfn.XLOOKUP(C307,'2024'!C:C,'2024'!B:B,"")</f>
        <v>45391.714583333</v>
      </c>
      <c r="I306" s="19">
        <f t="shared" si="16"/>
        <v>45391.714583333</v>
      </c>
      <c r="J306" s="6">
        <f>_xlfn.XLOOKUP(C306,'2025'!C:C,'2025'!A:A,"")</f>
        <v>45755.779166667002</v>
      </c>
      <c r="K306" s="6">
        <f>_xlfn.XLOOKUP(C306,'2025'!C:C,'2025'!B:B,"")</f>
        <v>45755.724999999999</v>
      </c>
      <c r="L306" s="19">
        <f t="shared" si="17"/>
        <v>45755.724999999999</v>
      </c>
      <c r="M306" s="16" cm="1">
        <f t="array" ref="M306">IFERROR(_xlfn.LET(
_xlpm.x,TRIM(C306),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6" s="16" t="b">
        <f t="shared" si="18"/>
        <v>1</v>
      </c>
    </row>
    <row r="307" spans="1:14" x14ac:dyDescent="0.25">
      <c r="A307" s="5" t="s">
        <v>53</v>
      </c>
      <c r="B307" s="16">
        <v>151</v>
      </c>
      <c r="C307" s="16" t="str">
        <v>Dialynas - DLNS 130 - 132</v>
      </c>
      <c r="D307" s="6">
        <f>_xlfn.XLOOKUP(C307,'2023'!C:C,'2023'!A:A,"")</f>
        <v>45027.787499999999</v>
      </c>
      <c r="E307" s="6">
        <f>_xlfn.XLOOKUP(C307,'2023'!C:C,'2023'!B:B,"")</f>
        <v>45028.710416667003</v>
      </c>
      <c r="F307" s="19">
        <f t="shared" si="19"/>
        <v>45027.787499999999</v>
      </c>
      <c r="G307" s="6">
        <f>_xlfn.XLOOKUP(C307,'2024'!C:C,'2024'!A:A,"")</f>
        <v>45391.879166667</v>
      </c>
      <c r="H307" s="6">
        <f>_xlfn.XLOOKUP(C308,'2024'!C:C,'2024'!B:B,"")</f>
        <v>45393.814583332998</v>
      </c>
      <c r="I307" s="19">
        <f t="shared" si="16"/>
        <v>45391.879166667</v>
      </c>
      <c r="J307" s="6">
        <f>_xlfn.XLOOKUP(C307,'2025'!C:C,'2025'!A:A,"")</f>
        <v>45755.724999999999</v>
      </c>
      <c r="K307" s="6">
        <f>_xlfn.XLOOKUP(C307,'2025'!C:C,'2025'!B:B,"")</f>
        <v>45755.724999999999</v>
      </c>
      <c r="L307" s="19">
        <f t="shared" si="17"/>
        <v>45755.724999999999</v>
      </c>
      <c r="M307" s="16" cm="1">
        <f t="array" ref="M307">IFERROR(_xlfn.LET(
_xlpm.x,TRIM(C307),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7" s="16" t="b">
        <f t="shared" si="18"/>
        <v>1</v>
      </c>
    </row>
    <row r="308" spans="1:14" x14ac:dyDescent="0.25">
      <c r="A308" s="5" t="s">
        <v>53</v>
      </c>
      <c r="B308" s="16">
        <v>135</v>
      </c>
      <c r="C308" s="16" t="str">
        <v>Dialynas - DLNS 130 - 133</v>
      </c>
      <c r="D308" s="6">
        <f>_xlfn.XLOOKUP(C308,'2023'!C:C,'2023'!A:A,"")</f>
        <v>45027.889583333003</v>
      </c>
      <c r="E308" s="6">
        <f>_xlfn.XLOOKUP(C308,'2023'!C:C,'2023'!B:B,"")</f>
        <v>45027.71875</v>
      </c>
      <c r="F308" s="19">
        <f t="shared" si="19"/>
        <v>45027.71875</v>
      </c>
      <c r="G308" s="6">
        <f>_xlfn.XLOOKUP(C308,'2024'!C:C,'2024'!A:A,"")</f>
        <v>45391.727083332997</v>
      </c>
      <c r="H308" s="6">
        <f>_xlfn.XLOOKUP(C309,'2024'!C:C,'2024'!B:B,"")</f>
        <v>45392.795833333003</v>
      </c>
      <c r="I308" s="19">
        <f t="shared" si="16"/>
        <v>45391.727083332997</v>
      </c>
      <c r="J308" s="6">
        <f>_xlfn.XLOOKUP(C308,'2025'!C:C,'2025'!A:A,"")</f>
        <v>45755.789583332997</v>
      </c>
      <c r="K308" s="6">
        <f>_xlfn.XLOOKUP(C308,'2025'!C:C,'2025'!B:B,"")</f>
        <v>45755.724999999999</v>
      </c>
      <c r="L308" s="19">
        <f t="shared" si="17"/>
        <v>45755.724999999999</v>
      </c>
      <c r="M308" s="16" cm="1">
        <f t="array" ref="M308">IFERROR(_xlfn.LET(
_xlpm.x,TRIM(C308),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8" s="16" t="b">
        <f t="shared" si="18"/>
        <v>1</v>
      </c>
    </row>
    <row r="309" spans="1:14" x14ac:dyDescent="0.25">
      <c r="A309" s="5" t="s">
        <v>397</v>
      </c>
      <c r="B309" s="16">
        <v>135</v>
      </c>
      <c r="C309" s="16" t="str">
        <v>Dialynas - DLNS 130 - 134</v>
      </c>
      <c r="D309" s="6">
        <f>_xlfn.XLOOKUP(C309,'2023'!C:C,'2023'!A:A,"")</f>
        <v>45028.827083333003</v>
      </c>
      <c r="E309" s="6">
        <f>_xlfn.XLOOKUP(C309,'2023'!C:C,'2023'!B:B,"")</f>
        <v>45027.729166666999</v>
      </c>
      <c r="F309" s="19">
        <f t="shared" si="19"/>
        <v>45027.729166666999</v>
      </c>
      <c r="G309" s="6">
        <f>_xlfn.XLOOKUP(C309,'2024'!C:C,'2024'!A:A,"")</f>
        <v>45391.911805556003</v>
      </c>
      <c r="H309" s="6">
        <f>_xlfn.XLOOKUP(C310,'2024'!C:C,'2024'!B:B,"")</f>
        <v>45393.724999999999</v>
      </c>
      <c r="I309" s="19">
        <f t="shared" si="16"/>
        <v>45391.911805556003</v>
      </c>
      <c r="J309" s="6">
        <f>_xlfn.XLOOKUP(C309,'2025'!C:C,'2025'!A:A,"")</f>
        <v>45755.902083333</v>
      </c>
      <c r="K309" s="6">
        <f>_xlfn.XLOOKUP(C309,'2025'!C:C,'2025'!B:B,"")</f>
        <v>45755.724999999999</v>
      </c>
      <c r="L309" s="19">
        <f t="shared" si="17"/>
        <v>45755.724999999999</v>
      </c>
      <c r="M309" s="16" cm="1">
        <f t="array" ref="M309">IFERROR(_xlfn.LET(
_xlpm.x,TRIM(C309),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09" s="16" t="b">
        <f t="shared" si="18"/>
        <v>1</v>
      </c>
    </row>
    <row r="310" spans="1:14" x14ac:dyDescent="0.25">
      <c r="A310" s="5" t="s">
        <v>397</v>
      </c>
      <c r="B310" s="16">
        <v>133</v>
      </c>
      <c r="C310" s="16" t="str">
        <v>Dialynas - DLNS 200 - 201</v>
      </c>
      <c r="D310" s="6">
        <f>_xlfn.XLOOKUP(C310,'2023'!C:C,'2023'!A:A,"")</f>
        <v>45027.720833332998</v>
      </c>
      <c r="E310" s="6">
        <f>_xlfn.XLOOKUP(C310,'2023'!C:C,'2023'!B:B,"")</f>
        <v>45029.737500000003</v>
      </c>
      <c r="F310" s="19">
        <f t="shared" si="19"/>
        <v>45027.720833332998</v>
      </c>
      <c r="G310" s="6">
        <f>_xlfn.XLOOKUP(C310,'2024'!C:C,'2024'!A:A,"")</f>
        <v>45391.897916667003</v>
      </c>
      <c r="H310" s="6" t="str">
        <f>_xlfn.XLOOKUP(C311,'2024'!C:C,'2024'!B:B,"")</f>
        <v>No Selection Time Issued</v>
      </c>
      <c r="I310" s="19">
        <f t="shared" si="16"/>
        <v>45391.897916667003</v>
      </c>
      <c r="J310" s="6">
        <f>_xlfn.XLOOKUP(C310,'2025'!C:C,'2025'!A:A,"")</f>
        <v>45755.722916667</v>
      </c>
      <c r="K310" s="6">
        <f>_xlfn.XLOOKUP(C310,'2025'!C:C,'2025'!B:B,"")</f>
        <v>45755.722916667</v>
      </c>
      <c r="L310" s="19">
        <f t="shared" si="17"/>
        <v>45755.722916667</v>
      </c>
      <c r="M310" s="16" cm="1">
        <f t="array" ref="M310">IFERROR(_xlfn.LET(
_xlpm.x,TRIM(C310),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0" s="16" t="b">
        <f t="shared" si="18"/>
        <v>1</v>
      </c>
    </row>
    <row r="311" spans="1:14" x14ac:dyDescent="0.25">
      <c r="A311" s="5" t="s">
        <v>397</v>
      </c>
      <c r="B311" s="16">
        <v>152</v>
      </c>
      <c r="C311" s="16" t="str">
        <v>Dialynas - DLNS 200 - 202</v>
      </c>
      <c r="D311" s="6">
        <f>_xlfn.XLOOKUP(C311,'2023'!C:C,'2023'!A:A,"")</f>
        <v>45028.829166666997</v>
      </c>
      <c r="E311" s="6">
        <f>_xlfn.XLOOKUP(C311,'2023'!C:C,'2023'!B:B,"")</f>
        <v>45028.831250000003</v>
      </c>
      <c r="F311" s="19">
        <f t="shared" si="19"/>
        <v>45028.829166666997</v>
      </c>
      <c r="G311" s="6">
        <f>_xlfn.XLOOKUP(C311,'2024'!C:C,'2024'!A:A,"")</f>
        <v>45391.722916667</v>
      </c>
      <c r="H311" s="6">
        <f>_xlfn.XLOOKUP(C312,'2024'!C:C,'2024'!B:B,"")</f>
        <v>45393.791666666999</v>
      </c>
      <c r="I311" s="19">
        <f t="shared" si="16"/>
        <v>45391.722916667</v>
      </c>
      <c r="J311" s="6">
        <f>_xlfn.XLOOKUP(C311,'2025'!C:C,'2025'!A:A,"")</f>
        <v>45755.9</v>
      </c>
      <c r="K311" s="6">
        <f>_xlfn.XLOOKUP(C311,'2025'!C:C,'2025'!B:B,"")</f>
        <v>45755.722916667</v>
      </c>
      <c r="L311" s="19">
        <f t="shared" si="17"/>
        <v>45755.722916667</v>
      </c>
      <c r="M311" s="16" cm="1">
        <f t="array" ref="M311">IFERROR(_xlfn.LET(
_xlpm.x,TRIM(C311),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1" s="16" t="b">
        <f t="shared" si="18"/>
        <v>1</v>
      </c>
    </row>
    <row r="312" spans="1:14" x14ac:dyDescent="0.25">
      <c r="A312" s="5" t="s">
        <v>66</v>
      </c>
      <c r="B312" s="16">
        <v>134</v>
      </c>
      <c r="C312" s="16" t="str">
        <v>Dialynas - DLNS 200 - 203</v>
      </c>
      <c r="D312" s="6">
        <f>_xlfn.XLOOKUP(C312,'2023'!C:C,'2023'!A:A,"")</f>
        <v>45027.891666666997</v>
      </c>
      <c r="E312" s="6" t="str">
        <f>_xlfn.XLOOKUP(C312,'2023'!C:C,'2023'!B:B,"")</f>
        <v>No Selection Time Issued</v>
      </c>
      <c r="F312" s="19">
        <f t="shared" si="19"/>
        <v>45027.891666666997</v>
      </c>
      <c r="G312" s="6">
        <f>_xlfn.XLOOKUP(C312,'2024'!C:C,'2024'!A:A,"")</f>
        <v>45391.727083332997</v>
      </c>
      <c r="H312" s="6">
        <f>_xlfn.XLOOKUP(C313,'2024'!C:C,'2024'!B:B,"")</f>
        <v>45391.716666667002</v>
      </c>
      <c r="I312" s="19">
        <f t="shared" si="16"/>
        <v>45391.716666667002</v>
      </c>
      <c r="J312" s="6">
        <f>_xlfn.XLOOKUP(C312,'2025'!C:C,'2025'!A:A,"")</f>
        <v>45755.770833333001</v>
      </c>
      <c r="K312" s="6">
        <f>_xlfn.XLOOKUP(C312,'2025'!C:C,'2025'!B:B,"")</f>
        <v>45755.722916667</v>
      </c>
      <c r="L312" s="19">
        <f t="shared" si="17"/>
        <v>45755.722916667</v>
      </c>
      <c r="M312" s="16" cm="1">
        <f t="array" ref="M312">IFERROR(_xlfn.LET(
_xlpm.x,TRIM(C312),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2" s="16" t="b">
        <f t="shared" si="18"/>
        <v>1</v>
      </c>
    </row>
    <row r="313" spans="1:14" x14ac:dyDescent="0.25">
      <c r="A313" s="5" t="s">
        <v>66</v>
      </c>
      <c r="B313" s="16">
        <v>147</v>
      </c>
      <c r="C313" s="16" t="str">
        <v>Dialynas - DLNS 200 - 204</v>
      </c>
      <c r="D313" s="6">
        <f>_xlfn.XLOOKUP(C313,'2023'!C:C,'2023'!A:A,"")</f>
        <v>45027.864583333001</v>
      </c>
      <c r="E313" s="6">
        <f>_xlfn.XLOOKUP(C313,'2023'!C:C,'2023'!B:B,"")</f>
        <v>45027.714583333</v>
      </c>
      <c r="F313" s="19">
        <f t="shared" si="19"/>
        <v>45027.714583333</v>
      </c>
      <c r="G313" s="6">
        <f>_xlfn.XLOOKUP(C313,'2024'!C:C,'2024'!A:A,"")</f>
        <v>45391.818749999999</v>
      </c>
      <c r="H313" s="6">
        <f>_xlfn.XLOOKUP(C314,'2024'!C:C,'2024'!B:B,"")</f>
        <v>45391.743750000001</v>
      </c>
      <c r="I313" s="19">
        <f t="shared" si="16"/>
        <v>45391.743750000001</v>
      </c>
      <c r="J313" s="6">
        <f>_xlfn.XLOOKUP(C313,'2025'!C:C,'2025'!A:A,"")</f>
        <v>45755.833333333001</v>
      </c>
      <c r="K313" s="6">
        <f>_xlfn.XLOOKUP(C313,'2025'!C:C,'2025'!B:B,"")</f>
        <v>45755.722916667</v>
      </c>
      <c r="L313" s="19">
        <f t="shared" si="17"/>
        <v>45755.722916667</v>
      </c>
      <c r="M313" s="16" cm="1">
        <f t="array" ref="M313">IFERROR(_xlfn.LET(
_xlpm.x,TRIM(C313),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3" s="16" t="b">
        <f t="shared" si="18"/>
        <v>1</v>
      </c>
    </row>
    <row r="314" spans="1:14" x14ac:dyDescent="0.25">
      <c r="A314" s="5" t="s">
        <v>66</v>
      </c>
      <c r="B314" s="16">
        <v>151</v>
      </c>
      <c r="C314" s="16" t="str">
        <v>Dialynas - DLNS 220 - 221</v>
      </c>
      <c r="D314" s="6">
        <f>_xlfn.XLOOKUP(C314,'2023'!C:C,'2023'!A:A,"")</f>
        <v>45028.743750000001</v>
      </c>
      <c r="E314" s="6" t="str">
        <f>_xlfn.XLOOKUP(C314,'2023'!C:C,'2023'!B:B,"")</f>
        <v>No Selection Time Issued</v>
      </c>
      <c r="F314" s="19">
        <f t="shared" si="19"/>
        <v>45028.743750000001</v>
      </c>
      <c r="G314" s="6">
        <f>_xlfn.XLOOKUP(C314,'2024'!C:C,'2024'!A:A,"")</f>
        <v>45391.895833333001</v>
      </c>
      <c r="H314" s="6">
        <f>_xlfn.XLOOKUP(C315,'2024'!C:C,'2024'!B:B,"")</f>
        <v>45391.760416666999</v>
      </c>
      <c r="I314" s="19">
        <f t="shared" si="16"/>
        <v>45391.760416666999</v>
      </c>
      <c r="J314" s="6">
        <f>_xlfn.XLOOKUP(C314,'2025'!C:C,'2025'!A:A,"")</f>
        <v>45755.837500000001</v>
      </c>
      <c r="K314" s="6">
        <f>_xlfn.XLOOKUP(C314,'2025'!C:C,'2025'!B:B,"")</f>
        <v>45755.720833332998</v>
      </c>
      <c r="L314" s="19">
        <f t="shared" si="17"/>
        <v>45755.720833332998</v>
      </c>
      <c r="M314" s="16" cm="1">
        <f t="array" ref="M314">IFERROR(_xlfn.LET(
_xlpm.x,TRIM(C314),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4" s="16" t="b">
        <f t="shared" si="18"/>
        <v>1</v>
      </c>
    </row>
    <row r="315" spans="1:14" x14ac:dyDescent="0.25">
      <c r="A315" s="5" t="s">
        <v>563</v>
      </c>
      <c r="B315" s="16">
        <v>133</v>
      </c>
      <c r="C315" s="16" t="str">
        <v>Dialynas - DLNS 220 - 222</v>
      </c>
      <c r="D315" s="6">
        <f>_xlfn.XLOOKUP(C315,'2023'!C:C,'2023'!A:A,"")</f>
        <v>45027.875</v>
      </c>
      <c r="E315" s="6">
        <f>_xlfn.XLOOKUP(C315,'2023'!C:C,'2023'!B:B,"")</f>
        <v>45027.770833333001</v>
      </c>
      <c r="F315" s="19">
        <f t="shared" si="19"/>
        <v>45027.770833333001</v>
      </c>
      <c r="G315" s="6">
        <f>_xlfn.XLOOKUP(C315,'2024'!C:C,'2024'!A:A,"")</f>
        <v>45391.720833332998</v>
      </c>
      <c r="H315" s="6">
        <f>_xlfn.XLOOKUP(C316,'2024'!C:C,'2024'!B:B,"")</f>
        <v>45392.716666667002</v>
      </c>
      <c r="I315" s="19">
        <f t="shared" si="16"/>
        <v>45391.720833332998</v>
      </c>
      <c r="J315" s="6">
        <f>_xlfn.XLOOKUP(C315,'2025'!C:C,'2025'!A:A,"")</f>
        <v>45755.720833332998</v>
      </c>
      <c r="K315" s="6">
        <f>_xlfn.XLOOKUP(C315,'2025'!C:C,'2025'!B:B,"")</f>
        <v>45755.720833332998</v>
      </c>
      <c r="L315" s="19">
        <f t="shared" si="17"/>
        <v>45755.720833332998</v>
      </c>
      <c r="M315" s="16" cm="1">
        <f t="array" ref="M315">IFERROR(_xlfn.LET(
_xlpm.x,TRIM(C315),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5" s="16" t="b">
        <f t="shared" si="18"/>
        <v>1</v>
      </c>
    </row>
    <row r="316" spans="1:14" x14ac:dyDescent="0.25">
      <c r="A316" s="5" t="s">
        <v>563</v>
      </c>
      <c r="B316" s="16">
        <v>135</v>
      </c>
      <c r="C316" s="16" t="str">
        <v>Dialynas - DLNS 220 - 223</v>
      </c>
      <c r="D316" s="6">
        <f>_xlfn.XLOOKUP(C316,'2023'!C:C,'2023'!A:A,"")</f>
        <v>45027.802083333001</v>
      </c>
      <c r="E316" s="6">
        <f>_xlfn.XLOOKUP(C316,'2023'!C:C,'2023'!B:B,"")</f>
        <v>45028.795833333003</v>
      </c>
      <c r="F316" s="19">
        <f t="shared" si="19"/>
        <v>45027.802083333001</v>
      </c>
      <c r="G316" s="6">
        <f>_xlfn.XLOOKUP(C316,'2024'!C:C,'2024'!A:A,"")</f>
        <v>45391.84375</v>
      </c>
      <c r="H316" s="6">
        <f>_xlfn.XLOOKUP(C317,'2024'!C:C,'2024'!B:B,"")</f>
        <v>45391.731249999997</v>
      </c>
      <c r="I316" s="19">
        <f t="shared" si="16"/>
        <v>45391.731249999997</v>
      </c>
      <c r="J316" s="6">
        <f>_xlfn.XLOOKUP(C316,'2025'!C:C,'2025'!A:A,"")</f>
        <v>45755.85</v>
      </c>
      <c r="K316" s="6">
        <f>_xlfn.XLOOKUP(C316,'2025'!C:C,'2025'!B:B,"")</f>
        <v>45755.720833332998</v>
      </c>
      <c r="L316" s="19">
        <f t="shared" si="17"/>
        <v>45755.720833332998</v>
      </c>
      <c r="M316" s="16" cm="1">
        <f t="array" ref="M316">IFERROR(_xlfn.LET(
_xlpm.x,TRIM(C316),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6" s="16" t="b">
        <f t="shared" si="18"/>
        <v>1</v>
      </c>
    </row>
    <row r="317" spans="1:14" x14ac:dyDescent="0.25">
      <c r="A317" s="5" t="s">
        <v>563</v>
      </c>
      <c r="B317" s="16">
        <v>151</v>
      </c>
      <c r="C317" s="16" t="str">
        <v>Dialynas - DLNS 220 - 224</v>
      </c>
      <c r="D317" s="6">
        <f>_xlfn.XLOOKUP(C317,'2023'!C:C,'2023'!A:A,"")</f>
        <v>45027.720833332998</v>
      </c>
      <c r="E317" s="6">
        <f>_xlfn.XLOOKUP(C317,'2023'!C:C,'2023'!B:B,"")</f>
        <v>45027.708333333001</v>
      </c>
      <c r="F317" s="19">
        <f t="shared" si="19"/>
        <v>45027.708333333001</v>
      </c>
      <c r="G317" s="6">
        <f>_xlfn.XLOOKUP(C317,'2024'!C:C,'2024'!A:A,"")</f>
        <v>45391.720833332998</v>
      </c>
      <c r="H317" s="6">
        <f>_xlfn.XLOOKUP(C318,'2024'!C:C,'2024'!B:B,"")</f>
        <v>45392.731249999997</v>
      </c>
      <c r="I317" s="19">
        <f t="shared" si="16"/>
        <v>45391.720833332998</v>
      </c>
      <c r="J317" s="6">
        <f>_xlfn.XLOOKUP(C317,'2025'!C:C,'2025'!A:A,"")</f>
        <v>45755.85</v>
      </c>
      <c r="K317" s="6">
        <f>_xlfn.XLOOKUP(C317,'2025'!C:C,'2025'!B:B,"")</f>
        <v>45755.720833332998</v>
      </c>
      <c r="L317" s="19">
        <f t="shared" si="17"/>
        <v>45755.720833332998</v>
      </c>
      <c r="M317" s="16" cm="1">
        <f t="array" ref="M317">IFERROR(_xlfn.LET(
_xlpm.x,TRIM(C317),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7" s="16" t="b">
        <f t="shared" si="18"/>
        <v>1</v>
      </c>
    </row>
    <row r="318" spans="1:14" x14ac:dyDescent="0.25">
      <c r="A318" s="5" t="s">
        <v>641</v>
      </c>
      <c r="B318" s="16">
        <v>134</v>
      </c>
      <c r="C318" s="16" t="str">
        <v>Dialynas - DLNS 230 - 231</v>
      </c>
      <c r="D318" s="6">
        <f>_xlfn.XLOOKUP(C318,'2023'!C:C,'2023'!A:A,"")</f>
        <v>45027.71875</v>
      </c>
      <c r="E318" s="6" t="str">
        <f>_xlfn.XLOOKUP(C318,'2023'!C:C,'2023'!B:B,"")</f>
        <v>No Selection Time Issued</v>
      </c>
      <c r="F318" s="19">
        <f t="shared" si="19"/>
        <v>45027.71875</v>
      </c>
      <c r="G318" s="6">
        <f>_xlfn.XLOOKUP(C318,'2024'!C:C,'2024'!A:A,"")</f>
        <v>45391.793749999997</v>
      </c>
      <c r="H318" s="6">
        <f>_xlfn.XLOOKUP(C319,'2024'!C:C,'2024'!B:B,"")</f>
        <v>45392.770833333001</v>
      </c>
      <c r="I318" s="19">
        <f t="shared" si="16"/>
        <v>45391.793749999997</v>
      </c>
      <c r="J318" s="6">
        <f>_xlfn.XLOOKUP(C318,'2025'!C:C,'2025'!A:A,"")</f>
        <v>45755.8125</v>
      </c>
      <c r="K318" s="6">
        <f>_xlfn.XLOOKUP(C318,'2025'!C:C,'2025'!B:B,"")</f>
        <v>45755.722916667</v>
      </c>
      <c r="L318" s="19">
        <f t="shared" si="17"/>
        <v>45755.722916667</v>
      </c>
      <c r="M318" s="16" cm="1">
        <f t="array" ref="M318">IFERROR(_xlfn.LET(
_xlpm.x,TRIM(C318),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8" s="16" t="b">
        <f t="shared" si="18"/>
        <v>1</v>
      </c>
    </row>
    <row r="319" spans="1:14" x14ac:dyDescent="0.25">
      <c r="A319" s="5" t="s">
        <v>641</v>
      </c>
      <c r="B319" s="16">
        <v>136</v>
      </c>
      <c r="C319" s="16" t="str">
        <v>Dialynas - DLNS 230 - 232</v>
      </c>
      <c r="D319" s="6">
        <f>_xlfn.XLOOKUP(C319,'2023'!C:C,'2023'!A:A,"")</f>
        <v>45027.793749999997</v>
      </c>
      <c r="E319" s="6" t="str">
        <f>_xlfn.XLOOKUP(C319,'2023'!C:C,'2023'!B:B,"")</f>
        <v>No Selection Time Issued</v>
      </c>
      <c r="F319" s="19">
        <f t="shared" si="19"/>
        <v>45027.793749999997</v>
      </c>
      <c r="G319" s="6">
        <f>_xlfn.XLOOKUP(C319,'2024'!C:C,'2024'!A:A,"")</f>
        <v>45391.739583333001</v>
      </c>
      <c r="H319" s="6">
        <f>_xlfn.XLOOKUP(C320,'2024'!C:C,'2024'!B:B,"")</f>
        <v>45391.845833332998</v>
      </c>
      <c r="I319" s="19">
        <f t="shared" si="16"/>
        <v>45391.739583333001</v>
      </c>
      <c r="J319" s="6">
        <f>_xlfn.XLOOKUP(C319,'2025'!C:C,'2025'!A:A,"")</f>
        <v>45755.779166667002</v>
      </c>
      <c r="K319" s="6">
        <f>_xlfn.XLOOKUP(C319,'2025'!C:C,'2025'!B:B,"")</f>
        <v>45755.722916667</v>
      </c>
      <c r="L319" s="19">
        <f t="shared" si="17"/>
        <v>45755.722916667</v>
      </c>
      <c r="M319" s="16" cm="1">
        <f t="array" ref="M319">IFERROR(_xlfn.LET(
_xlpm.x,TRIM(C319),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19" s="16" t="b">
        <f t="shared" si="18"/>
        <v>1</v>
      </c>
    </row>
    <row r="320" spans="1:14" x14ac:dyDescent="0.25">
      <c r="A320" s="5" t="s">
        <v>641</v>
      </c>
      <c r="B320" s="16">
        <v>151</v>
      </c>
      <c r="C320" s="16" t="str">
        <v>Dialynas - DLNS 230 - 233</v>
      </c>
      <c r="D320" s="6">
        <f>_xlfn.XLOOKUP(C320,'2023'!C:C,'2023'!A:A,"")</f>
        <v>45027.741666667003</v>
      </c>
      <c r="E320" s="6">
        <f>_xlfn.XLOOKUP(C320,'2023'!C:C,'2023'!B:B,"")</f>
        <v>45029.712500000001</v>
      </c>
      <c r="F320" s="19">
        <f t="shared" si="19"/>
        <v>45027.741666667003</v>
      </c>
      <c r="G320" s="6">
        <f>_xlfn.XLOOKUP(C320,'2024'!C:C,'2024'!A:A,"")</f>
        <v>45391.887499999997</v>
      </c>
      <c r="H320" s="6">
        <f>_xlfn.XLOOKUP(C321,'2024'!C:C,'2024'!B:B,"")</f>
        <v>45391.837500000001</v>
      </c>
      <c r="I320" s="19">
        <f t="shared" si="16"/>
        <v>45391.837500000001</v>
      </c>
      <c r="J320" s="6">
        <f>_xlfn.XLOOKUP(C320,'2025'!C:C,'2025'!A:A,"")</f>
        <v>45755.722916667</v>
      </c>
      <c r="K320" s="6">
        <f>_xlfn.XLOOKUP(C320,'2025'!C:C,'2025'!B:B,"")</f>
        <v>45755.722916667</v>
      </c>
      <c r="L320" s="19">
        <f t="shared" si="17"/>
        <v>45755.722916667</v>
      </c>
      <c r="M320" s="16" cm="1">
        <f t="array" ref="M320">IFERROR(_xlfn.LET(
_xlpm.x,TRIM(C320),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0" s="16" t="b">
        <f t="shared" si="18"/>
        <v>1</v>
      </c>
    </row>
    <row r="321" spans="1:14" x14ac:dyDescent="0.25">
      <c r="A321" s="5" t="s">
        <v>498</v>
      </c>
      <c r="B321" s="16">
        <v>151</v>
      </c>
      <c r="C321" s="16" t="str">
        <v>Dialynas - DLNS 230 - 234</v>
      </c>
      <c r="D321" s="6">
        <f>_xlfn.XLOOKUP(C321,'2023'!C:C,'2023'!A:A,"")</f>
        <v>45027.852083332997</v>
      </c>
      <c r="E321" s="6">
        <f>_xlfn.XLOOKUP(C321,'2023'!C:C,'2023'!B:B,"")</f>
        <v>45027.708333333001</v>
      </c>
      <c r="F321" s="19">
        <f t="shared" si="19"/>
        <v>45027.708333333001</v>
      </c>
      <c r="G321" s="6">
        <f>_xlfn.XLOOKUP(C321,'2024'!C:C,'2024'!A:A,"")</f>
        <v>45391.722916667</v>
      </c>
      <c r="H321" s="6">
        <f>_xlfn.XLOOKUP(C322,'2024'!C:C,'2024'!B:B,"")</f>
        <v>45391.710416667003</v>
      </c>
      <c r="I321" s="19">
        <f t="shared" si="16"/>
        <v>45391.710416667003</v>
      </c>
      <c r="J321" s="6">
        <f>_xlfn.XLOOKUP(C321,'2025'!C:C,'2025'!A:A,"")</f>
        <v>45755.881249999999</v>
      </c>
      <c r="K321" s="6">
        <f>_xlfn.XLOOKUP(C321,'2025'!C:C,'2025'!B:B,"")</f>
        <v>45755.722916667</v>
      </c>
      <c r="L321" s="19">
        <f t="shared" si="17"/>
        <v>45755.722916667</v>
      </c>
      <c r="M321" s="16" cm="1">
        <f t="array" ref="M321">IFERROR(_xlfn.LET(
_xlpm.x,TRIM(C321),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1" s="16" t="b">
        <f t="shared" si="18"/>
        <v>1</v>
      </c>
    </row>
    <row r="322" spans="1:14" x14ac:dyDescent="0.25">
      <c r="A322" s="5" t="s">
        <v>498</v>
      </c>
      <c r="B322" s="16">
        <v>137</v>
      </c>
      <c r="C322" s="16" t="str">
        <v>Dialynas - DLNS 240 - 241</v>
      </c>
      <c r="D322" s="6">
        <f>_xlfn.XLOOKUP(C322,'2023'!C:C,'2023'!A:A,"")</f>
        <v>45027.883333332997</v>
      </c>
      <c r="E322" s="6">
        <f>_xlfn.XLOOKUP(C322,'2023'!C:C,'2023'!B:B,"")</f>
        <v>45028.733333333003</v>
      </c>
      <c r="F322" s="19">
        <f t="shared" si="19"/>
        <v>45027.883333332997</v>
      </c>
      <c r="G322" s="6">
        <f>_xlfn.XLOOKUP(C322,'2024'!C:C,'2024'!A:A,"")</f>
        <v>45391.775000000001</v>
      </c>
      <c r="H322" s="6">
        <f>_xlfn.XLOOKUP(C323,'2024'!C:C,'2024'!B:B,"")</f>
        <v>45391.733333333003</v>
      </c>
      <c r="I322" s="19">
        <f t="shared" ref="I322:I385" si="20">_xlfn.LET(
_xlpm.ind,G322,
_xlpm.grp,H322,
IF(AND(NOT(ISNUMBER(_xlpm.ind)),NOT(ISNUMBER(_xlpm.grp))),"",
MIN(IF(ISNUMBER(_xlpm.ind),_xlpm.ind,1E+99),IF(ISNUMBER(_xlpm.grp),_xlpm.grp,1E+99))
)
)</f>
        <v>45391.733333333003</v>
      </c>
      <c r="J322" s="6">
        <f>_xlfn.XLOOKUP(C322,'2025'!C:C,'2025'!A:A,"")</f>
        <v>45755.820833332997</v>
      </c>
      <c r="K322" s="6">
        <f>_xlfn.XLOOKUP(C322,'2025'!C:C,'2025'!B:B,"")</f>
        <v>45755.716666667002</v>
      </c>
      <c r="L322" s="19">
        <f t="shared" ref="L322:L385" si="21">_xlfn.LET(_xlpm.ind,J322,_xlpm.grp,K322,IF(AND(NOT(ISNUMBER(_xlpm.ind)),NOT(ISNUMBER(_xlpm.grp))),"",MIN(IF(ISNUMBER(_xlpm.ind),_xlpm.ind,1E+99),IF(ISNUMBER(_xlpm.grp),_xlpm.grp,1E+99))))</f>
        <v>45755.716666667002</v>
      </c>
      <c r="M322" s="16" cm="1">
        <f t="array" ref="M322">IFERROR(_xlfn.LET(
_xlpm.x,TRIM(C322),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2" s="16" t="b">
        <f t="shared" ref="N322:N385" si="22">OR(_xlfn.TEXTBEFORE(C322," - ")="Blaisdell",_xlfn.TEXTBEFORE(C322," - ")="Mudd",_xlfn.TEXTBEFORE(C322," - ")="Dialynas",_xlfn.TEXTBEFORE(C322," - ")="Sontag")</f>
        <v>1</v>
      </c>
    </row>
    <row r="323" spans="1:14" x14ac:dyDescent="0.25">
      <c r="A323" s="5" t="s">
        <v>498</v>
      </c>
      <c r="B323" s="16">
        <v>150</v>
      </c>
      <c r="C323" s="16" t="str">
        <v>Dialynas - DLNS 240 - 242</v>
      </c>
      <c r="D323" s="6">
        <f>_xlfn.XLOOKUP(C323,'2023'!C:C,'2023'!A:A,"")</f>
        <v>45028.816666667</v>
      </c>
      <c r="E323" s="6">
        <f>_xlfn.XLOOKUP(C323,'2023'!C:C,'2023'!B:B,"")</f>
        <v>45027.710416667003</v>
      </c>
      <c r="F323" s="19">
        <f t="shared" ref="F323:F386" si="23">_xlfn.LET(
_xlpm.ind,D323,
_xlpm.grp,E323,
IF(AND(NOT(ISNUMBER(_xlpm.ind)),NOT(ISNUMBER(_xlpm.grp))),"",
MIN(IF(ISNUMBER(_xlpm.ind),_xlpm.ind,1E+99),IF(ISNUMBER(_xlpm.grp),_xlpm.grp,1E+99))
)
)</f>
        <v>45027.710416667003</v>
      </c>
      <c r="G323" s="6">
        <f>_xlfn.XLOOKUP(C323,'2024'!C:C,'2024'!A:A,"")</f>
        <v>45391.737500000003</v>
      </c>
      <c r="H323" s="6">
        <f>_xlfn.XLOOKUP(C324,'2024'!C:C,'2024'!B:B,"")</f>
        <v>45392.824999999997</v>
      </c>
      <c r="I323" s="19">
        <f t="shared" si="20"/>
        <v>45391.737500000003</v>
      </c>
      <c r="J323" s="6">
        <f>_xlfn.XLOOKUP(C323,'2025'!C:C,'2025'!A:A,"")</f>
        <v>45755.829166666997</v>
      </c>
      <c r="K323" s="6">
        <f>_xlfn.XLOOKUP(C323,'2025'!C:C,'2025'!B:B,"")</f>
        <v>45755.716666667002</v>
      </c>
      <c r="L323" s="19">
        <f t="shared" si="21"/>
        <v>45755.716666667002</v>
      </c>
      <c r="M323" s="16" cm="1">
        <f t="array" ref="M323">IFERROR(_xlfn.LET(
_xlpm.x,TRIM(C323),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3" s="16" t="b">
        <f t="shared" si="22"/>
        <v>1</v>
      </c>
    </row>
    <row r="324" spans="1:14" x14ac:dyDescent="0.25">
      <c r="A324" s="5" t="s">
        <v>617</v>
      </c>
      <c r="B324" s="16">
        <v>135</v>
      </c>
      <c r="C324" s="16" t="str">
        <v>Dialynas - DLNS 240 - 243</v>
      </c>
      <c r="D324" s="6">
        <f>_xlfn.XLOOKUP(C324,'2023'!C:C,'2023'!A:A,"")</f>
        <v>45027.845833332998</v>
      </c>
      <c r="E324" s="6">
        <f>_xlfn.XLOOKUP(C324,'2023'!C:C,'2023'!B:B,"")</f>
        <v>45028.795833333003</v>
      </c>
      <c r="F324" s="19">
        <f t="shared" si="23"/>
        <v>45027.845833332998</v>
      </c>
      <c r="G324" s="6">
        <f>_xlfn.XLOOKUP(C324,'2024'!C:C,'2024'!A:A,"")</f>
        <v>45391.762499999997</v>
      </c>
      <c r="H324" s="6">
        <f>_xlfn.XLOOKUP(C325,'2024'!C:C,'2024'!B:B,"")</f>
        <v>45391.716666667002</v>
      </c>
      <c r="I324" s="19">
        <f t="shared" si="20"/>
        <v>45391.716666667002</v>
      </c>
      <c r="J324" s="6">
        <f>_xlfn.XLOOKUP(C324,'2025'!C:C,'2025'!A:A,"")</f>
        <v>45755.71875</v>
      </c>
      <c r="K324" s="6">
        <f>_xlfn.XLOOKUP(C324,'2025'!C:C,'2025'!B:B,"")</f>
        <v>45755.716666667002</v>
      </c>
      <c r="L324" s="19">
        <f t="shared" si="21"/>
        <v>45755.716666667002</v>
      </c>
      <c r="M324" s="16" cm="1">
        <f t="array" ref="M324">IFERROR(_xlfn.LET(
_xlpm.x,TRIM(C324),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4" s="16" t="b">
        <f t="shared" si="22"/>
        <v>1</v>
      </c>
    </row>
    <row r="325" spans="1:14" x14ac:dyDescent="0.25">
      <c r="A325" s="5" t="s">
        <v>617</v>
      </c>
      <c r="B325" s="16">
        <v>156</v>
      </c>
      <c r="C325" s="16" t="str">
        <v>Dialynas - DLNS 240 - 244</v>
      </c>
      <c r="D325" s="6">
        <f>_xlfn.XLOOKUP(C325,'2023'!C:C,'2023'!A:A,"")</f>
        <v>45027.716666667002</v>
      </c>
      <c r="E325" s="6" t="str">
        <f>_xlfn.XLOOKUP(C325,'2023'!C:C,'2023'!B:B,"")</f>
        <v>No Selection Time Issued</v>
      </c>
      <c r="F325" s="19">
        <f t="shared" si="23"/>
        <v>45027.716666667002</v>
      </c>
      <c r="G325" s="6">
        <f>_xlfn.XLOOKUP(C325,'2024'!C:C,'2024'!A:A,"")</f>
        <v>45391.720833332998</v>
      </c>
      <c r="H325" s="6">
        <f>_xlfn.XLOOKUP(C326,'2024'!C:C,'2024'!B:B,"")</f>
        <v>45391.743750000001</v>
      </c>
      <c r="I325" s="19">
        <f t="shared" si="20"/>
        <v>45391.720833332998</v>
      </c>
      <c r="J325" s="6">
        <f>_xlfn.XLOOKUP(C325,'2025'!C:C,'2025'!A:A,"")</f>
        <v>45755.716666667002</v>
      </c>
      <c r="K325" s="6">
        <f>_xlfn.XLOOKUP(C325,'2025'!C:C,'2025'!B:B,"")</f>
        <v>45755.716666667002</v>
      </c>
      <c r="L325" s="19">
        <f t="shared" si="21"/>
        <v>45755.716666667002</v>
      </c>
      <c r="M325" s="16" cm="1">
        <f t="array" ref="M325">IFERROR(_xlfn.LET(
_xlpm.x,TRIM(C325),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5" s="16" t="b">
        <f t="shared" si="22"/>
        <v>1</v>
      </c>
    </row>
    <row r="326" spans="1:14" x14ac:dyDescent="0.25">
      <c r="A326" s="5" t="s">
        <v>617</v>
      </c>
      <c r="B326" s="16">
        <v>141</v>
      </c>
      <c r="C326" s="16" t="str">
        <v>Dialynas - DLNS 250 - 251</v>
      </c>
      <c r="D326" s="6">
        <f>_xlfn.XLOOKUP(C326,'2023'!C:C,'2023'!A:A,"")</f>
        <v>45027.90625</v>
      </c>
      <c r="E326" s="6" t="str">
        <f>_xlfn.XLOOKUP(C326,'2023'!C:C,'2023'!B:B,"")</f>
        <v>No Selection Time Issued</v>
      </c>
      <c r="F326" s="19">
        <f t="shared" si="23"/>
        <v>45027.90625</v>
      </c>
      <c r="G326" s="6">
        <f>_xlfn.XLOOKUP(C326,'2024'!C:C,'2024'!A:A,"")</f>
        <v>45391.84375</v>
      </c>
      <c r="H326" s="6">
        <f>_xlfn.XLOOKUP(C327,'2024'!C:C,'2024'!B:B,"")</f>
        <v>45391.743750000001</v>
      </c>
      <c r="I326" s="19">
        <f t="shared" si="20"/>
        <v>45391.743750000001</v>
      </c>
      <c r="J326" s="6">
        <f>_xlfn.XLOOKUP(C326,'2025'!C:C,'2025'!A:A,"")</f>
        <v>45755.712500000001</v>
      </c>
      <c r="K326" s="6">
        <f>_xlfn.XLOOKUP(C326,'2025'!C:C,'2025'!B:B,"")</f>
        <v>45755.712500000001</v>
      </c>
      <c r="L326" s="19">
        <f t="shared" si="21"/>
        <v>45755.712500000001</v>
      </c>
      <c r="M326" s="16" cm="1">
        <f t="array" ref="M326">IFERROR(_xlfn.LET(
_xlpm.x,TRIM(C326),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6" s="16" t="b">
        <f t="shared" si="22"/>
        <v>1</v>
      </c>
    </row>
    <row r="327" spans="1:14" x14ac:dyDescent="0.25">
      <c r="A327" s="5" t="s">
        <v>478</v>
      </c>
      <c r="B327" s="16">
        <v>143</v>
      </c>
      <c r="C327" s="16" t="str">
        <v>Dialynas - DLNS 250 - 252</v>
      </c>
      <c r="D327" s="6">
        <f>_xlfn.XLOOKUP(C327,'2023'!C:C,'2023'!A:A,"")</f>
        <v>45027.90625</v>
      </c>
      <c r="E327" s="6">
        <f>_xlfn.XLOOKUP(C327,'2023'!C:C,'2023'!B:B,"")</f>
        <v>45027.739583333001</v>
      </c>
      <c r="F327" s="19">
        <f t="shared" si="23"/>
        <v>45027.739583333001</v>
      </c>
      <c r="G327" s="6">
        <f>_xlfn.XLOOKUP(C327,'2024'!C:C,'2024'!A:A,"")</f>
        <v>45391.787499999999</v>
      </c>
      <c r="H327" s="6">
        <f>_xlfn.XLOOKUP(C328,'2024'!C:C,'2024'!B:B,"")</f>
        <v>45391.783333332998</v>
      </c>
      <c r="I327" s="19">
        <f t="shared" si="20"/>
        <v>45391.783333332998</v>
      </c>
      <c r="J327" s="6">
        <f>_xlfn.XLOOKUP(C327,'2025'!C:C,'2025'!A:A,"")</f>
        <v>45755.827083333003</v>
      </c>
      <c r="K327" s="6">
        <f>_xlfn.XLOOKUP(C327,'2025'!C:C,'2025'!B:B,"")</f>
        <v>45755.712500000001</v>
      </c>
      <c r="L327" s="19">
        <f t="shared" si="21"/>
        <v>45755.712500000001</v>
      </c>
      <c r="M327" s="16" cm="1">
        <f t="array" ref="M327">IFERROR(_xlfn.LET(
_xlpm.x,TRIM(C327),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7" s="16" t="b">
        <f t="shared" si="22"/>
        <v>1</v>
      </c>
    </row>
    <row r="328" spans="1:14" x14ac:dyDescent="0.25">
      <c r="A328" s="5" t="s">
        <v>478</v>
      </c>
      <c r="B328" s="16">
        <v>138</v>
      </c>
      <c r="C328" s="16" t="str">
        <v>Dialynas - DLNS 250 - 253</v>
      </c>
      <c r="D328" s="6">
        <f>_xlfn.XLOOKUP(C328,'2023'!C:C,'2023'!A:A,"")</f>
        <v>45027.712500000001</v>
      </c>
      <c r="E328" s="6">
        <f>_xlfn.XLOOKUP(C328,'2023'!C:C,'2023'!B:B,"")</f>
        <v>45027.868750000001</v>
      </c>
      <c r="F328" s="19">
        <f t="shared" si="23"/>
        <v>45027.712500000001</v>
      </c>
      <c r="G328" s="6">
        <f>_xlfn.XLOOKUP(C328,'2024'!C:C,'2024'!A:A,"")</f>
        <v>45391.712500000001</v>
      </c>
      <c r="H328" s="6">
        <f>_xlfn.XLOOKUP(C329,'2024'!C:C,'2024'!B:B,"")</f>
        <v>45393.739583333001</v>
      </c>
      <c r="I328" s="19">
        <f t="shared" si="20"/>
        <v>45391.712500000001</v>
      </c>
      <c r="J328" s="6">
        <f>_xlfn.XLOOKUP(C328,'2025'!C:C,'2025'!A:A,"")</f>
        <v>45755.770833333001</v>
      </c>
      <c r="K328" s="6">
        <f>_xlfn.XLOOKUP(C328,'2025'!C:C,'2025'!B:B,"")</f>
        <v>45755.712500000001</v>
      </c>
      <c r="L328" s="19">
        <f t="shared" si="21"/>
        <v>45755.712500000001</v>
      </c>
      <c r="M328" s="16" cm="1">
        <f t="array" ref="M328">IFERROR(_xlfn.LET(
_xlpm.x,TRIM(C328),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8" s="16" t="b">
        <f t="shared" si="22"/>
        <v>1</v>
      </c>
    </row>
    <row r="329" spans="1:14" x14ac:dyDescent="0.25">
      <c r="A329" s="5" t="s">
        <v>478</v>
      </c>
      <c r="B329" s="16">
        <v>143</v>
      </c>
      <c r="C329" s="16" t="str">
        <v>Dialynas - DLNS 250 - 254</v>
      </c>
      <c r="D329" s="6">
        <f>_xlfn.XLOOKUP(C329,'2023'!C:C,'2023'!A:A,"")</f>
        <v>45027.764583333003</v>
      </c>
      <c r="E329" s="6">
        <f>_xlfn.XLOOKUP(C329,'2023'!C:C,'2023'!B:B,"")</f>
        <v>45027.735416666997</v>
      </c>
      <c r="F329" s="19">
        <f t="shared" si="23"/>
        <v>45027.735416666997</v>
      </c>
      <c r="G329" s="6">
        <f>_xlfn.XLOOKUP(C329,'2024'!C:C,'2024'!A:A,"")</f>
        <v>45391.877083332998</v>
      </c>
      <c r="H329" s="6">
        <f>_xlfn.XLOOKUP(C330,'2024'!C:C,'2024'!B:B,"")</f>
        <v>45391.71875</v>
      </c>
      <c r="I329" s="19">
        <f t="shared" si="20"/>
        <v>45391.71875</v>
      </c>
      <c r="J329" s="6">
        <f>_xlfn.XLOOKUP(C329,'2025'!C:C,'2025'!A:A,"")</f>
        <v>45755.78125</v>
      </c>
      <c r="K329" s="6">
        <f>_xlfn.XLOOKUP(C329,'2025'!C:C,'2025'!B:B,"")</f>
        <v>45755.712500000001</v>
      </c>
      <c r="L329" s="19">
        <f t="shared" si="21"/>
        <v>45755.712500000001</v>
      </c>
      <c r="M329" s="16" cm="1">
        <f t="array" ref="M329">IFERROR(_xlfn.LET(
_xlpm.x,TRIM(C329),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29" s="16" t="b">
        <f t="shared" si="22"/>
        <v>1</v>
      </c>
    </row>
    <row r="330" spans="1:14" x14ac:dyDescent="0.25">
      <c r="A330" s="5" t="s">
        <v>124</v>
      </c>
      <c r="B330" s="16">
        <v>140</v>
      </c>
      <c r="C330" s="16" t="str">
        <v>Dialynas - DLNS 250 - 255</v>
      </c>
      <c r="D330" s="6">
        <f>_xlfn.XLOOKUP(C330,'2023'!C:C,'2023'!A:A,"")</f>
        <v>45027.90625</v>
      </c>
      <c r="E330" s="6">
        <f>_xlfn.XLOOKUP(C330,'2023'!C:C,'2023'!B:B,"")</f>
        <v>45028.722916667</v>
      </c>
      <c r="F330" s="19">
        <f t="shared" si="23"/>
        <v>45027.90625</v>
      </c>
      <c r="G330" s="6">
        <f>_xlfn.XLOOKUP(C330,'2024'!C:C,'2024'!A:A,"")</f>
        <v>45392.835416667003</v>
      </c>
      <c r="H330" s="6">
        <f>_xlfn.XLOOKUP(C331,'2024'!C:C,'2024'!B:B,"")</f>
        <v>45391.816666667</v>
      </c>
      <c r="I330" s="19">
        <f t="shared" si="20"/>
        <v>45391.816666667</v>
      </c>
      <c r="J330" s="6">
        <f>_xlfn.XLOOKUP(C330,'2025'!C:C,'2025'!A:A,"")</f>
        <v>45755.852083332997</v>
      </c>
      <c r="K330" s="6">
        <f>_xlfn.XLOOKUP(C330,'2025'!C:C,'2025'!B:B,"")</f>
        <v>45755.712500000001</v>
      </c>
      <c r="L330" s="19">
        <f t="shared" si="21"/>
        <v>45755.712500000001</v>
      </c>
      <c r="M330" s="16" cm="1">
        <f t="array" ref="M330">IFERROR(_xlfn.LET(
_xlpm.x,TRIM(C330),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0" s="16" t="b">
        <f t="shared" si="22"/>
        <v>1</v>
      </c>
    </row>
    <row r="331" spans="1:14" x14ac:dyDescent="0.25">
      <c r="A331" s="5" t="s">
        <v>124</v>
      </c>
      <c r="B331" s="16">
        <v>157</v>
      </c>
      <c r="C331" s="16" t="str">
        <v>Dialynas - DLNS 250 - 256</v>
      </c>
      <c r="D331" s="6">
        <f>_xlfn.XLOOKUP(C331,'2023'!C:C,'2023'!A:A,"")</f>
        <v>45027.847916667</v>
      </c>
      <c r="E331" s="6">
        <f>_xlfn.XLOOKUP(C331,'2023'!C:C,'2023'!B:B,"")</f>
        <v>45028.714583333</v>
      </c>
      <c r="F331" s="19">
        <f t="shared" si="23"/>
        <v>45027.847916667</v>
      </c>
      <c r="G331" s="6">
        <f>_xlfn.XLOOKUP(C331,'2024'!C:C,'2024'!A:A,"")</f>
        <v>45391.910416667</v>
      </c>
      <c r="H331" s="6">
        <f>_xlfn.XLOOKUP(C332,'2024'!C:C,'2024'!B:B,"")</f>
        <v>45392.764583333003</v>
      </c>
      <c r="I331" s="19">
        <f t="shared" si="20"/>
        <v>45391.910416667</v>
      </c>
      <c r="J331" s="6">
        <f>_xlfn.XLOOKUP(C331,'2025'!C:C,'2025'!A:A,"")</f>
        <v>45755.883333332997</v>
      </c>
      <c r="K331" s="6">
        <f>_xlfn.XLOOKUP(C331,'2025'!C:C,'2025'!B:B,"")</f>
        <v>45755.712500000001</v>
      </c>
      <c r="L331" s="19">
        <f t="shared" si="21"/>
        <v>45755.712500000001</v>
      </c>
      <c r="M331" s="16" cm="1">
        <f t="array" ref="M331">IFERROR(_xlfn.LET(
_xlpm.x,TRIM(C331),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1" s="16" t="b">
        <f t="shared" si="22"/>
        <v>1</v>
      </c>
    </row>
    <row r="332" spans="1:14" x14ac:dyDescent="0.25">
      <c r="A332" s="5" t="s">
        <v>124</v>
      </c>
      <c r="B332" s="16">
        <v>147</v>
      </c>
      <c r="C332" s="16" t="str">
        <v>Dialynas - DLNS 270 - 271</v>
      </c>
      <c r="D332" s="6">
        <f>_xlfn.XLOOKUP(C332,'2023'!C:C,'2023'!A:A,"")</f>
        <v>45027.891666666997</v>
      </c>
      <c r="E332" s="6">
        <f>_xlfn.XLOOKUP(C332,'2023'!C:C,'2023'!B:B,"")</f>
        <v>45029.785416667</v>
      </c>
      <c r="F332" s="19">
        <f t="shared" si="23"/>
        <v>45027.891666666997</v>
      </c>
      <c r="G332" s="6">
        <f>_xlfn.XLOOKUP(C332,'2024'!C:C,'2024'!A:A,"")</f>
        <v>45391.868750000001</v>
      </c>
      <c r="H332" s="6">
        <f>_xlfn.XLOOKUP(C333,'2024'!C:C,'2024'!B:B,"")</f>
        <v>45391.870833333</v>
      </c>
      <c r="I332" s="19">
        <f t="shared" si="20"/>
        <v>45391.868750000001</v>
      </c>
      <c r="J332" s="6">
        <f>_xlfn.XLOOKUP(C332,'2025'!C:C,'2025'!A:A,"")</f>
        <v>45755.766666666997</v>
      </c>
      <c r="K332" s="6">
        <f>_xlfn.XLOOKUP(C332,'2025'!C:C,'2025'!B:B,"")</f>
        <v>45755.71875</v>
      </c>
      <c r="L332" s="19">
        <f t="shared" si="21"/>
        <v>45755.71875</v>
      </c>
      <c r="M332" s="16" cm="1">
        <f t="array" ref="M332">IFERROR(_xlfn.LET(
_xlpm.x,TRIM(C332),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2" s="16" t="b">
        <f t="shared" si="22"/>
        <v>1</v>
      </c>
    </row>
    <row r="333" spans="1:14" x14ac:dyDescent="0.25">
      <c r="A333" s="5" t="s">
        <v>87</v>
      </c>
      <c r="B333" s="16">
        <v>138</v>
      </c>
      <c r="C333" s="16" t="str">
        <v>Dialynas - DLNS 270 - 272</v>
      </c>
      <c r="D333" s="6">
        <f>_xlfn.XLOOKUP(C333,'2023'!C:C,'2023'!A:A,"")</f>
        <v>45027.71875</v>
      </c>
      <c r="E333" s="6" t="str">
        <f>_xlfn.XLOOKUP(C333,'2023'!C:C,'2023'!B:B,"")</f>
        <v>No Selection Time Issued</v>
      </c>
      <c r="F333" s="19">
        <f t="shared" si="23"/>
        <v>45027.71875</v>
      </c>
      <c r="G333" s="6">
        <f>_xlfn.XLOOKUP(C333,'2024'!C:C,'2024'!A:A,"")</f>
        <v>45391.768750000003</v>
      </c>
      <c r="H333" s="6">
        <f>_xlfn.XLOOKUP(C334,'2024'!C:C,'2024'!B:B,"")</f>
        <v>45392.724999999999</v>
      </c>
      <c r="I333" s="19">
        <f t="shared" si="20"/>
        <v>45391.768750000003</v>
      </c>
      <c r="J333" s="6">
        <f>_xlfn.XLOOKUP(C333,'2025'!C:C,'2025'!A:A,"")</f>
        <v>45755.71875</v>
      </c>
      <c r="K333" s="6">
        <f>_xlfn.XLOOKUP(C333,'2025'!C:C,'2025'!B:B,"")</f>
        <v>45755.71875</v>
      </c>
      <c r="L333" s="19">
        <f t="shared" si="21"/>
        <v>45755.71875</v>
      </c>
      <c r="M333" s="16" cm="1">
        <f t="array" ref="M333">IFERROR(_xlfn.LET(
_xlpm.x,TRIM(C333),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3" s="16" t="b">
        <f t="shared" si="22"/>
        <v>1</v>
      </c>
    </row>
    <row r="334" spans="1:14" x14ac:dyDescent="0.25">
      <c r="A334" s="5" t="s">
        <v>87</v>
      </c>
      <c r="B334" s="16">
        <v>141</v>
      </c>
      <c r="C334" s="16" t="str">
        <v>Dialynas - DLNS 270 - 273</v>
      </c>
      <c r="D334" s="6">
        <f>_xlfn.XLOOKUP(C334,'2023'!C:C,'2023'!A:A,"")</f>
        <v>45027.85</v>
      </c>
      <c r="E334" s="6">
        <f>_xlfn.XLOOKUP(C334,'2023'!C:C,'2023'!B:B,"")</f>
        <v>45028.737500000003</v>
      </c>
      <c r="F334" s="19">
        <f t="shared" si="23"/>
        <v>45027.85</v>
      </c>
      <c r="G334" s="6">
        <f>_xlfn.XLOOKUP(C334,'2024'!C:C,'2024'!A:A,"")</f>
        <v>45391.714583333</v>
      </c>
      <c r="H334" s="6">
        <f>_xlfn.XLOOKUP(C335,'2024'!C:C,'2024'!B:B,"")</f>
        <v>45393.710416667003</v>
      </c>
      <c r="I334" s="19">
        <f t="shared" si="20"/>
        <v>45391.714583333</v>
      </c>
      <c r="J334" s="6">
        <f>_xlfn.XLOOKUP(C334,'2025'!C:C,'2025'!A:A,"")</f>
        <v>45755.881249999999</v>
      </c>
      <c r="K334" s="6">
        <f>_xlfn.XLOOKUP(C334,'2025'!C:C,'2025'!B:B,"")</f>
        <v>45755.71875</v>
      </c>
      <c r="L334" s="19">
        <f t="shared" si="21"/>
        <v>45755.71875</v>
      </c>
      <c r="M334" s="16" cm="1">
        <f t="array" ref="M334">IFERROR(_xlfn.LET(
_xlpm.x,TRIM(C334),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4" s="16" t="b">
        <f t="shared" si="22"/>
        <v>1</v>
      </c>
    </row>
    <row r="335" spans="1:14" x14ac:dyDescent="0.25">
      <c r="A335" s="5" t="s">
        <v>87</v>
      </c>
      <c r="B335" s="16">
        <v>157</v>
      </c>
      <c r="C335" s="16" t="str">
        <v>Dialynas - DLNS 270 - 274</v>
      </c>
      <c r="D335" s="6">
        <f>_xlfn.XLOOKUP(C335,'2023'!C:C,'2023'!A:A,"")</f>
        <v>45027.775000000001</v>
      </c>
      <c r="E335" s="6" t="str">
        <f>_xlfn.XLOOKUP(C335,'2023'!C:C,'2023'!B:B,"")</f>
        <v>No Selection Time Issued</v>
      </c>
      <c r="F335" s="19">
        <f t="shared" si="23"/>
        <v>45027.775000000001</v>
      </c>
      <c r="G335" s="6">
        <f>_xlfn.XLOOKUP(C335,'2024'!C:C,'2024'!A:A,"")</f>
        <v>45392.824999999997</v>
      </c>
      <c r="H335" s="6">
        <f>_xlfn.XLOOKUP(C336,'2024'!C:C,'2024'!B:B,"")</f>
        <v>45393.708333333001</v>
      </c>
      <c r="I335" s="19">
        <f t="shared" si="20"/>
        <v>45392.824999999997</v>
      </c>
      <c r="J335" s="6">
        <f>_xlfn.XLOOKUP(C335,'2025'!C:C,'2025'!A:A,"")</f>
        <v>45756.745833333</v>
      </c>
      <c r="K335" s="6">
        <f>_xlfn.XLOOKUP(C335,'2025'!C:C,'2025'!B:B,"")</f>
        <v>45755.71875</v>
      </c>
      <c r="L335" s="19">
        <f t="shared" si="21"/>
        <v>45755.71875</v>
      </c>
      <c r="M335" s="16" cm="1">
        <f t="array" ref="M335">IFERROR(_xlfn.LET(
_xlpm.x,TRIM(C335),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5" s="16" t="b">
        <f t="shared" si="22"/>
        <v>1</v>
      </c>
    </row>
    <row r="336" spans="1:14" x14ac:dyDescent="0.25">
      <c r="A336" s="5" t="s">
        <v>613</v>
      </c>
      <c r="B336" s="16">
        <v>141</v>
      </c>
      <c r="C336" s="16" t="str">
        <v>Dialynas - DLNS 280 - 281</v>
      </c>
      <c r="D336" s="6">
        <f>_xlfn.XLOOKUP(C336,'2023'!C:C,'2023'!A:A,"")</f>
        <v>45027.714583333</v>
      </c>
      <c r="E336" s="6" t="str">
        <f>_xlfn.XLOOKUP(C336,'2023'!C:C,'2023'!B:B,"")</f>
        <v>No Selection Time Issued</v>
      </c>
      <c r="F336" s="19">
        <f t="shared" si="23"/>
        <v>45027.714583333</v>
      </c>
      <c r="G336" s="6">
        <f>_xlfn.XLOOKUP(C336,'2024'!C:C,'2024'!A:A,"")</f>
        <v>45392.797916666997</v>
      </c>
      <c r="H336" s="6">
        <f>_xlfn.XLOOKUP(C337,'2024'!C:C,'2024'!B:B,"")</f>
        <v>45391.75</v>
      </c>
      <c r="I336" s="19">
        <f t="shared" si="20"/>
        <v>45391.75</v>
      </c>
      <c r="J336" s="6">
        <f>_xlfn.XLOOKUP(C336,'2025'!C:C,'2025'!A:A,"")</f>
        <v>45755.902083333</v>
      </c>
      <c r="K336" s="6">
        <f>_xlfn.XLOOKUP(C336,'2025'!C:C,'2025'!B:B,"")</f>
        <v>45755.710416667003</v>
      </c>
      <c r="L336" s="19">
        <f t="shared" si="21"/>
        <v>45755.710416667003</v>
      </c>
      <c r="M336" s="16" cm="1">
        <f t="array" ref="M336">IFERROR(_xlfn.LET(
_xlpm.x,TRIM(C336),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6" s="16" t="b">
        <f t="shared" si="22"/>
        <v>1</v>
      </c>
    </row>
    <row r="337" spans="1:14" x14ac:dyDescent="0.25">
      <c r="A337" s="5" t="s">
        <v>613</v>
      </c>
      <c r="B337" s="16">
        <v>142</v>
      </c>
      <c r="C337" s="16" t="str">
        <v>Dialynas - DLNS 280 - 282</v>
      </c>
      <c r="D337" s="6">
        <f>_xlfn.XLOOKUP(C337,'2023'!C:C,'2023'!A:A,"")</f>
        <v>45027.839583333</v>
      </c>
      <c r="E337" s="6">
        <f>_xlfn.XLOOKUP(C337,'2023'!C:C,'2023'!B:B,"")</f>
        <v>45027.724999999999</v>
      </c>
      <c r="F337" s="19">
        <f t="shared" si="23"/>
        <v>45027.724999999999</v>
      </c>
      <c r="G337" s="6">
        <f>_xlfn.XLOOKUP(C337,'2024'!C:C,'2024'!A:A,"")</f>
        <v>45392.762499999997</v>
      </c>
      <c r="H337" s="6">
        <f>_xlfn.XLOOKUP(C338,'2024'!C:C,'2024'!B:B,"")</f>
        <v>45391.814583332998</v>
      </c>
      <c r="I337" s="19">
        <f t="shared" si="20"/>
        <v>45391.814583332998</v>
      </c>
      <c r="J337" s="6">
        <f>_xlfn.XLOOKUP(C337,'2025'!C:C,'2025'!A:A,"")</f>
        <v>45755.902083333</v>
      </c>
      <c r="K337" s="6">
        <f>_xlfn.XLOOKUP(C337,'2025'!C:C,'2025'!B:B,"")</f>
        <v>45755.710416667003</v>
      </c>
      <c r="L337" s="19">
        <f t="shared" si="21"/>
        <v>45755.710416667003</v>
      </c>
      <c r="M337" s="16" cm="1">
        <f t="array" ref="M337">IFERROR(_xlfn.LET(
_xlpm.x,TRIM(C337),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7" s="16" t="b">
        <f t="shared" si="22"/>
        <v>1</v>
      </c>
    </row>
    <row r="338" spans="1:14" x14ac:dyDescent="0.25">
      <c r="A338" s="5" t="s">
        <v>613</v>
      </c>
      <c r="B338" s="16">
        <v>137</v>
      </c>
      <c r="C338" s="16" t="str">
        <v>Dialynas - DLNS 280 - 283</v>
      </c>
      <c r="D338" s="6">
        <f>_xlfn.XLOOKUP(C338,'2023'!C:C,'2023'!A:A,"")</f>
        <v>45027.833333333001</v>
      </c>
      <c r="E338" s="6" t="str">
        <f>_xlfn.XLOOKUP(C338,'2023'!C:C,'2023'!B:B,"")</f>
        <v>No Selection Time Issued</v>
      </c>
      <c r="F338" s="19">
        <f t="shared" si="23"/>
        <v>45027.833333333001</v>
      </c>
      <c r="G338" s="6">
        <f>_xlfn.XLOOKUP(C338,'2024'!C:C,'2024'!A:A,"")</f>
        <v>45392.775000000001</v>
      </c>
      <c r="H338" s="6">
        <f>_xlfn.XLOOKUP(C339,'2024'!C:C,'2024'!B:B,"")</f>
        <v>45391.777083333</v>
      </c>
      <c r="I338" s="19">
        <f t="shared" si="20"/>
        <v>45391.777083333</v>
      </c>
      <c r="J338" s="6">
        <f>_xlfn.XLOOKUP(C338,'2025'!C:C,'2025'!A:A,"")</f>
        <v>45755.710416667003</v>
      </c>
      <c r="K338" s="6">
        <f>_xlfn.XLOOKUP(C338,'2025'!C:C,'2025'!B:B,"")</f>
        <v>45755.710416667003</v>
      </c>
      <c r="L338" s="19">
        <f t="shared" si="21"/>
        <v>45755.710416667003</v>
      </c>
      <c r="M338" s="16" cm="1">
        <f t="array" ref="M338">IFERROR(_xlfn.LET(
_xlpm.x,TRIM(C338),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8" s="16" t="b">
        <f t="shared" si="22"/>
        <v>1</v>
      </c>
    </row>
    <row r="339" spans="1:14" x14ac:dyDescent="0.25">
      <c r="A339" s="5" t="s">
        <v>74</v>
      </c>
      <c r="B339" s="16">
        <v>142</v>
      </c>
      <c r="C339" s="16" t="str">
        <v>Dialynas - DLNS 280 - 284</v>
      </c>
      <c r="D339" s="6">
        <f>_xlfn.XLOOKUP(C339,'2023'!C:C,'2023'!A:A,"")</f>
        <v>45027.9</v>
      </c>
      <c r="E339" s="6">
        <f>_xlfn.XLOOKUP(C339,'2023'!C:C,'2023'!B:B,"")</f>
        <v>45028.768750000003</v>
      </c>
      <c r="F339" s="19">
        <f t="shared" si="23"/>
        <v>45027.9</v>
      </c>
      <c r="G339" s="6">
        <f>_xlfn.XLOOKUP(C339,'2024'!C:C,'2024'!A:A,"")</f>
        <v>45391.824999999997</v>
      </c>
      <c r="H339" s="6">
        <f>_xlfn.XLOOKUP(C340,'2024'!C:C,'2024'!B:B,"")</f>
        <v>45391.75</v>
      </c>
      <c r="I339" s="19">
        <f t="shared" si="20"/>
        <v>45391.75</v>
      </c>
      <c r="J339" s="6">
        <f>_xlfn.XLOOKUP(C339,'2025'!C:C,'2025'!A:A,"")</f>
        <v>45755.797916666997</v>
      </c>
      <c r="K339" s="6">
        <f>_xlfn.XLOOKUP(C339,'2025'!C:C,'2025'!B:B,"")</f>
        <v>45755.710416667003</v>
      </c>
      <c r="L339" s="19">
        <f t="shared" si="21"/>
        <v>45755.710416667003</v>
      </c>
      <c r="M339" s="16" cm="1">
        <f t="array" ref="M339">IFERROR(_xlfn.LET(
_xlpm.x,TRIM(C339),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39" s="16" t="b">
        <f t="shared" si="22"/>
        <v>1</v>
      </c>
    </row>
    <row r="340" spans="1:14" x14ac:dyDescent="0.25">
      <c r="A340" s="5" t="s">
        <v>74</v>
      </c>
      <c r="B340" s="16">
        <v>140</v>
      </c>
      <c r="C340" s="16" t="str">
        <v>Dialynas - DLNS 280 - 285</v>
      </c>
      <c r="D340" s="6">
        <f>_xlfn.XLOOKUP(C340,'2023'!C:C,'2023'!A:A,"")</f>
        <v>45027.729166666999</v>
      </c>
      <c r="E340" s="6">
        <f>_xlfn.XLOOKUP(C340,'2023'!C:C,'2023'!B:B,"")</f>
        <v>45028.770833333001</v>
      </c>
      <c r="F340" s="19">
        <f t="shared" si="23"/>
        <v>45027.729166666999</v>
      </c>
      <c r="G340" s="6">
        <f>_xlfn.XLOOKUP(C340,'2024'!C:C,'2024'!A:A,"")</f>
        <v>45392.795833333003</v>
      </c>
      <c r="H340" s="6">
        <f>_xlfn.XLOOKUP(C341,'2024'!C:C,'2024'!B:B,"")</f>
        <v>45392.731249999997</v>
      </c>
      <c r="I340" s="19">
        <f t="shared" si="20"/>
        <v>45392.731249999997</v>
      </c>
      <c r="J340" s="6">
        <f>_xlfn.XLOOKUP(C340,'2025'!C:C,'2025'!A:A,"")</f>
        <v>45756.741666667003</v>
      </c>
      <c r="K340" s="6">
        <f>_xlfn.XLOOKUP(C340,'2025'!C:C,'2025'!B:B,"")</f>
        <v>45755.710416667003</v>
      </c>
      <c r="L340" s="19">
        <f t="shared" si="21"/>
        <v>45755.710416667003</v>
      </c>
      <c r="M340" s="16" cm="1">
        <f t="array" ref="M340">IFERROR(_xlfn.LET(
_xlpm.x,TRIM(C340),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0" s="16" t="b">
        <f t="shared" si="22"/>
        <v>1</v>
      </c>
    </row>
    <row r="341" spans="1:14" x14ac:dyDescent="0.25">
      <c r="A341" s="5" t="s">
        <v>74</v>
      </c>
      <c r="B341" s="16">
        <v>151</v>
      </c>
      <c r="C341" s="16" t="str">
        <v>Dialynas - DLNS 280 - 286</v>
      </c>
      <c r="D341" s="6">
        <f>_xlfn.XLOOKUP(C341,'2023'!C:C,'2023'!A:A,"")</f>
        <v>45027.904166667002</v>
      </c>
      <c r="E341" s="6">
        <f>_xlfn.XLOOKUP(C341,'2023'!C:C,'2023'!B:B,"")</f>
        <v>45028.712500000001</v>
      </c>
      <c r="F341" s="19">
        <f t="shared" si="23"/>
        <v>45027.904166667002</v>
      </c>
      <c r="G341" s="6">
        <f>_xlfn.XLOOKUP(C341,'2024'!C:C,'2024'!A:A,"")</f>
        <v>45391.710416667003</v>
      </c>
      <c r="H341" s="6">
        <f>_xlfn.XLOOKUP(C342,'2024'!C:C,'2024'!B:B,"")</f>
        <v>45391.737500000003</v>
      </c>
      <c r="I341" s="19">
        <f t="shared" si="20"/>
        <v>45391.710416667003</v>
      </c>
      <c r="J341" s="6">
        <f>_xlfn.XLOOKUP(C341,'2025'!C:C,'2025'!A:A,"")</f>
        <v>45755.847916667</v>
      </c>
      <c r="K341" s="6">
        <f>_xlfn.XLOOKUP(C341,'2025'!C:C,'2025'!B:B,"")</f>
        <v>45755.710416667003</v>
      </c>
      <c r="L341" s="19">
        <f t="shared" si="21"/>
        <v>45755.710416667003</v>
      </c>
      <c r="M341" s="16" cm="1">
        <f t="array" ref="M341">IFERROR(_xlfn.LET(
_xlpm.x,TRIM(C341),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1" s="16" t="b">
        <f t="shared" si="22"/>
        <v>1</v>
      </c>
    </row>
    <row r="342" spans="1:14" x14ac:dyDescent="0.25">
      <c r="A342" s="5" t="s">
        <v>469</v>
      </c>
      <c r="B342" s="16">
        <v>130</v>
      </c>
      <c r="C342" s="16" t="str">
        <v>Dialynas - DLNS 310 - 311</v>
      </c>
      <c r="D342" s="6">
        <f>_xlfn.XLOOKUP(C342,'2023'!C:C,'2023'!A:A,"")</f>
        <v>45027.783333332998</v>
      </c>
      <c r="E342" s="6">
        <f>_xlfn.XLOOKUP(C342,'2023'!C:C,'2023'!B:B,"")</f>
        <v>45029.818749999999</v>
      </c>
      <c r="F342" s="19">
        <f t="shared" si="23"/>
        <v>45027.783333332998</v>
      </c>
      <c r="G342" s="6">
        <f>_xlfn.XLOOKUP(C342,'2024'!C:C,'2024'!A:A,"")</f>
        <v>45391.904166667002</v>
      </c>
      <c r="H342" s="6">
        <f>_xlfn.XLOOKUP(C343,'2024'!C:C,'2024'!B:B,"")</f>
        <v>45393.708333333001</v>
      </c>
      <c r="I342" s="19">
        <f t="shared" si="20"/>
        <v>45391.904166667002</v>
      </c>
      <c r="J342" s="6">
        <f>_xlfn.XLOOKUP(C342,'2025'!C:C,'2025'!A:A,"")</f>
        <v>45755.720833332998</v>
      </c>
      <c r="K342" s="6">
        <f>_xlfn.XLOOKUP(C342,'2025'!C:C,'2025'!B:B,"")</f>
        <v>45755.720833332998</v>
      </c>
      <c r="L342" s="19">
        <f t="shared" si="21"/>
        <v>45755.720833332998</v>
      </c>
      <c r="M342" s="16" cm="1">
        <f t="array" ref="M342">IFERROR(_xlfn.LET(
_xlpm.x,TRIM(C342),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2" s="16" t="b">
        <f t="shared" si="22"/>
        <v>1</v>
      </c>
    </row>
    <row r="343" spans="1:14" x14ac:dyDescent="0.25">
      <c r="A343" s="5" t="s">
        <v>469</v>
      </c>
      <c r="B343" s="16">
        <v>151</v>
      </c>
      <c r="C343" s="16" t="str">
        <v>Dialynas - DLNS 310 - 312</v>
      </c>
      <c r="D343" s="6">
        <f>_xlfn.XLOOKUP(C343,'2023'!C:C,'2023'!A:A,"")</f>
        <v>45027.822916666999</v>
      </c>
      <c r="E343" s="6">
        <f>_xlfn.XLOOKUP(C343,'2023'!C:C,'2023'!B:B,"")</f>
        <v>45027.772916667003</v>
      </c>
      <c r="F343" s="19">
        <f t="shared" si="23"/>
        <v>45027.772916667003</v>
      </c>
      <c r="G343" s="6">
        <f>_xlfn.XLOOKUP(C343,'2024'!C:C,'2024'!A:A,"")</f>
        <v>45391.820833332997</v>
      </c>
      <c r="H343" s="6">
        <f>_xlfn.XLOOKUP(C344,'2024'!C:C,'2024'!B:B,"")</f>
        <v>45393.731249999997</v>
      </c>
      <c r="I343" s="19">
        <f t="shared" si="20"/>
        <v>45391.820833332997</v>
      </c>
      <c r="J343" s="6">
        <f>_xlfn.XLOOKUP(C343,'2025'!C:C,'2025'!A:A,"")</f>
        <v>45755.916666666999</v>
      </c>
      <c r="K343" s="6">
        <f>_xlfn.XLOOKUP(C343,'2025'!C:C,'2025'!B:B,"")</f>
        <v>45755.720833332998</v>
      </c>
      <c r="L343" s="19">
        <f t="shared" si="21"/>
        <v>45755.720833332998</v>
      </c>
      <c r="M343" s="16" cm="1">
        <f t="array" ref="M343">IFERROR(_xlfn.LET(
_xlpm.x,TRIM(C343),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3" s="16" t="b">
        <f t="shared" si="22"/>
        <v>1</v>
      </c>
    </row>
    <row r="344" spans="1:14" x14ac:dyDescent="0.25">
      <c r="A344" s="5" t="s">
        <v>469</v>
      </c>
      <c r="B344" s="16">
        <v>131</v>
      </c>
      <c r="C344" s="16" t="str">
        <v>Dialynas - DLNS 310 - 313</v>
      </c>
      <c r="D344" s="6">
        <f>_xlfn.XLOOKUP(C344,'2023'!C:C,'2023'!A:A,"")</f>
        <v>45027.824999999997</v>
      </c>
      <c r="E344" s="6">
        <f>_xlfn.XLOOKUP(C344,'2023'!C:C,'2023'!B:B,"")</f>
        <v>45027.8</v>
      </c>
      <c r="F344" s="19">
        <f t="shared" si="23"/>
        <v>45027.8</v>
      </c>
      <c r="G344" s="6">
        <f>_xlfn.XLOOKUP(C344,'2024'!C:C,'2024'!A:A,"")</f>
        <v>45391.90625</v>
      </c>
      <c r="H344" s="6">
        <f>_xlfn.XLOOKUP(C345,'2024'!C:C,'2024'!B:B,"")</f>
        <v>45391.708333333001</v>
      </c>
      <c r="I344" s="19">
        <f t="shared" si="20"/>
        <v>45391.708333333001</v>
      </c>
      <c r="J344" s="6">
        <f>_xlfn.XLOOKUP(C344,'2025'!C:C,'2025'!A:A,"")</f>
        <v>45755.885416666999</v>
      </c>
      <c r="K344" s="6">
        <f>_xlfn.XLOOKUP(C344,'2025'!C:C,'2025'!B:B,"")</f>
        <v>45755.720833332998</v>
      </c>
      <c r="L344" s="19">
        <f t="shared" si="21"/>
        <v>45755.720833332998</v>
      </c>
      <c r="M344" s="16" cm="1">
        <f t="array" ref="M344">IFERROR(_xlfn.LET(
_xlpm.x,TRIM(C344),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4" s="16" t="b">
        <f t="shared" si="22"/>
        <v>1</v>
      </c>
    </row>
    <row r="345" spans="1:14" x14ac:dyDescent="0.25">
      <c r="A345" s="5" t="s">
        <v>469</v>
      </c>
      <c r="B345" s="16">
        <v>147</v>
      </c>
      <c r="C345" s="16" t="str">
        <v>Dialynas - DLNS 310 - 314</v>
      </c>
      <c r="D345" s="6">
        <f>_xlfn.XLOOKUP(C345,'2023'!C:C,'2023'!A:A,"")</f>
        <v>45027.712500000001</v>
      </c>
      <c r="E345" s="6">
        <f>_xlfn.XLOOKUP(C345,'2023'!C:C,'2023'!B:B,"")</f>
        <v>45028.733333333003</v>
      </c>
      <c r="F345" s="19">
        <f t="shared" si="23"/>
        <v>45027.712500000001</v>
      </c>
      <c r="G345" s="6">
        <f>_xlfn.XLOOKUP(C345,'2024'!C:C,'2024'!A:A,"")</f>
        <v>45391.716666667002</v>
      </c>
      <c r="H345" s="6">
        <f>_xlfn.XLOOKUP(C346,'2024'!C:C,'2024'!B:B,"")</f>
        <v>45391.733333333003</v>
      </c>
      <c r="I345" s="19">
        <f t="shared" si="20"/>
        <v>45391.716666667002</v>
      </c>
      <c r="J345" s="6">
        <f>_xlfn.XLOOKUP(C345,'2025'!C:C,'2025'!A:A,"")</f>
        <v>45756.820833332997</v>
      </c>
      <c r="K345" s="6">
        <f>_xlfn.XLOOKUP(C345,'2025'!C:C,'2025'!B:B,"")</f>
        <v>45755.720833332998</v>
      </c>
      <c r="L345" s="19">
        <f t="shared" si="21"/>
        <v>45755.720833332998</v>
      </c>
      <c r="M345" s="16" cm="1">
        <f t="array" ref="M345">IFERROR(_xlfn.LET(
_xlpm.x,TRIM(C345),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5" s="16" t="b">
        <f t="shared" si="22"/>
        <v>1</v>
      </c>
    </row>
    <row r="346" spans="1:14" x14ac:dyDescent="0.25">
      <c r="A346" s="5" t="s">
        <v>469</v>
      </c>
      <c r="B346" s="16">
        <v>131</v>
      </c>
      <c r="C346" s="16" t="str">
        <v>Dialynas - DLNS 320 - 321</v>
      </c>
      <c r="D346" s="6">
        <f>_xlfn.XLOOKUP(C346,'2023'!C:C,'2023'!A:A,"")</f>
        <v>45027.708333333001</v>
      </c>
      <c r="E346" s="6" t="str">
        <f>_xlfn.XLOOKUP(C346,'2023'!C:C,'2023'!B:B,"")</f>
        <v>No Selection Time Issued</v>
      </c>
      <c r="F346" s="19">
        <f t="shared" si="23"/>
        <v>45027.708333333001</v>
      </c>
      <c r="G346" s="6">
        <f>_xlfn.XLOOKUP(C346,'2024'!C:C,'2024'!A:A,"")</f>
        <v>45391.714583333</v>
      </c>
      <c r="H346" s="6">
        <f>_xlfn.XLOOKUP(C347,'2024'!C:C,'2024'!B:B,"")</f>
        <v>45393.739583333001</v>
      </c>
      <c r="I346" s="19">
        <f t="shared" si="20"/>
        <v>45391.714583333</v>
      </c>
      <c r="J346" s="6">
        <f>_xlfn.XLOOKUP(C346,'2025'!C:C,'2025'!A:A,"")</f>
        <v>45755.85</v>
      </c>
      <c r="K346" s="6">
        <f>_xlfn.XLOOKUP(C346,'2025'!C:C,'2025'!B:B,"")</f>
        <v>45755.714583333</v>
      </c>
      <c r="L346" s="19">
        <f t="shared" si="21"/>
        <v>45755.714583333</v>
      </c>
      <c r="M346" s="16" cm="1">
        <f t="array" ref="M346">IFERROR(_xlfn.LET(
_xlpm.x,TRIM(C346),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6" s="16" t="b">
        <f t="shared" si="22"/>
        <v>1</v>
      </c>
    </row>
    <row r="347" spans="1:14" x14ac:dyDescent="0.25">
      <c r="A347" s="5" t="s">
        <v>469</v>
      </c>
      <c r="B347" s="16">
        <v>132</v>
      </c>
      <c r="C347" s="16" t="str">
        <v>Dialynas - DLNS 320 - 322</v>
      </c>
      <c r="D347" s="6">
        <f>_xlfn.XLOOKUP(C347,'2023'!C:C,'2023'!A:A,"")</f>
        <v>45027.833333333001</v>
      </c>
      <c r="E347" s="6">
        <f>_xlfn.XLOOKUP(C347,'2023'!C:C,'2023'!B:B,"")</f>
        <v>45029.710416667003</v>
      </c>
      <c r="F347" s="19">
        <f t="shared" si="23"/>
        <v>45027.833333333001</v>
      </c>
      <c r="G347" s="6">
        <f>_xlfn.XLOOKUP(C347,'2024'!C:C,'2024'!A:A,"")</f>
        <v>45391.866666667003</v>
      </c>
      <c r="H347" s="6">
        <f>_xlfn.XLOOKUP(C348,'2024'!C:C,'2024'!B:B,"")</f>
        <v>45391.708333333001</v>
      </c>
      <c r="I347" s="19">
        <f t="shared" si="20"/>
        <v>45391.708333333001</v>
      </c>
      <c r="J347" s="6">
        <f>_xlfn.XLOOKUP(C347,'2025'!C:C,'2025'!A:A,"")</f>
        <v>45755.8</v>
      </c>
      <c r="K347" s="6">
        <f>_xlfn.XLOOKUP(C347,'2025'!C:C,'2025'!B:B,"")</f>
        <v>45755.714583333</v>
      </c>
      <c r="L347" s="19">
        <f t="shared" si="21"/>
        <v>45755.714583333</v>
      </c>
      <c r="M347" s="16" cm="1">
        <f t="array" ref="M347">IFERROR(_xlfn.LET(
_xlpm.x,TRIM(C347),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7" s="16" t="b">
        <f t="shared" si="22"/>
        <v>1</v>
      </c>
    </row>
    <row r="348" spans="1:14" x14ac:dyDescent="0.25">
      <c r="A348" s="5" t="s">
        <v>147</v>
      </c>
      <c r="B348" s="16">
        <v>151</v>
      </c>
      <c r="C348" s="16" t="str">
        <v>Dialynas - DLNS 320 - 323</v>
      </c>
      <c r="D348" s="6">
        <f>_xlfn.XLOOKUP(C348,'2023'!C:C,'2023'!A:A,"")</f>
        <v>45027.835416667003</v>
      </c>
      <c r="E348" s="6">
        <f>_xlfn.XLOOKUP(C348,'2023'!C:C,'2023'!B:B,"")</f>
        <v>45027.708333333001</v>
      </c>
      <c r="F348" s="19">
        <f t="shared" si="23"/>
        <v>45027.708333333001</v>
      </c>
      <c r="G348" s="6">
        <f>_xlfn.XLOOKUP(C348,'2024'!C:C,'2024'!A:A,"")</f>
        <v>45391.833333333001</v>
      </c>
      <c r="H348" s="6">
        <f>_xlfn.XLOOKUP(C349,'2024'!C:C,'2024'!B:B,"")</f>
        <v>45391.712500000001</v>
      </c>
      <c r="I348" s="19">
        <f t="shared" si="20"/>
        <v>45391.712500000001</v>
      </c>
      <c r="J348" s="6">
        <f>_xlfn.XLOOKUP(C348,'2025'!C:C,'2025'!A:A,"")</f>
        <v>45755.714583333</v>
      </c>
      <c r="K348" s="6">
        <f>_xlfn.XLOOKUP(C348,'2025'!C:C,'2025'!B:B,"")</f>
        <v>45755.714583333</v>
      </c>
      <c r="L348" s="19">
        <f t="shared" si="21"/>
        <v>45755.714583333</v>
      </c>
      <c r="M348" s="16" cm="1">
        <f t="array" ref="M348">IFERROR(_xlfn.LET(
_xlpm.x,TRIM(C348),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8" s="16" t="b">
        <f t="shared" si="22"/>
        <v>1</v>
      </c>
    </row>
    <row r="349" spans="1:14" x14ac:dyDescent="0.25">
      <c r="A349" s="5" t="s">
        <v>147</v>
      </c>
      <c r="B349" s="16">
        <v>151</v>
      </c>
      <c r="C349" s="16" t="str">
        <v>Dialynas - DLNS 320 - 324</v>
      </c>
      <c r="D349" s="6">
        <f>_xlfn.XLOOKUP(C349,'2023'!C:C,'2023'!A:A,"")</f>
        <v>45027.745833333</v>
      </c>
      <c r="E349" s="6">
        <f>_xlfn.XLOOKUP(C349,'2023'!C:C,'2023'!B:B,"")</f>
        <v>45029.84375</v>
      </c>
      <c r="F349" s="19">
        <f t="shared" si="23"/>
        <v>45027.745833333</v>
      </c>
      <c r="G349" s="6">
        <f>_xlfn.XLOOKUP(C349,'2024'!C:C,'2024'!A:A,"")</f>
        <v>45392.866666667003</v>
      </c>
      <c r="H349" s="6">
        <f>_xlfn.XLOOKUP(C350,'2024'!C:C,'2024'!B:B,"")</f>
        <v>45392.737500000003</v>
      </c>
      <c r="I349" s="19">
        <f t="shared" si="20"/>
        <v>45392.737500000003</v>
      </c>
      <c r="J349" s="6">
        <f>_xlfn.XLOOKUP(C349,'2025'!C:C,'2025'!A:A,"")</f>
        <v>45755.829166666997</v>
      </c>
      <c r="K349" s="6">
        <f>_xlfn.XLOOKUP(C349,'2025'!C:C,'2025'!B:B,"")</f>
        <v>45755.714583333</v>
      </c>
      <c r="L349" s="19">
        <f t="shared" si="21"/>
        <v>45755.714583333</v>
      </c>
      <c r="M349" s="16" cm="1">
        <f t="array" ref="M349">IFERROR(_xlfn.LET(
_xlpm.x,TRIM(C349),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49" s="16" t="b">
        <f t="shared" si="22"/>
        <v>1</v>
      </c>
    </row>
    <row r="350" spans="1:14" x14ac:dyDescent="0.25">
      <c r="A350" s="5" t="s">
        <v>147</v>
      </c>
      <c r="B350" s="16">
        <v>134</v>
      </c>
      <c r="C350" s="16" t="str">
        <v>Dialynas - DLNS 330 - 331</v>
      </c>
      <c r="D350" s="6">
        <f>_xlfn.XLOOKUP(C350,'2023'!C:C,'2023'!A:A,"")</f>
        <v>45027.714583333</v>
      </c>
      <c r="E350" s="6" t="str">
        <f>_xlfn.XLOOKUP(C350,'2023'!C:C,'2023'!B:B,"")</f>
        <v>No Selection Time Issued</v>
      </c>
      <c r="F350" s="19">
        <f t="shared" si="23"/>
        <v>45027.714583333</v>
      </c>
      <c r="G350" s="6">
        <f>_xlfn.XLOOKUP(C350,'2024'!C:C,'2024'!A:A,"")</f>
        <v>45391.818749999999</v>
      </c>
      <c r="H350" s="6">
        <f>_xlfn.XLOOKUP(C351,'2024'!C:C,'2024'!B:B,"")</f>
        <v>45393.777083333</v>
      </c>
      <c r="I350" s="19">
        <f t="shared" si="20"/>
        <v>45391.818749999999</v>
      </c>
      <c r="J350" s="6">
        <f>_xlfn.XLOOKUP(C350,'2025'!C:C,'2025'!A:A,"")</f>
        <v>45755.78125</v>
      </c>
      <c r="K350" s="6">
        <f>_xlfn.XLOOKUP(C350,'2025'!C:C,'2025'!B:B,"")</f>
        <v>45755.722916667</v>
      </c>
      <c r="L350" s="19">
        <f t="shared" si="21"/>
        <v>45755.722916667</v>
      </c>
      <c r="M350" s="16" cm="1">
        <f t="array" ref="M350">IFERROR(_xlfn.LET(
_xlpm.x,TRIM(C350),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0" s="16" t="b">
        <f t="shared" si="22"/>
        <v>1</v>
      </c>
    </row>
    <row r="351" spans="1:14" x14ac:dyDescent="0.25">
      <c r="A351" s="5" t="s">
        <v>147</v>
      </c>
      <c r="B351" s="16">
        <v>152</v>
      </c>
      <c r="C351" s="16" t="str">
        <v>Dialynas - DLNS 330 - 332</v>
      </c>
      <c r="D351" s="6">
        <f>_xlfn.XLOOKUP(C351,'2023'!C:C,'2023'!A:A,"")</f>
        <v>45027.864583333001</v>
      </c>
      <c r="E351" s="6">
        <f>_xlfn.XLOOKUP(C351,'2023'!C:C,'2023'!B:B,"")</f>
        <v>45027.731249999997</v>
      </c>
      <c r="F351" s="19">
        <f t="shared" si="23"/>
        <v>45027.731249999997</v>
      </c>
      <c r="G351" s="6">
        <f>_xlfn.XLOOKUP(C351,'2024'!C:C,'2024'!A:A,"")</f>
        <v>45391.883333332997</v>
      </c>
      <c r="H351" s="6">
        <f>_xlfn.XLOOKUP(C352,'2024'!C:C,'2024'!B:B,"")</f>
        <v>45393.727083332997</v>
      </c>
      <c r="I351" s="19">
        <f t="shared" si="20"/>
        <v>45391.883333332997</v>
      </c>
      <c r="J351" s="6">
        <f>_xlfn.XLOOKUP(C351,'2025'!C:C,'2025'!A:A,"")</f>
        <v>45756.814583332998</v>
      </c>
      <c r="K351" s="6">
        <f>_xlfn.XLOOKUP(C351,'2025'!C:C,'2025'!B:B,"")</f>
        <v>45755.722916667</v>
      </c>
      <c r="L351" s="19">
        <f t="shared" si="21"/>
        <v>45755.722916667</v>
      </c>
      <c r="M351" s="16" cm="1">
        <f t="array" ref="M351">IFERROR(_xlfn.LET(
_xlpm.x,TRIM(C351),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1" s="16" t="b">
        <f t="shared" si="22"/>
        <v>1</v>
      </c>
    </row>
    <row r="352" spans="1:14" x14ac:dyDescent="0.25">
      <c r="A352" s="5" t="s">
        <v>147</v>
      </c>
      <c r="B352" s="16">
        <v>131</v>
      </c>
      <c r="C352" s="16" t="str">
        <v>Dialynas - DLNS 330 - 333</v>
      </c>
      <c r="D352" s="6">
        <f>_xlfn.XLOOKUP(C352,'2023'!C:C,'2023'!A:A,"")</f>
        <v>45027.852083332997</v>
      </c>
      <c r="E352" s="6" t="str">
        <f>_xlfn.XLOOKUP(C352,'2023'!C:C,'2023'!B:B,"")</f>
        <v>No Selection Time Issued</v>
      </c>
      <c r="F352" s="19">
        <f t="shared" si="23"/>
        <v>45027.852083332997</v>
      </c>
      <c r="G352" s="6">
        <f>_xlfn.XLOOKUP(C352,'2024'!C:C,'2024'!A:A,"")</f>
        <v>45391.783333332998</v>
      </c>
      <c r="H352" s="6">
        <f>_xlfn.XLOOKUP(C353,'2024'!C:C,'2024'!B:B,"")</f>
        <v>45391.716666667002</v>
      </c>
      <c r="I352" s="19">
        <f t="shared" si="20"/>
        <v>45391.716666667002</v>
      </c>
      <c r="J352" s="6">
        <f>_xlfn.XLOOKUP(C352,'2025'!C:C,'2025'!A:A,"")</f>
        <v>45755.722916667</v>
      </c>
      <c r="K352" s="6">
        <f>_xlfn.XLOOKUP(C352,'2025'!C:C,'2025'!B:B,"")</f>
        <v>45755.722916667</v>
      </c>
      <c r="L352" s="19">
        <f t="shared" si="21"/>
        <v>45755.722916667</v>
      </c>
      <c r="M352" s="16" cm="1">
        <f t="array" ref="M352">IFERROR(_xlfn.LET(
_xlpm.x,TRIM(C352),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2" s="16" t="b">
        <f t="shared" si="22"/>
        <v>1</v>
      </c>
    </row>
    <row r="353" spans="1:14" x14ac:dyDescent="0.25">
      <c r="A353" s="5" t="s">
        <v>147</v>
      </c>
      <c r="B353" s="16">
        <v>146</v>
      </c>
      <c r="C353" s="16" t="str">
        <v>Dialynas - DLNS 330 - 334</v>
      </c>
      <c r="D353" s="6">
        <f>_xlfn.XLOOKUP(C353,'2023'!C:C,'2023'!A:A,"")</f>
        <v>45027.839583333</v>
      </c>
      <c r="E353" s="6" t="str">
        <f>_xlfn.XLOOKUP(C353,'2023'!C:C,'2023'!B:B,"")</f>
        <v>No Selection Time Issued</v>
      </c>
      <c r="F353" s="19">
        <f t="shared" si="23"/>
        <v>45027.839583333</v>
      </c>
      <c r="G353" s="6">
        <f>_xlfn.XLOOKUP(C353,'2024'!C:C,'2024'!A:A,"")</f>
        <v>45391.716666667002</v>
      </c>
      <c r="H353" s="6">
        <f>_xlfn.XLOOKUP(C354,'2024'!C:C,'2024'!B:B,"")</f>
        <v>45391.737500000003</v>
      </c>
      <c r="I353" s="19">
        <f t="shared" si="20"/>
        <v>45391.716666667002</v>
      </c>
      <c r="J353" s="6">
        <f>_xlfn.XLOOKUP(C353,'2025'!C:C,'2025'!A:A,"")</f>
        <v>45755.795833333003</v>
      </c>
      <c r="K353" s="6">
        <f>_xlfn.XLOOKUP(C353,'2025'!C:C,'2025'!B:B,"")</f>
        <v>45755.722916667</v>
      </c>
      <c r="L353" s="19">
        <f t="shared" si="21"/>
        <v>45755.722916667</v>
      </c>
      <c r="M353" s="16" cm="1">
        <f t="array" ref="M353">IFERROR(_xlfn.LET(
_xlpm.x,TRIM(C353),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3" s="16" t="b">
        <f t="shared" si="22"/>
        <v>1</v>
      </c>
    </row>
    <row r="354" spans="1:14" x14ac:dyDescent="0.25">
      <c r="A354" s="5" t="s">
        <v>555</v>
      </c>
      <c r="B354" s="16">
        <v>136</v>
      </c>
      <c r="C354" s="16" t="str">
        <v>Dialynas - DLNS 340 - 341</v>
      </c>
      <c r="D354" s="6">
        <f>_xlfn.XLOOKUP(C354,'2023'!C:C,'2023'!A:A,"")</f>
        <v>45027.785416667</v>
      </c>
      <c r="E354" s="6" t="str">
        <f>_xlfn.XLOOKUP(C354,'2023'!C:C,'2023'!B:B,"")</f>
        <v>No Selection Time Issued</v>
      </c>
      <c r="F354" s="19">
        <f t="shared" si="23"/>
        <v>45027.785416667</v>
      </c>
      <c r="G354" s="6">
        <f>_xlfn.XLOOKUP(C354,'2024'!C:C,'2024'!A:A,"")</f>
        <v>45391.71875</v>
      </c>
      <c r="H354" s="6">
        <f>_xlfn.XLOOKUP(C355,'2024'!C:C,'2024'!B:B,"")</f>
        <v>45391.729166666999</v>
      </c>
      <c r="I354" s="19">
        <f t="shared" si="20"/>
        <v>45391.71875</v>
      </c>
      <c r="J354" s="6">
        <f>_xlfn.XLOOKUP(C354,'2025'!C:C,'2025'!A:A,"")</f>
        <v>45755.793749999997</v>
      </c>
      <c r="K354" s="6">
        <f>_xlfn.XLOOKUP(C354,'2025'!C:C,'2025'!B:B,"")</f>
        <v>45755.714583333</v>
      </c>
      <c r="L354" s="19">
        <f t="shared" si="21"/>
        <v>45755.714583333</v>
      </c>
      <c r="M354" s="16" cm="1">
        <f t="array" ref="M354">IFERROR(_xlfn.LET(
_xlpm.x,TRIM(C354),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4" s="16" t="b">
        <f t="shared" si="22"/>
        <v>1</v>
      </c>
    </row>
    <row r="355" spans="1:14" x14ac:dyDescent="0.25">
      <c r="A355" s="5" t="s">
        <v>555</v>
      </c>
      <c r="B355" s="16">
        <v>151</v>
      </c>
      <c r="C355" s="16" t="str">
        <v>Dialynas - DLNS 340 - 342</v>
      </c>
      <c r="D355" s="6">
        <f>_xlfn.XLOOKUP(C355,'2023'!C:C,'2023'!A:A,"")</f>
        <v>45027.879166667</v>
      </c>
      <c r="E355" s="6">
        <f>_xlfn.XLOOKUP(C355,'2023'!C:C,'2023'!B:B,"")</f>
        <v>45027.71875</v>
      </c>
      <c r="F355" s="19">
        <f t="shared" si="23"/>
        <v>45027.71875</v>
      </c>
      <c r="G355" s="6">
        <f>_xlfn.XLOOKUP(C355,'2024'!C:C,'2024'!A:A,"")</f>
        <v>45391.733333333003</v>
      </c>
      <c r="H355" s="6">
        <f>_xlfn.XLOOKUP(C356,'2024'!C:C,'2024'!B:B,"")</f>
        <v>45391.733333333003</v>
      </c>
      <c r="I355" s="19">
        <f t="shared" si="20"/>
        <v>45391.733333333003</v>
      </c>
      <c r="J355" s="6">
        <f>_xlfn.XLOOKUP(C355,'2025'!C:C,'2025'!A:A,"")</f>
        <v>45755.891666666997</v>
      </c>
      <c r="K355" s="6">
        <f>_xlfn.XLOOKUP(C355,'2025'!C:C,'2025'!B:B,"")</f>
        <v>45755.714583333</v>
      </c>
      <c r="L355" s="19">
        <f t="shared" si="21"/>
        <v>45755.714583333</v>
      </c>
      <c r="M355" s="16" cm="1">
        <f t="array" ref="M355">IFERROR(_xlfn.LET(
_xlpm.x,TRIM(C355),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5" s="16" t="b">
        <f t="shared" si="22"/>
        <v>1</v>
      </c>
    </row>
    <row r="356" spans="1:14" x14ac:dyDescent="0.25">
      <c r="A356" s="5" t="s">
        <v>555</v>
      </c>
      <c r="B356" s="16">
        <v>132</v>
      </c>
      <c r="C356" s="16" t="str">
        <v>Dialynas - DLNS 340 - 343</v>
      </c>
      <c r="D356" s="6">
        <f>_xlfn.XLOOKUP(C356,'2023'!C:C,'2023'!A:A,"")</f>
        <v>45027.90625</v>
      </c>
      <c r="E356" s="6">
        <f>_xlfn.XLOOKUP(C356,'2023'!C:C,'2023'!B:B,"")</f>
        <v>45027.902083333</v>
      </c>
      <c r="F356" s="19">
        <f t="shared" si="23"/>
        <v>45027.902083333</v>
      </c>
      <c r="G356" s="6">
        <f>_xlfn.XLOOKUP(C356,'2024'!C:C,'2024'!A:A,"")</f>
        <v>45391.902083333</v>
      </c>
      <c r="H356" s="6">
        <f>_xlfn.XLOOKUP(C357,'2024'!C:C,'2024'!B:B,"")</f>
        <v>45392.722916667</v>
      </c>
      <c r="I356" s="19">
        <f t="shared" si="20"/>
        <v>45391.902083333</v>
      </c>
      <c r="J356" s="6">
        <f>_xlfn.XLOOKUP(C356,'2025'!C:C,'2025'!A:A,"")</f>
        <v>45755.714583333</v>
      </c>
      <c r="K356" s="6">
        <f>_xlfn.XLOOKUP(C356,'2025'!C:C,'2025'!B:B,"")</f>
        <v>45755.714583333</v>
      </c>
      <c r="L356" s="19">
        <f t="shared" si="21"/>
        <v>45755.714583333</v>
      </c>
      <c r="M356" s="16" cm="1">
        <f t="array" ref="M356">IFERROR(_xlfn.LET(
_xlpm.x,TRIM(C356),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6" s="16" t="b">
        <f t="shared" si="22"/>
        <v>1</v>
      </c>
    </row>
    <row r="357" spans="1:14" x14ac:dyDescent="0.25">
      <c r="A357" s="5" t="s">
        <v>247</v>
      </c>
      <c r="B357" s="16">
        <v>151</v>
      </c>
      <c r="C357" s="16" t="str">
        <v>Dialynas - DLNS 340 - 344</v>
      </c>
      <c r="D357" s="6">
        <f>_xlfn.XLOOKUP(C357,'2023'!C:C,'2023'!A:A,"")</f>
        <v>45027.712500000001</v>
      </c>
      <c r="E357" s="6">
        <f>_xlfn.XLOOKUP(C357,'2023'!C:C,'2023'!B:B,"")</f>
        <v>45029.747916667002</v>
      </c>
      <c r="F357" s="19">
        <f t="shared" si="23"/>
        <v>45027.712500000001</v>
      </c>
      <c r="G357" s="6">
        <f>_xlfn.XLOOKUP(C357,'2024'!C:C,'2024'!A:A,"")</f>
        <v>45391.712500000001</v>
      </c>
      <c r="H357" s="6">
        <f>_xlfn.XLOOKUP(C358,'2024'!C:C,'2024'!B:B,"")</f>
        <v>45393.708333333001</v>
      </c>
      <c r="I357" s="19">
        <f t="shared" si="20"/>
        <v>45391.712500000001</v>
      </c>
      <c r="J357" s="6">
        <f>_xlfn.XLOOKUP(C357,'2025'!C:C,'2025'!A:A,"")</f>
        <v>45755.891666666997</v>
      </c>
      <c r="K357" s="6">
        <f>_xlfn.XLOOKUP(C357,'2025'!C:C,'2025'!B:B,"")</f>
        <v>45755.714583333</v>
      </c>
      <c r="L357" s="19">
        <f t="shared" si="21"/>
        <v>45755.714583333</v>
      </c>
      <c r="M357" s="16" cm="1">
        <f t="array" ref="M357">IFERROR(_xlfn.LET(
_xlpm.x,TRIM(C357),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7" s="16" t="b">
        <f t="shared" si="22"/>
        <v>1</v>
      </c>
    </row>
    <row r="358" spans="1:14" x14ac:dyDescent="0.25">
      <c r="A358" s="5" t="s">
        <v>247</v>
      </c>
      <c r="B358" s="16">
        <v>137</v>
      </c>
      <c r="C358" s="16" t="str">
        <v>Dialynas - DLNS 350 - 351</v>
      </c>
      <c r="D358" s="6">
        <f>_xlfn.XLOOKUP(C358,'2023'!C:C,'2023'!A:A,"")</f>
        <v>45028.822916666999</v>
      </c>
      <c r="E358" s="6">
        <f>_xlfn.XLOOKUP(C358,'2023'!C:C,'2023'!B:B,"")</f>
        <v>45027.735416666997</v>
      </c>
      <c r="F358" s="19">
        <f t="shared" si="23"/>
        <v>45027.735416666997</v>
      </c>
      <c r="G358" s="6">
        <f>_xlfn.XLOOKUP(C358,'2024'!C:C,'2024'!A:A,"")</f>
        <v>45391.760416666999</v>
      </c>
      <c r="H358" s="6">
        <f>_xlfn.XLOOKUP(C359,'2024'!C:C,'2024'!B:B,"")</f>
        <v>45392.714583333</v>
      </c>
      <c r="I358" s="19">
        <f t="shared" si="20"/>
        <v>45391.760416666999</v>
      </c>
      <c r="J358" s="6">
        <f>_xlfn.XLOOKUP(C358,'2025'!C:C,'2025'!A:A,"")</f>
        <v>45755.877083332998</v>
      </c>
      <c r="K358" s="6">
        <f>_xlfn.XLOOKUP(C358,'2025'!C:C,'2025'!B:B,"")</f>
        <v>45755.710416667003</v>
      </c>
      <c r="L358" s="19">
        <f t="shared" si="21"/>
        <v>45755.710416667003</v>
      </c>
      <c r="M358" s="16" cm="1">
        <f t="array" ref="M358">IFERROR(_xlfn.LET(
_xlpm.x,TRIM(C358),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8" s="16" t="b">
        <f t="shared" si="22"/>
        <v>1</v>
      </c>
    </row>
    <row r="359" spans="1:14" x14ac:dyDescent="0.25">
      <c r="A359" s="5" t="s">
        <v>247</v>
      </c>
      <c r="B359" s="16">
        <v>141</v>
      </c>
      <c r="C359" s="16" t="str">
        <v>Dialynas - DLNS 350 - 352</v>
      </c>
      <c r="D359" s="6">
        <f>_xlfn.XLOOKUP(C359,'2023'!C:C,'2023'!A:A,"")</f>
        <v>45027.724999999999</v>
      </c>
      <c r="E359" s="6">
        <f>_xlfn.XLOOKUP(C359,'2023'!C:C,'2023'!B:B,"")</f>
        <v>45029.78125</v>
      </c>
      <c r="F359" s="19">
        <f t="shared" si="23"/>
        <v>45027.724999999999</v>
      </c>
      <c r="G359" s="6">
        <f>_xlfn.XLOOKUP(C359,'2024'!C:C,'2024'!A:A,"")</f>
        <v>45391.78125</v>
      </c>
      <c r="H359" s="6">
        <f>_xlfn.XLOOKUP(C360,'2024'!C:C,'2024'!B:B,"")</f>
        <v>45391.747916667002</v>
      </c>
      <c r="I359" s="19">
        <f t="shared" si="20"/>
        <v>45391.747916667002</v>
      </c>
      <c r="J359" s="6">
        <f>_xlfn.XLOOKUP(C359,'2025'!C:C,'2025'!A:A,"")</f>
        <v>45755.783333332998</v>
      </c>
      <c r="K359" s="6">
        <f>_xlfn.XLOOKUP(C359,'2025'!C:C,'2025'!B:B,"")</f>
        <v>45755.710416667003</v>
      </c>
      <c r="L359" s="19">
        <f t="shared" si="21"/>
        <v>45755.710416667003</v>
      </c>
      <c r="M359" s="16" cm="1">
        <f t="array" ref="M359">IFERROR(_xlfn.LET(
_xlpm.x,TRIM(C359),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59" s="16" t="b">
        <f t="shared" si="22"/>
        <v>1</v>
      </c>
    </row>
    <row r="360" spans="1:14" x14ac:dyDescent="0.25">
      <c r="A360" s="5" t="s">
        <v>246</v>
      </c>
      <c r="B360" s="16">
        <v>136</v>
      </c>
      <c r="C360" s="16" t="str">
        <v>Dialynas - DLNS 350 - 353</v>
      </c>
      <c r="D360" s="6">
        <f>_xlfn.XLOOKUP(C360,'2023'!C:C,'2023'!A:A,"")</f>
        <v>45027.768750000003</v>
      </c>
      <c r="E360" s="6">
        <f>_xlfn.XLOOKUP(C360,'2023'!C:C,'2023'!B:B,"")</f>
        <v>45027.708333333001</v>
      </c>
      <c r="F360" s="19">
        <f t="shared" si="23"/>
        <v>45027.708333333001</v>
      </c>
      <c r="G360" s="6">
        <f>_xlfn.XLOOKUP(C360,'2024'!C:C,'2024'!A:A,"")</f>
        <v>45391.85</v>
      </c>
      <c r="H360" s="6">
        <f>_xlfn.XLOOKUP(C361,'2024'!C:C,'2024'!B:B,"")</f>
        <v>45391.729166666999</v>
      </c>
      <c r="I360" s="19">
        <f t="shared" si="20"/>
        <v>45391.729166666999</v>
      </c>
      <c r="J360" s="6">
        <f>_xlfn.XLOOKUP(C360,'2025'!C:C,'2025'!A:A,"")</f>
        <v>45755.9</v>
      </c>
      <c r="K360" s="6">
        <f>_xlfn.XLOOKUP(C360,'2025'!C:C,'2025'!B:B,"")</f>
        <v>45755.710416667003</v>
      </c>
      <c r="L360" s="19">
        <f t="shared" si="21"/>
        <v>45755.710416667003</v>
      </c>
      <c r="M360" s="16" cm="1">
        <f t="array" ref="M360">IFERROR(_xlfn.LET(
_xlpm.x,TRIM(C360),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60" s="16" t="b">
        <f t="shared" si="22"/>
        <v>1</v>
      </c>
    </row>
    <row r="361" spans="1:14" x14ac:dyDescent="0.25">
      <c r="A361" s="5" t="s">
        <v>246</v>
      </c>
      <c r="B361" s="16">
        <v>141</v>
      </c>
      <c r="C361" s="16" t="str">
        <v>Dialynas - DLNS 350 - 354</v>
      </c>
      <c r="D361" s="6">
        <f>_xlfn.XLOOKUP(C361,'2023'!C:C,'2023'!A:A,"")</f>
        <v>45027.727083332997</v>
      </c>
      <c r="E361" s="6">
        <f>_xlfn.XLOOKUP(C361,'2023'!C:C,'2023'!B:B,"")</f>
        <v>45029.743750000001</v>
      </c>
      <c r="F361" s="19">
        <f t="shared" si="23"/>
        <v>45027.727083332997</v>
      </c>
      <c r="G361" s="6">
        <f>_xlfn.XLOOKUP(C361,'2024'!C:C,'2024'!A:A,"")</f>
        <v>45391.710416667003</v>
      </c>
      <c r="H361" s="6">
        <f>_xlfn.XLOOKUP(C362,'2024'!C:C,'2024'!B:B,"")</f>
        <v>45391.733333333003</v>
      </c>
      <c r="I361" s="19">
        <f t="shared" si="20"/>
        <v>45391.710416667003</v>
      </c>
      <c r="J361" s="6">
        <f>_xlfn.XLOOKUP(C361,'2025'!C:C,'2025'!A:A,"")</f>
        <v>45755.710416667003</v>
      </c>
      <c r="K361" s="6">
        <f>_xlfn.XLOOKUP(C361,'2025'!C:C,'2025'!B:B,"")</f>
        <v>45755.710416667003</v>
      </c>
      <c r="L361" s="19">
        <f t="shared" si="21"/>
        <v>45755.710416667003</v>
      </c>
      <c r="M361" s="16" cm="1">
        <f t="array" ref="M361">IFERROR(_xlfn.LET(
_xlpm.x,TRIM(C361),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61" s="16" t="b">
        <f t="shared" si="22"/>
        <v>1</v>
      </c>
    </row>
    <row r="362" spans="1:14" x14ac:dyDescent="0.25">
      <c r="A362" s="5" t="s">
        <v>246</v>
      </c>
      <c r="B362" s="16">
        <v>139</v>
      </c>
      <c r="C362" s="16" t="str">
        <v>Dialynas - DLNS 350 - 355</v>
      </c>
      <c r="D362" s="6">
        <f>_xlfn.XLOOKUP(C362,'2023'!C:C,'2023'!A:A,"")</f>
        <v>45027.710416667003</v>
      </c>
      <c r="E362" s="6">
        <f>_xlfn.XLOOKUP(C362,'2023'!C:C,'2023'!B:B,"")</f>
        <v>45029.743750000001</v>
      </c>
      <c r="F362" s="19">
        <f t="shared" si="23"/>
        <v>45027.710416667003</v>
      </c>
      <c r="G362" s="6">
        <f>_xlfn.XLOOKUP(C362,'2024'!C:C,'2024'!A:A,"")</f>
        <v>45391.854166666999</v>
      </c>
      <c r="H362" s="6">
        <f>_xlfn.XLOOKUP(C363,'2024'!C:C,'2024'!B:B,"")</f>
        <v>45391.735416666997</v>
      </c>
      <c r="I362" s="19">
        <f t="shared" si="20"/>
        <v>45391.735416666997</v>
      </c>
      <c r="J362" s="6">
        <f>_xlfn.XLOOKUP(C362,'2025'!C:C,'2025'!A:A,"")</f>
        <v>45755.739583333001</v>
      </c>
      <c r="K362" s="6">
        <f>_xlfn.XLOOKUP(C362,'2025'!C:C,'2025'!B:B,"")</f>
        <v>45755.710416667003</v>
      </c>
      <c r="L362" s="19">
        <f t="shared" si="21"/>
        <v>45755.710416667003</v>
      </c>
      <c r="M362" s="16" cm="1">
        <f t="array" ref="M362">IFERROR(_xlfn.LET(
_xlpm.x,TRIM(C362),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62" s="16" t="b">
        <f t="shared" si="22"/>
        <v>1</v>
      </c>
    </row>
    <row r="363" spans="1:14" x14ac:dyDescent="0.25">
      <c r="A363" s="5" t="s">
        <v>527</v>
      </c>
      <c r="B363" s="16">
        <v>150</v>
      </c>
      <c r="C363" s="16" t="str">
        <v>Dialynas - DLNS 350 - 356</v>
      </c>
      <c r="D363" s="6">
        <f>_xlfn.XLOOKUP(C363,'2023'!C:C,'2023'!A:A,"")</f>
        <v>45027.775000000001</v>
      </c>
      <c r="E363" s="6">
        <f>_xlfn.XLOOKUP(C363,'2023'!C:C,'2023'!B:B,"")</f>
        <v>45029.75</v>
      </c>
      <c r="F363" s="19">
        <f t="shared" si="23"/>
        <v>45027.775000000001</v>
      </c>
      <c r="G363" s="6">
        <f>_xlfn.XLOOKUP(C363,'2024'!C:C,'2024'!A:A,"")</f>
        <v>45391.847916667</v>
      </c>
      <c r="H363" s="6">
        <f>_xlfn.XLOOKUP(C364,'2024'!C:C,'2024'!B:B,"")</f>
        <v>45393.795833333003</v>
      </c>
      <c r="I363" s="19">
        <f t="shared" si="20"/>
        <v>45391.847916667</v>
      </c>
      <c r="J363" s="6">
        <f>_xlfn.XLOOKUP(C363,'2025'!C:C,'2025'!A:A,"")</f>
        <v>45755.791666666999</v>
      </c>
      <c r="K363" s="6">
        <f>_xlfn.XLOOKUP(C363,'2025'!C:C,'2025'!B:B,"")</f>
        <v>45755.710416667003</v>
      </c>
      <c r="L363" s="19">
        <f t="shared" si="21"/>
        <v>45755.710416667003</v>
      </c>
      <c r="M363" s="16" cm="1">
        <f t="array" ref="M363">IFERROR(_xlfn.LET(
_xlpm.x,TRIM(C363),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63" s="16" t="b">
        <f t="shared" si="22"/>
        <v>1</v>
      </c>
    </row>
    <row r="364" spans="1:14" x14ac:dyDescent="0.25">
      <c r="A364" s="5" t="s">
        <v>527</v>
      </c>
      <c r="B364" s="16">
        <v>210</v>
      </c>
      <c r="C364" s="16" t="str">
        <v>Gibson - 401</v>
      </c>
      <c r="D364" s="6">
        <f>_xlfn.XLOOKUP(C364,'2023'!C:C,'2023'!A:A,"")</f>
        <v>45029.804166667003</v>
      </c>
      <c r="E364" s="6">
        <f>_xlfn.XLOOKUP(C364,'2023'!C:C,'2023'!B:B,"")</f>
        <v>45027.712500000001</v>
      </c>
      <c r="F364" s="19">
        <f t="shared" si="23"/>
        <v>45027.712500000001</v>
      </c>
      <c r="G364" s="6">
        <f>_xlfn.XLOOKUP(C364,'2024'!C:C,'2024'!A:A,"")</f>
        <v>45392.835416667003</v>
      </c>
      <c r="H364" s="6" t="str">
        <f>_xlfn.XLOOKUP(C365,'2024'!C:C,'2024'!B:B,"")</f>
        <v>No Selection Time Issued</v>
      </c>
      <c r="I364" s="19">
        <f t="shared" si="20"/>
        <v>45392.835416667003</v>
      </c>
      <c r="J364" s="6">
        <f>_xlfn.XLOOKUP(C364,'2025'!C:C,'2025'!A:A,"")</f>
        <v>45757.789583332997</v>
      </c>
      <c r="K364" s="6">
        <f>_xlfn.XLOOKUP(C364,'2025'!C:C,'2025'!B:B,"")</f>
        <v>45757.789583332997</v>
      </c>
      <c r="L364" s="19">
        <f t="shared" si="21"/>
        <v>45757.789583332997</v>
      </c>
      <c r="M364" s="16" cm="1">
        <f t="array" ref="M364">IFERROR(_xlfn.LET(
_xlpm.x,TRIM(C364),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4" s="16" t="b">
        <f t="shared" si="22"/>
        <v>0</v>
      </c>
    </row>
    <row r="365" spans="1:14" x14ac:dyDescent="0.25">
      <c r="A365" s="5" t="s">
        <v>527</v>
      </c>
      <c r="B365" s="16">
        <v>212</v>
      </c>
      <c r="C365" s="16" t="str">
        <v>Gibson - 402</v>
      </c>
      <c r="D365" s="6">
        <f>_xlfn.XLOOKUP(C365,'2023'!C:C,'2023'!A:A,"")</f>
        <v>45029.741666667003</v>
      </c>
      <c r="E365" s="6">
        <f>_xlfn.XLOOKUP(C365,'2023'!C:C,'2023'!B:B,"")</f>
        <v>45028.745833333</v>
      </c>
      <c r="F365" s="19">
        <f t="shared" si="23"/>
        <v>45028.745833333</v>
      </c>
      <c r="G365" s="6">
        <f>_xlfn.XLOOKUP(C365,'2024'!C:C,'2024'!A:A,"")</f>
        <v>45393.837500000001</v>
      </c>
      <c r="H365" s="6" t="str">
        <f>_xlfn.XLOOKUP(C366,'2024'!C:C,'2024'!B:B,"")</f>
        <v>No Selection Time Issued</v>
      </c>
      <c r="I365" s="19">
        <f t="shared" si="20"/>
        <v>45393.837500000001</v>
      </c>
      <c r="J365" s="6">
        <f>_xlfn.XLOOKUP(C365,'2025'!C:C,'2025'!A:A,"")</f>
        <v>45757.831250000003</v>
      </c>
      <c r="K365" s="6">
        <f>_xlfn.XLOOKUP(C365,'2025'!C:C,'2025'!B:B,"")</f>
        <v>45757.787499999999</v>
      </c>
      <c r="L365" s="19">
        <f t="shared" si="21"/>
        <v>45757.787499999999</v>
      </c>
      <c r="M365" s="16" cm="1">
        <f t="array" ref="M365">IFERROR(_xlfn.LET(
_xlpm.x,TRIM(C365),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5" s="16" t="b">
        <f t="shared" si="22"/>
        <v>0</v>
      </c>
    </row>
    <row r="366" spans="1:14" x14ac:dyDescent="0.25">
      <c r="A366" s="5" t="s">
        <v>282</v>
      </c>
      <c r="B366" s="16">
        <v>222</v>
      </c>
      <c r="C366" s="16" t="str">
        <v>Gibson - 403</v>
      </c>
      <c r="D366" s="6">
        <f>_xlfn.XLOOKUP(C366,'2023'!C:C,'2023'!A:A,"")</f>
        <v>45029.802083333001</v>
      </c>
      <c r="E366" s="6">
        <f>_xlfn.XLOOKUP(C366,'2023'!C:C,'2023'!B:B,"")</f>
        <v>45027.71875</v>
      </c>
      <c r="F366" s="19">
        <f t="shared" si="23"/>
        <v>45027.71875</v>
      </c>
      <c r="G366" s="6">
        <f>_xlfn.XLOOKUP(C366,'2024'!C:C,'2024'!A:A,"")</f>
        <v>45393.829166666997</v>
      </c>
      <c r="H366" s="6" t="str">
        <f>_xlfn.XLOOKUP(C367,'2024'!C:C,'2024'!B:B,"")</f>
        <v>No Selection Time Issued</v>
      </c>
      <c r="I366" s="19">
        <f t="shared" si="20"/>
        <v>45393.829166666997</v>
      </c>
      <c r="J366" s="6">
        <f>_xlfn.XLOOKUP(C366,'2025'!C:C,'2025'!A:A,"")</f>
        <v>45757.845833332998</v>
      </c>
      <c r="K366" s="6">
        <f>_xlfn.XLOOKUP(C366,'2025'!C:C,'2025'!B:B,"")</f>
        <v>45757.745833333</v>
      </c>
      <c r="L366" s="19">
        <f t="shared" si="21"/>
        <v>45757.745833333</v>
      </c>
      <c r="M366" s="16" cm="1">
        <f t="array" ref="M366">IFERROR(_xlfn.LET(
_xlpm.x,TRIM(C366),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6" s="16" t="b">
        <f t="shared" si="22"/>
        <v>0</v>
      </c>
    </row>
    <row r="367" spans="1:14" x14ac:dyDescent="0.25">
      <c r="A367" s="5" t="s">
        <v>282</v>
      </c>
      <c r="B367" s="16">
        <v>198</v>
      </c>
      <c r="C367" s="16" t="str">
        <v>Gibson - 404</v>
      </c>
      <c r="D367" s="6">
        <f>_xlfn.XLOOKUP(C367,'2023'!C:C,'2023'!A:A,"")</f>
        <v>45029.747916667002</v>
      </c>
      <c r="E367" s="6">
        <f>_xlfn.XLOOKUP(C367,'2023'!C:C,'2023'!B:B,"")</f>
        <v>45027.733333333003</v>
      </c>
      <c r="F367" s="19">
        <f t="shared" si="23"/>
        <v>45027.733333333003</v>
      </c>
      <c r="G367" s="6">
        <f>_xlfn.XLOOKUP(C367,'2024'!C:C,'2024'!A:A,"")</f>
        <v>45393.777083333</v>
      </c>
      <c r="H367" s="6">
        <f>_xlfn.XLOOKUP(C368,'2024'!C:C,'2024'!B:B,"")</f>
        <v>45391.816666667</v>
      </c>
      <c r="I367" s="19">
        <f t="shared" si="20"/>
        <v>45391.816666667</v>
      </c>
      <c r="J367" s="6">
        <f>_xlfn.XLOOKUP(C367,'2025'!C:C,'2025'!A:A,"")</f>
        <v>45757.833333333001</v>
      </c>
      <c r="K367" s="6">
        <f>_xlfn.XLOOKUP(C367,'2025'!C:C,'2025'!B:B,"")</f>
        <v>45757.8125</v>
      </c>
      <c r="L367" s="19">
        <f t="shared" si="21"/>
        <v>45757.8125</v>
      </c>
      <c r="M367" s="16" cm="1">
        <f t="array" ref="M367">IFERROR(_xlfn.LET(
_xlpm.x,TRIM(C367),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7" s="16" t="b">
        <f t="shared" si="22"/>
        <v>0</v>
      </c>
    </row>
    <row r="368" spans="1:14" x14ac:dyDescent="0.25">
      <c r="A368" s="5" t="s">
        <v>282</v>
      </c>
      <c r="B368" s="16">
        <v>121</v>
      </c>
      <c r="C368" s="16" t="str">
        <v>Gibson - 405</v>
      </c>
      <c r="D368" s="6" t="str">
        <f>_xlfn.XLOOKUP(C368,'2023'!C:C,'2023'!A:A,"")</f>
        <v/>
      </c>
      <c r="E368" s="6" t="str">
        <f>_xlfn.XLOOKUP(C368,'2023'!C:C,'2023'!B:B,"")</f>
        <v/>
      </c>
      <c r="F368" s="19" t="str">
        <f t="shared" si="23"/>
        <v/>
      </c>
      <c r="G368" s="6">
        <f>_xlfn.XLOOKUP(C368,'2024'!C:C,'2024'!A:A,"")</f>
        <v>45391.814583332998</v>
      </c>
      <c r="H368" s="6" t="str">
        <f>_xlfn.XLOOKUP(C369,'2024'!C:C,'2024'!B:B,"")</f>
        <v>No Selection Time Issued</v>
      </c>
      <c r="I368" s="19">
        <f t="shared" si="20"/>
        <v>45391.814583332998</v>
      </c>
      <c r="J368" s="6" t="str">
        <f>_xlfn.XLOOKUP(C368,'2025'!C:C,'2025'!A:A,"")</f>
        <v/>
      </c>
      <c r="K368" s="6" t="str">
        <f>_xlfn.XLOOKUP(C368,'2025'!C:C,'2025'!B:B,"")</f>
        <v/>
      </c>
      <c r="L368" s="19" t="str">
        <f t="shared" si="21"/>
        <v/>
      </c>
      <c r="M368" s="16" cm="1">
        <f t="array" ref="M368">IFERROR(_xlfn.LET(
_xlpm.x,TRIM(C368),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68" s="16" t="b">
        <f t="shared" si="22"/>
        <v>0</v>
      </c>
    </row>
    <row r="369" spans="1:14" x14ac:dyDescent="0.25">
      <c r="A369" s="5" t="s">
        <v>404</v>
      </c>
      <c r="B369" s="16">
        <v>214</v>
      </c>
      <c r="C369" s="16" t="str">
        <v>Gibson - 406</v>
      </c>
      <c r="D369" s="6">
        <f>_xlfn.XLOOKUP(C369,'2023'!C:C,'2023'!A:A,"")</f>
        <v>45028.777083333</v>
      </c>
      <c r="E369" s="6" t="str">
        <f>_xlfn.XLOOKUP(C369,'2023'!C:C,'2023'!B:B,"")</f>
        <v>No Selection Time Issued</v>
      </c>
      <c r="F369" s="19">
        <f t="shared" si="23"/>
        <v>45028.777083333</v>
      </c>
      <c r="G369" s="6">
        <f>_xlfn.XLOOKUP(C369,'2024'!C:C,'2024'!A:A,"")</f>
        <v>45393.775000000001</v>
      </c>
      <c r="H369" s="6" t="str">
        <f>_xlfn.XLOOKUP(C370,'2024'!C:C,'2024'!B:B,"")</f>
        <v/>
      </c>
      <c r="I369" s="19">
        <f t="shared" si="20"/>
        <v>45393.775000000001</v>
      </c>
      <c r="J369" s="6">
        <f>_xlfn.XLOOKUP(C369,'2025'!C:C,'2025'!A:A,"")</f>
        <v>45757.785416667</v>
      </c>
      <c r="K369" s="6">
        <f>_xlfn.XLOOKUP(C369,'2025'!C:C,'2025'!B:B,"")</f>
        <v>45757.785416667</v>
      </c>
      <c r="L369" s="19">
        <f t="shared" si="21"/>
        <v>45757.785416667</v>
      </c>
      <c r="M369" s="16" cm="1">
        <f t="array" ref="M369">IFERROR(_xlfn.LET(
_xlpm.x,TRIM(C369),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69" s="16" t="b">
        <f t="shared" si="22"/>
        <v>0</v>
      </c>
    </row>
    <row r="370" spans="1:14" x14ac:dyDescent="0.25">
      <c r="A370" s="5" t="s">
        <v>404</v>
      </c>
      <c r="B370" s="16">
        <v>119</v>
      </c>
      <c r="C370" s="16" t="str">
        <v>Gibson - 407</v>
      </c>
      <c r="D370" s="6" t="str">
        <f>_xlfn.XLOOKUP(C370,'2023'!C:C,'2023'!A:A,"")</f>
        <v/>
      </c>
      <c r="E370" s="6" t="str">
        <f>_xlfn.XLOOKUP(C370,'2023'!C:C,'2023'!B:B,"")</f>
        <v/>
      </c>
      <c r="F370" s="19" t="str">
        <f t="shared" si="23"/>
        <v/>
      </c>
      <c r="G370" s="6" t="str">
        <f>_xlfn.XLOOKUP(C370,'2024'!C:C,'2024'!A:A,"")</f>
        <v/>
      </c>
      <c r="H370" s="6" t="str">
        <f>_xlfn.XLOOKUP(C371,'2024'!C:C,'2024'!B:B,"")</f>
        <v>No Selection Time Issued</v>
      </c>
      <c r="I370" s="19" t="str">
        <f t="shared" si="20"/>
        <v/>
      </c>
      <c r="J370" s="6">
        <f>_xlfn.XLOOKUP(C370,'2025'!C:C,'2025'!A:A,"")</f>
        <v>45756.793749999997</v>
      </c>
      <c r="K370" s="6" t="str">
        <f>_xlfn.XLOOKUP(C370,'2025'!C:C,'2025'!B:B,"")</f>
        <v>No Selection Time Issued</v>
      </c>
      <c r="L370" s="19">
        <f t="shared" si="21"/>
        <v>45756.793749999997</v>
      </c>
      <c r="M370" s="16" cm="1">
        <f t="array" ref="M370">IFERROR(_xlfn.LET(
_xlpm.x,TRIM(C370),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70" s="16" t="b">
        <f t="shared" si="22"/>
        <v>0</v>
      </c>
    </row>
    <row r="371" spans="1:14" x14ac:dyDescent="0.25">
      <c r="A371" s="5" t="s">
        <v>404</v>
      </c>
      <c r="B371" s="16">
        <v>196</v>
      </c>
      <c r="C371" s="16" t="str">
        <v>Gibson - 408</v>
      </c>
      <c r="D371" s="6">
        <f>_xlfn.XLOOKUP(C371,'2023'!C:C,'2023'!A:A,"")</f>
        <v>45029.745833333</v>
      </c>
      <c r="E371" s="6">
        <f>_xlfn.XLOOKUP(C371,'2023'!C:C,'2023'!B:B,"")</f>
        <v>45027.731249999997</v>
      </c>
      <c r="F371" s="19">
        <f t="shared" si="23"/>
        <v>45027.731249999997</v>
      </c>
      <c r="G371" s="6">
        <f>_xlfn.XLOOKUP(C371,'2024'!C:C,'2024'!A:A,"")</f>
        <v>45393.820833332997</v>
      </c>
      <c r="H371" s="6">
        <f>_xlfn.XLOOKUP(C372,'2024'!C:C,'2024'!B:B,"")</f>
        <v>45391.733333333003</v>
      </c>
      <c r="I371" s="19">
        <f t="shared" si="20"/>
        <v>45391.733333333003</v>
      </c>
      <c r="J371" s="6">
        <f>_xlfn.XLOOKUP(C371,'2025'!C:C,'2025'!A:A,"")</f>
        <v>45757.827083333003</v>
      </c>
      <c r="K371" s="6">
        <f>_xlfn.XLOOKUP(C371,'2025'!C:C,'2025'!B:B,"")</f>
        <v>45757.827083333003</v>
      </c>
      <c r="L371" s="19">
        <f t="shared" si="21"/>
        <v>45757.827083333003</v>
      </c>
      <c r="M371" s="16" cm="1">
        <f t="array" ref="M371">IFERROR(_xlfn.LET(
_xlpm.x,TRIM(C371),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1" s="16" t="b">
        <f t="shared" si="22"/>
        <v>0</v>
      </c>
    </row>
    <row r="372" spans="1:14" x14ac:dyDescent="0.25">
      <c r="A372" s="5" t="s">
        <v>49</v>
      </c>
      <c r="B372" s="16">
        <v>210</v>
      </c>
      <c r="C372" s="16" t="str">
        <v>Gibson - 409</v>
      </c>
      <c r="D372" s="6" t="str">
        <f>_xlfn.XLOOKUP(C372,'2023'!C:C,'2023'!A:A,"")</f>
        <v/>
      </c>
      <c r="E372" s="6" t="str">
        <f>_xlfn.XLOOKUP(C372,'2023'!C:C,'2023'!B:B,"")</f>
        <v/>
      </c>
      <c r="F372" s="19" t="str">
        <f t="shared" si="23"/>
        <v/>
      </c>
      <c r="G372" s="6">
        <f>_xlfn.XLOOKUP(C372,'2024'!C:C,'2024'!A:A,"")</f>
        <v>45392.866666667003</v>
      </c>
      <c r="H372" s="6">
        <f>_xlfn.XLOOKUP(C373,'2024'!C:C,'2024'!B:B,"")</f>
        <v>45391.724999999999</v>
      </c>
      <c r="I372" s="19">
        <f t="shared" si="20"/>
        <v>45391.724999999999</v>
      </c>
      <c r="J372" s="6">
        <f>_xlfn.XLOOKUP(C372,'2025'!C:C,'2025'!A:A,"")</f>
        <v>45757.783333332998</v>
      </c>
      <c r="K372" s="6">
        <f>_xlfn.XLOOKUP(C372,'2025'!C:C,'2025'!B:B,"")</f>
        <v>45757.775000000001</v>
      </c>
      <c r="L372" s="19">
        <f t="shared" si="21"/>
        <v>45757.775000000001</v>
      </c>
      <c r="M372" s="16" cm="1">
        <f t="array" ref="M372">IFERROR(_xlfn.LET(
_xlpm.x,TRIM(C372),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2" s="16" t="b">
        <f t="shared" si="22"/>
        <v>0</v>
      </c>
    </row>
    <row r="373" spans="1:14" x14ac:dyDescent="0.25">
      <c r="A373" s="5" t="s">
        <v>49</v>
      </c>
      <c r="B373" s="16">
        <v>222</v>
      </c>
      <c r="C373" s="16" t="str">
        <v>Gibson - 410</v>
      </c>
      <c r="D373" s="6">
        <f>_xlfn.XLOOKUP(C373,'2023'!C:C,'2023'!A:A,"")</f>
        <v>45029.841666667002</v>
      </c>
      <c r="E373" s="6">
        <f>_xlfn.XLOOKUP(C373,'2023'!C:C,'2023'!B:B,"")</f>
        <v>45027.71875</v>
      </c>
      <c r="F373" s="19">
        <f t="shared" si="23"/>
        <v>45027.71875</v>
      </c>
      <c r="G373" s="6">
        <f>_xlfn.XLOOKUP(C373,'2024'!C:C,'2024'!A:A,"")</f>
        <v>45392.831250000003</v>
      </c>
      <c r="H373" s="6" t="str">
        <f>_xlfn.XLOOKUP(C374,'2024'!C:C,'2024'!B:B,"")</f>
        <v/>
      </c>
      <c r="I373" s="19">
        <f t="shared" si="20"/>
        <v>45392.831250000003</v>
      </c>
      <c r="J373" s="6">
        <f>_xlfn.XLOOKUP(C373,'2025'!C:C,'2025'!A:A,"")</f>
        <v>45757.814583332998</v>
      </c>
      <c r="K373" s="6">
        <f>_xlfn.XLOOKUP(C373,'2025'!C:C,'2025'!B:B,"")</f>
        <v>45757.745833333</v>
      </c>
      <c r="L373" s="19">
        <f t="shared" si="21"/>
        <v>45757.745833333</v>
      </c>
      <c r="M373" s="16" cm="1">
        <f t="array" ref="M373">IFERROR(_xlfn.LET(
_xlpm.x,TRIM(C373),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3" s="16" t="b">
        <f t="shared" si="22"/>
        <v>0</v>
      </c>
    </row>
    <row r="374" spans="1:14" x14ac:dyDescent="0.25">
      <c r="A374" s="5" t="s">
        <v>49</v>
      </c>
      <c r="B374" s="16">
        <v>114</v>
      </c>
      <c r="C374" s="16" t="str">
        <v>Gibson - 411</v>
      </c>
      <c r="D374" s="6">
        <f>_xlfn.XLOOKUP(C374,'2023'!C:C,'2023'!A:A,"")</f>
        <v>45028.793749999997</v>
      </c>
      <c r="E374" s="6">
        <f>_xlfn.XLOOKUP(C374,'2023'!C:C,'2023'!B:B,"")</f>
        <v>45028.739583333001</v>
      </c>
      <c r="F374" s="19">
        <f t="shared" si="23"/>
        <v>45028.739583333001</v>
      </c>
      <c r="G374" s="6" t="str">
        <f>_xlfn.XLOOKUP(C374,'2024'!C:C,'2024'!A:A,"")</f>
        <v/>
      </c>
      <c r="H374" s="6" t="str">
        <f>_xlfn.XLOOKUP(C375,'2024'!C:C,'2024'!B:B,"")</f>
        <v>No Selection Time Issued</v>
      </c>
      <c r="I374" s="19" t="str">
        <f t="shared" si="20"/>
        <v/>
      </c>
      <c r="J374" s="6" t="str">
        <f>_xlfn.XLOOKUP(C374,'2025'!C:C,'2025'!A:A,"")</f>
        <v/>
      </c>
      <c r="K374" s="6" t="str">
        <f>_xlfn.XLOOKUP(C374,'2025'!C:C,'2025'!B:B,"")</f>
        <v/>
      </c>
      <c r="L374" s="19" t="str">
        <f t="shared" si="21"/>
        <v/>
      </c>
      <c r="M374" s="16" cm="1">
        <f t="array" ref="M374">IFERROR(_xlfn.LET(
_xlpm.x,TRIM(C374),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74" s="16" t="b">
        <f t="shared" si="22"/>
        <v>0</v>
      </c>
    </row>
    <row r="375" spans="1:14" x14ac:dyDescent="0.25">
      <c r="A375" s="5" t="s">
        <v>120</v>
      </c>
      <c r="B375" s="16">
        <v>195</v>
      </c>
      <c r="C375" s="16" t="str">
        <v>Gibson - 413</v>
      </c>
      <c r="D375" s="6">
        <f>_xlfn.XLOOKUP(C375,'2023'!C:C,'2023'!A:A,"")</f>
        <v>45029.75</v>
      </c>
      <c r="E375" s="6" t="str">
        <f>_xlfn.XLOOKUP(C375,'2023'!C:C,'2023'!B:B,"")</f>
        <v>No Selection Time Issued</v>
      </c>
      <c r="F375" s="19">
        <f t="shared" si="23"/>
        <v>45029.75</v>
      </c>
      <c r="G375" s="6">
        <f>_xlfn.XLOOKUP(C375,'2024'!C:C,'2024'!A:A,"")</f>
        <v>45393.797916666997</v>
      </c>
      <c r="H375" s="6" t="str">
        <f>_xlfn.XLOOKUP(C376,'2024'!C:C,'2024'!B:B,"")</f>
        <v>No Selection Time Issued</v>
      </c>
      <c r="I375" s="19">
        <f t="shared" si="20"/>
        <v>45393.797916666997</v>
      </c>
      <c r="J375" s="6">
        <f>_xlfn.XLOOKUP(C375,'2025'!C:C,'2025'!A:A,"")</f>
        <v>45757.8</v>
      </c>
      <c r="K375" s="6">
        <f>_xlfn.XLOOKUP(C375,'2025'!C:C,'2025'!B:B,"")</f>
        <v>45757.8</v>
      </c>
      <c r="L375" s="19">
        <f t="shared" si="21"/>
        <v>45757.8</v>
      </c>
      <c r="M375" s="16" cm="1">
        <f t="array" ref="M375">IFERROR(_xlfn.LET(
_xlpm.x,TRIM(C375),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5" s="16" t="b">
        <f t="shared" si="22"/>
        <v>0</v>
      </c>
    </row>
    <row r="376" spans="1:14" x14ac:dyDescent="0.25">
      <c r="A376" s="5" t="s">
        <v>120</v>
      </c>
      <c r="B376" s="16">
        <v>195</v>
      </c>
      <c r="C376" s="16" t="str">
        <v>Gibson - 414</v>
      </c>
      <c r="D376" s="6">
        <f>_xlfn.XLOOKUP(C376,'2023'!C:C,'2023'!A:A,"")</f>
        <v>45029.820833332997</v>
      </c>
      <c r="E376" s="6" t="str">
        <f>_xlfn.XLOOKUP(C376,'2023'!C:C,'2023'!B:B,"")</f>
        <v>No Selection Time Issued</v>
      </c>
      <c r="F376" s="19">
        <f t="shared" si="23"/>
        <v>45029.820833332997</v>
      </c>
      <c r="G376" s="6">
        <f>_xlfn.XLOOKUP(C376,'2024'!C:C,'2024'!A:A,"")</f>
        <v>45393.791666666999</v>
      </c>
      <c r="H376" s="6">
        <f>_xlfn.XLOOKUP(C377,'2024'!C:C,'2024'!B:B,"")</f>
        <v>45391.716666667002</v>
      </c>
      <c r="I376" s="19">
        <f t="shared" si="20"/>
        <v>45391.716666667002</v>
      </c>
      <c r="J376" s="6">
        <f>_xlfn.XLOOKUP(C376,'2025'!C:C,'2025'!A:A,"")</f>
        <v>45757.827083333003</v>
      </c>
      <c r="K376" s="6">
        <f>_xlfn.XLOOKUP(C376,'2025'!C:C,'2025'!B:B,"")</f>
        <v>45757.743750000001</v>
      </c>
      <c r="L376" s="19">
        <f t="shared" si="21"/>
        <v>45757.743750000001</v>
      </c>
      <c r="M376" s="16" cm="1">
        <f t="array" ref="M376">IFERROR(_xlfn.LET(
_xlpm.x,TRIM(C376),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6" s="16" t="b">
        <f t="shared" si="22"/>
        <v>0</v>
      </c>
    </row>
    <row r="377" spans="1:14" x14ac:dyDescent="0.25">
      <c r="A377" s="5" t="s">
        <v>120</v>
      </c>
      <c r="B377" s="16">
        <v>129</v>
      </c>
      <c r="C377" s="16" t="str">
        <v>Gibson - 415</v>
      </c>
      <c r="D377" s="6" t="str">
        <f>_xlfn.XLOOKUP(C377,'2023'!C:C,'2023'!A:A,"")</f>
        <v/>
      </c>
      <c r="E377" s="6" t="str">
        <f>_xlfn.XLOOKUP(C377,'2023'!C:C,'2023'!B:B,"")</f>
        <v/>
      </c>
      <c r="F377" s="19" t="str">
        <f t="shared" si="23"/>
        <v/>
      </c>
      <c r="G377" s="6">
        <f>_xlfn.XLOOKUP(C377,'2024'!C:C,'2024'!A:A,"")</f>
        <v>45392.731249999997</v>
      </c>
      <c r="H377" s="6">
        <f>_xlfn.XLOOKUP(C378,'2024'!C:C,'2024'!B:B,"")</f>
        <v>45393.747916667002</v>
      </c>
      <c r="I377" s="19">
        <f t="shared" si="20"/>
        <v>45392.731249999997</v>
      </c>
      <c r="J377" s="6" t="str">
        <f>_xlfn.XLOOKUP(C377,'2025'!C:C,'2025'!A:A,"")</f>
        <v/>
      </c>
      <c r="K377" s="6" t="str">
        <f>_xlfn.XLOOKUP(C377,'2025'!C:C,'2025'!B:B,"")</f>
        <v/>
      </c>
      <c r="L377" s="19" t="str">
        <f t="shared" si="21"/>
        <v/>
      </c>
      <c r="M377" s="16" cm="1">
        <f t="array" ref="M377">IFERROR(_xlfn.LET(
_xlpm.x,TRIM(C377),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77" s="16" t="b">
        <f t="shared" si="22"/>
        <v>0</v>
      </c>
    </row>
    <row r="378" spans="1:14" x14ac:dyDescent="0.25">
      <c r="A378" s="5" t="s">
        <v>374</v>
      </c>
      <c r="B378" s="16">
        <v>225</v>
      </c>
      <c r="C378" s="16" t="str">
        <v>Gibson - 416</v>
      </c>
      <c r="D378" s="6">
        <f>_xlfn.XLOOKUP(C378,'2023'!C:C,'2023'!A:A,"")</f>
        <v>45029.716666667002</v>
      </c>
      <c r="E378" s="6">
        <f>_xlfn.XLOOKUP(C378,'2023'!C:C,'2023'!B:B,"")</f>
        <v>45027.762499999997</v>
      </c>
      <c r="F378" s="19">
        <f t="shared" si="23"/>
        <v>45027.762499999997</v>
      </c>
      <c r="G378" s="6">
        <f>_xlfn.XLOOKUP(C378,'2024'!C:C,'2024'!A:A,"")</f>
        <v>45392.845833332998</v>
      </c>
      <c r="H378" s="6">
        <f>_xlfn.XLOOKUP(C379,'2024'!C:C,'2024'!B:B,"")</f>
        <v>45391.731249999997</v>
      </c>
      <c r="I378" s="19">
        <f t="shared" si="20"/>
        <v>45391.731249999997</v>
      </c>
      <c r="J378" s="6">
        <f>_xlfn.XLOOKUP(C378,'2025'!C:C,'2025'!A:A,"")</f>
        <v>45757.802083333001</v>
      </c>
      <c r="K378" s="6">
        <f>_xlfn.XLOOKUP(C378,'2025'!C:C,'2025'!B:B,"")</f>
        <v>45757.739583333001</v>
      </c>
      <c r="L378" s="19">
        <f t="shared" si="21"/>
        <v>45757.739583333001</v>
      </c>
      <c r="M378" s="16" cm="1">
        <f t="array" ref="M378">IFERROR(_xlfn.LET(
_xlpm.x,TRIM(C378),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78" s="16" t="b">
        <f t="shared" si="22"/>
        <v>0</v>
      </c>
    </row>
    <row r="379" spans="1:14" x14ac:dyDescent="0.25">
      <c r="A379" s="5" t="s">
        <v>374</v>
      </c>
      <c r="B379" s="16">
        <v>129</v>
      </c>
      <c r="C379" s="16" t="str">
        <v>Gibson - 417</v>
      </c>
      <c r="D379" s="6" t="str">
        <f>_xlfn.XLOOKUP(C379,'2023'!C:C,'2023'!A:A,"")</f>
        <v/>
      </c>
      <c r="E379" s="6" t="str">
        <f>_xlfn.XLOOKUP(C379,'2023'!C:C,'2023'!B:B,"")</f>
        <v/>
      </c>
      <c r="F379" s="19" t="str">
        <f t="shared" si="23"/>
        <v/>
      </c>
      <c r="G379" s="6">
        <f>_xlfn.XLOOKUP(C379,'2024'!C:C,'2024'!A:A,"")</f>
        <v>45392.741666667003</v>
      </c>
      <c r="H379" s="6">
        <f>_xlfn.XLOOKUP(C380,'2024'!C:C,'2024'!B:B,"")</f>
        <v>45391.720833332998</v>
      </c>
      <c r="I379" s="19">
        <f t="shared" si="20"/>
        <v>45391.720833332998</v>
      </c>
      <c r="J379" s="6">
        <f>_xlfn.XLOOKUP(C379,'2025'!C:C,'2025'!A:A,"")</f>
        <v>45756.772916667003</v>
      </c>
      <c r="K379" s="6" t="str">
        <f>_xlfn.XLOOKUP(C379,'2025'!C:C,'2025'!B:B,"")</f>
        <v>No Selection Time Issued</v>
      </c>
      <c r="L379" s="19">
        <f t="shared" si="21"/>
        <v>45756.772916667003</v>
      </c>
      <c r="M379" s="16" cm="1">
        <f t="array" ref="M379">IFERROR(_xlfn.LET(
_xlpm.x,TRIM(C379),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79" s="16" t="b">
        <f t="shared" si="22"/>
        <v>0</v>
      </c>
    </row>
    <row r="380" spans="1:14" x14ac:dyDescent="0.25">
      <c r="A380" s="5" t="s">
        <v>374</v>
      </c>
      <c r="B380" s="16">
        <v>205</v>
      </c>
      <c r="C380" s="16" t="str">
        <v>Gibson - 418</v>
      </c>
      <c r="D380" s="6">
        <f>_xlfn.XLOOKUP(C380,'2023'!C:C,'2023'!A:A,"")</f>
        <v>45029.722916667</v>
      </c>
      <c r="E380" s="6">
        <f>_xlfn.XLOOKUP(C380,'2023'!C:C,'2023'!B:B,"")</f>
        <v>45027.743750000001</v>
      </c>
      <c r="F380" s="19">
        <f t="shared" si="23"/>
        <v>45027.743750000001</v>
      </c>
      <c r="G380" s="6">
        <f>_xlfn.XLOOKUP(C380,'2024'!C:C,'2024'!A:A,"")</f>
        <v>45392.831250000003</v>
      </c>
      <c r="H380" s="6" t="str">
        <f>_xlfn.XLOOKUP(C381,'2024'!C:C,'2024'!B:B,"")</f>
        <v/>
      </c>
      <c r="I380" s="19">
        <f t="shared" si="20"/>
        <v>45392.831250000003</v>
      </c>
      <c r="J380" s="6">
        <f>_xlfn.XLOOKUP(C380,'2025'!C:C,'2025'!A:A,"")</f>
        <v>45756.818749999999</v>
      </c>
      <c r="K380" s="6">
        <f>_xlfn.XLOOKUP(C380,'2025'!C:C,'2025'!B:B,"")</f>
        <v>45756.818749999999</v>
      </c>
      <c r="L380" s="19">
        <f t="shared" si="21"/>
        <v>45756.818749999999</v>
      </c>
      <c r="M380" s="16" cm="1">
        <f t="array" ref="M380">IFERROR(_xlfn.LET(
_xlpm.x,TRIM(C380),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0" s="16" t="b">
        <f t="shared" si="22"/>
        <v>0</v>
      </c>
    </row>
    <row r="381" spans="1:14" x14ac:dyDescent="0.25">
      <c r="A381" s="5" t="s">
        <v>692</v>
      </c>
      <c r="B381" s="16">
        <v>210</v>
      </c>
      <c r="C381" s="16" t="str">
        <v>Gibson - 419</v>
      </c>
      <c r="D381" s="6">
        <f>_xlfn.XLOOKUP(C381,'2023'!C:C,'2023'!A:A,"")</f>
        <v>45027.779166667002</v>
      </c>
      <c r="E381" s="6" t="str">
        <f>_xlfn.XLOOKUP(C381,'2023'!C:C,'2023'!B:B,"")</f>
        <v>No Selection Time Issued</v>
      </c>
      <c r="F381" s="19">
        <f t="shared" si="23"/>
        <v>45027.779166667002</v>
      </c>
      <c r="G381" s="6" t="str">
        <f>_xlfn.XLOOKUP(C381,'2024'!C:C,'2024'!A:A,"")</f>
        <v/>
      </c>
      <c r="H381" s="6">
        <f>_xlfn.XLOOKUP(C382,'2024'!C:C,'2024'!B:B,"")</f>
        <v>45391.737500000003</v>
      </c>
      <c r="I381" s="19">
        <f t="shared" si="20"/>
        <v>45391.737500000003</v>
      </c>
      <c r="J381" s="6">
        <f>_xlfn.XLOOKUP(C381,'2025'!C:C,'2025'!A:A,"")</f>
        <v>45757.816666667</v>
      </c>
      <c r="K381" s="6">
        <f>_xlfn.XLOOKUP(C381,'2025'!C:C,'2025'!B:B,"")</f>
        <v>45757.760416666999</v>
      </c>
      <c r="L381" s="19">
        <f t="shared" si="21"/>
        <v>45757.760416666999</v>
      </c>
      <c r="M381" s="16" cm="1">
        <f t="array" ref="M381">IFERROR(_xlfn.LET(
_xlpm.x,TRIM(C381),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1" s="16" t="b">
        <f t="shared" si="22"/>
        <v>0</v>
      </c>
    </row>
    <row r="382" spans="1:14" x14ac:dyDescent="0.25">
      <c r="A382" s="5" t="s">
        <v>692</v>
      </c>
      <c r="B382" s="16">
        <v>210</v>
      </c>
      <c r="C382" s="16" t="str">
        <v>Gibson - 420</v>
      </c>
      <c r="D382" s="6">
        <f>_xlfn.XLOOKUP(C382,'2023'!C:C,'2023'!A:A,"")</f>
        <v>45028.837500000001</v>
      </c>
      <c r="E382" s="6">
        <f>_xlfn.XLOOKUP(C382,'2023'!C:C,'2023'!B:B,"")</f>
        <v>45027.866666667003</v>
      </c>
      <c r="F382" s="19">
        <f t="shared" si="23"/>
        <v>45027.866666667003</v>
      </c>
      <c r="G382" s="6">
        <f>_xlfn.XLOOKUP(C382,'2024'!C:C,'2024'!A:A,"")</f>
        <v>45391.727083332997</v>
      </c>
      <c r="H382" s="6">
        <f>_xlfn.XLOOKUP(C383,'2024'!C:C,'2024'!B:B,"")</f>
        <v>45392.800000000003</v>
      </c>
      <c r="I382" s="19">
        <f t="shared" si="20"/>
        <v>45391.727083332997</v>
      </c>
      <c r="J382" s="6">
        <f>_xlfn.XLOOKUP(C382,'2025'!C:C,'2025'!A:A,"")</f>
        <v>45757.722916667</v>
      </c>
      <c r="K382" s="6">
        <f>_xlfn.XLOOKUP(C382,'2025'!C:C,'2025'!B:B,"")</f>
        <v>45757.722916667</v>
      </c>
      <c r="L382" s="19">
        <f t="shared" si="21"/>
        <v>45757.722916667</v>
      </c>
      <c r="M382" s="16" cm="1">
        <f t="array" ref="M382">IFERROR(_xlfn.LET(
_xlpm.x,TRIM(C382),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2" s="16" t="b">
        <f t="shared" si="22"/>
        <v>0</v>
      </c>
    </row>
    <row r="383" spans="1:14" x14ac:dyDescent="0.25">
      <c r="A383" s="5" t="s">
        <v>692</v>
      </c>
      <c r="B383" s="16">
        <v>204</v>
      </c>
      <c r="C383" s="16" t="str">
        <v>Gibson - 421</v>
      </c>
      <c r="D383" s="6">
        <f>_xlfn.XLOOKUP(C383,'2023'!C:C,'2023'!A:A,"")</f>
        <v>45029.791666666999</v>
      </c>
      <c r="E383" s="6" t="str">
        <f>_xlfn.XLOOKUP(C383,'2023'!C:C,'2023'!B:B,"")</f>
        <v>No Selection Time Issued</v>
      </c>
      <c r="F383" s="19">
        <f t="shared" si="23"/>
        <v>45029.791666666999</v>
      </c>
      <c r="G383" s="6">
        <f>_xlfn.XLOOKUP(C383,'2024'!C:C,'2024'!A:A,"")</f>
        <v>45393.833333333001</v>
      </c>
      <c r="H383" s="6">
        <f>_xlfn.XLOOKUP(C384,'2024'!C:C,'2024'!B:B,"")</f>
        <v>45391.745833333</v>
      </c>
      <c r="I383" s="19">
        <f t="shared" si="20"/>
        <v>45391.745833333</v>
      </c>
      <c r="J383" s="6">
        <f>_xlfn.XLOOKUP(C383,'2025'!C:C,'2025'!A:A,"")</f>
        <v>45757.789583332997</v>
      </c>
      <c r="K383" s="6">
        <f>_xlfn.XLOOKUP(C383,'2025'!C:C,'2025'!B:B,"")</f>
        <v>45757.789583332997</v>
      </c>
      <c r="L383" s="19">
        <f t="shared" si="21"/>
        <v>45757.789583332997</v>
      </c>
      <c r="M383" s="16" cm="1">
        <f t="array" ref="M383">IFERROR(_xlfn.LET(
_xlpm.x,TRIM(C383),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3" s="16" t="b">
        <f t="shared" si="22"/>
        <v>0</v>
      </c>
    </row>
    <row r="384" spans="1:14" x14ac:dyDescent="0.25">
      <c r="A384" s="5" t="s">
        <v>143</v>
      </c>
      <c r="B384" s="16">
        <v>280</v>
      </c>
      <c r="C384" s="16" t="str">
        <v>Harwood - 9</v>
      </c>
      <c r="D384" s="6">
        <f>_xlfn.XLOOKUP(C384,'2023'!C:C,'2023'!A:A,"")</f>
        <v>45029.743750000001</v>
      </c>
      <c r="E384" s="6">
        <f>_xlfn.XLOOKUP(C384,'2023'!C:C,'2023'!B:B,"")</f>
        <v>45028.710416667003</v>
      </c>
      <c r="F384" s="19">
        <f t="shared" si="23"/>
        <v>45028.710416667003</v>
      </c>
      <c r="G384" s="6">
        <f>_xlfn.XLOOKUP(C384,'2024'!C:C,'2024'!A:A,"")</f>
        <v>45393.727083332997</v>
      </c>
      <c r="H384" s="6" t="str">
        <f>_xlfn.XLOOKUP(C385,'2024'!C:C,'2024'!B:B,"")</f>
        <v>No Selection Time Issued</v>
      </c>
      <c r="I384" s="19">
        <f t="shared" si="20"/>
        <v>45393.727083332997</v>
      </c>
      <c r="J384" s="6">
        <f>_xlfn.XLOOKUP(C384,'2025'!C:C,'2025'!A:A,"")</f>
        <v>45757.837500000001</v>
      </c>
      <c r="K384" s="6">
        <f>_xlfn.XLOOKUP(C384,'2025'!C:C,'2025'!B:B,"")</f>
        <v>45757.729166666999</v>
      </c>
      <c r="L384" s="19">
        <f t="shared" si="21"/>
        <v>45757.729166666999</v>
      </c>
      <c r="M384" s="16" cm="1">
        <f t="array" ref="M384">IFERROR(_xlfn.LET(
_xlpm.x,TRIM(C384),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84" s="16" t="b">
        <f t="shared" si="22"/>
        <v>0</v>
      </c>
    </row>
    <row r="385" spans="1:14" x14ac:dyDescent="0.25">
      <c r="A385" s="5" t="s">
        <v>143</v>
      </c>
      <c r="B385" s="16">
        <v>158</v>
      </c>
      <c r="C385" s="16" t="str">
        <v>Harwood - 65</v>
      </c>
      <c r="D385" s="6">
        <f>_xlfn.XLOOKUP(C385,'2023'!C:C,'2023'!A:A,"")</f>
        <v>45029.743750000001</v>
      </c>
      <c r="E385" s="6">
        <f>_xlfn.XLOOKUP(C385,'2023'!C:C,'2023'!B:B,"")</f>
        <v>45027.885416666999</v>
      </c>
      <c r="F385" s="19">
        <f t="shared" si="23"/>
        <v>45027.885416666999</v>
      </c>
      <c r="G385" s="6">
        <f>_xlfn.XLOOKUP(C385,'2024'!C:C,'2024'!A:A,"")</f>
        <v>45393.766666666997</v>
      </c>
      <c r="H385" s="6" t="str">
        <f>_xlfn.XLOOKUP(C386,'2024'!C:C,'2024'!B:B,"")</f>
        <v>No Selection Time Issued</v>
      </c>
      <c r="I385" s="19">
        <f t="shared" si="20"/>
        <v>45393.766666666997</v>
      </c>
      <c r="J385" s="6">
        <f>_xlfn.XLOOKUP(C385,'2025'!C:C,'2025'!A:A,"")</f>
        <v>45757.722916667</v>
      </c>
      <c r="K385" s="6" t="str">
        <f>_xlfn.XLOOKUP(C385,'2025'!C:C,'2025'!B:B,"")</f>
        <v>No Selection Time Issued</v>
      </c>
      <c r="L385" s="19">
        <f t="shared" si="21"/>
        <v>45757.722916667</v>
      </c>
      <c r="M385" s="16" cm="1">
        <f t="array" ref="M385">IFERROR(_xlfn.LET(
_xlpm.x,TRIM(C385),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85" s="16" t="b">
        <f t="shared" si="22"/>
        <v>0</v>
      </c>
    </row>
    <row r="386" spans="1:14" x14ac:dyDescent="0.25">
      <c r="A386" s="5" t="s">
        <v>143</v>
      </c>
      <c r="B386" s="16">
        <v>114</v>
      </c>
      <c r="C386" s="16" t="str">
        <v>Harwood - 67</v>
      </c>
      <c r="D386" s="6">
        <f>_xlfn.XLOOKUP(C386,'2023'!C:C,'2023'!A:A,"")</f>
        <v>45029.797916666997</v>
      </c>
      <c r="E386" s="6" t="str">
        <f>_xlfn.XLOOKUP(C386,'2023'!C:C,'2023'!B:B,"")</f>
        <v>No Selection Time Issued</v>
      </c>
      <c r="F386" s="19">
        <f t="shared" si="23"/>
        <v>45029.797916666997</v>
      </c>
      <c r="G386" s="6">
        <f>_xlfn.XLOOKUP(C386,'2024'!C:C,'2024'!A:A,"")</f>
        <v>45393.772916667003</v>
      </c>
      <c r="H386" s="6" t="str">
        <f>_xlfn.XLOOKUP(C387,'2024'!C:C,'2024'!B:B,"")</f>
        <v>No Selection Time Issued</v>
      </c>
      <c r="I386" s="19">
        <f t="shared" ref="I386:I449" si="24">_xlfn.LET(
_xlpm.ind,G386,
_xlpm.grp,H386,
IF(AND(NOT(ISNUMBER(_xlpm.ind)),NOT(ISNUMBER(_xlpm.grp))),"",
MIN(IF(ISNUMBER(_xlpm.ind),_xlpm.ind,1E+99),IF(ISNUMBER(_xlpm.grp),_xlpm.grp,1E+99))
)
)</f>
        <v>45393.772916667003</v>
      </c>
      <c r="J386" s="6">
        <f>_xlfn.XLOOKUP(C386,'2025'!C:C,'2025'!A:A,"")</f>
        <v>45757.724999999999</v>
      </c>
      <c r="K386" s="6" t="str">
        <f>_xlfn.XLOOKUP(C386,'2025'!C:C,'2025'!B:B,"")</f>
        <v>No Selection Time Issued</v>
      </c>
      <c r="L386" s="19">
        <f t="shared" ref="L386:L449" si="25">_xlfn.LET(_xlpm.ind,J386,_xlpm.grp,K386,IF(AND(NOT(ISNUMBER(_xlpm.ind)),NOT(ISNUMBER(_xlpm.grp))),"",MIN(IF(ISNUMBER(_xlpm.ind),_xlpm.ind,1E+99),IF(ISNUMBER(_xlpm.grp),_xlpm.grp,1E+99))))</f>
        <v>45757.724999999999</v>
      </c>
      <c r="M386" s="16" cm="1">
        <f t="array" ref="M386">IFERROR(_xlfn.LET(
_xlpm.x,TRIM(C386),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86" s="16" t="b">
        <f t="shared" ref="N386:N449" si="26">OR(_xlfn.TEXTBEFORE(C386," - ")="Blaisdell",_xlfn.TEXTBEFORE(C386," - ")="Mudd",_xlfn.TEXTBEFORE(C386," - ")="Dialynas",_xlfn.TEXTBEFORE(C386," - ")="Sontag")</f>
        <v>0</v>
      </c>
    </row>
    <row r="387" spans="1:14" x14ac:dyDescent="0.25">
      <c r="A387" s="5" t="s">
        <v>538</v>
      </c>
      <c r="B387" s="16">
        <v>126</v>
      </c>
      <c r="C387" s="16" t="str">
        <v>Harwood - 69</v>
      </c>
      <c r="D387" s="6">
        <f>_xlfn.XLOOKUP(C387,'2023'!C:C,'2023'!A:A,"")</f>
        <v>45029.793749999997</v>
      </c>
      <c r="E387" s="6">
        <f>_xlfn.XLOOKUP(C387,'2023'!C:C,'2023'!B:B,"")</f>
        <v>45028.735416666997</v>
      </c>
      <c r="F387" s="19">
        <f t="shared" ref="F387:F450" si="27">_xlfn.LET(
_xlpm.ind,D387,
_xlpm.grp,E387,
IF(AND(NOT(ISNUMBER(_xlpm.ind)),NOT(ISNUMBER(_xlpm.grp))),"",
MIN(IF(ISNUMBER(_xlpm.ind),_xlpm.ind,1E+99),IF(ISNUMBER(_xlpm.grp),_xlpm.grp,1E+99))
)
)</f>
        <v>45028.735416666997</v>
      </c>
      <c r="G387" s="6">
        <f>_xlfn.XLOOKUP(C387,'2024'!C:C,'2024'!A:A,"")</f>
        <v>45393.766666666997</v>
      </c>
      <c r="H387" s="6" t="str">
        <f>_xlfn.XLOOKUP(C388,'2024'!C:C,'2024'!B:B,"")</f>
        <v>No Selection Time Issued</v>
      </c>
      <c r="I387" s="19">
        <f t="shared" si="24"/>
        <v>45393.766666666997</v>
      </c>
      <c r="J387" s="6">
        <f>_xlfn.XLOOKUP(C387,'2025'!C:C,'2025'!A:A,"")</f>
        <v>45757.747916667002</v>
      </c>
      <c r="K387" s="6" t="str">
        <f>_xlfn.XLOOKUP(C387,'2025'!C:C,'2025'!B:B,"")</f>
        <v>No Selection Time Issued</v>
      </c>
      <c r="L387" s="19">
        <f t="shared" si="25"/>
        <v>45757.747916667002</v>
      </c>
      <c r="M387" s="16" cm="1">
        <f t="array" ref="M387">IFERROR(_xlfn.LET(
_xlpm.x,TRIM(C387),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87" s="16" t="b">
        <f t="shared" si="26"/>
        <v>0</v>
      </c>
    </row>
    <row r="388" spans="1:14" x14ac:dyDescent="0.25">
      <c r="A388" s="5" t="s">
        <v>538</v>
      </c>
      <c r="B388" s="16">
        <v>147</v>
      </c>
      <c r="C388" s="16" t="str">
        <v>Harwood - 71</v>
      </c>
      <c r="D388" s="6">
        <f>_xlfn.XLOOKUP(C388,'2023'!C:C,'2023'!A:A,"")</f>
        <v>45029.779166667002</v>
      </c>
      <c r="E388" s="6" t="str">
        <f>_xlfn.XLOOKUP(C388,'2023'!C:C,'2023'!B:B,"")</f>
        <v>No Selection Time Issued</v>
      </c>
      <c r="F388" s="19">
        <f t="shared" si="27"/>
        <v>45029.779166667002</v>
      </c>
      <c r="G388" s="6">
        <f>_xlfn.XLOOKUP(C388,'2024'!C:C,'2024'!A:A,"")</f>
        <v>45393.71875</v>
      </c>
      <c r="H388" s="6" t="str">
        <f>_xlfn.XLOOKUP(C389,'2024'!C:C,'2024'!B:B,"")</f>
        <v>No Selection Time Issued</v>
      </c>
      <c r="I388" s="19">
        <f t="shared" si="24"/>
        <v>45393.71875</v>
      </c>
      <c r="J388" s="6">
        <f>_xlfn.XLOOKUP(C388,'2025'!C:C,'2025'!A:A,"")</f>
        <v>45757.747916667002</v>
      </c>
      <c r="K388" s="6" t="str">
        <f>_xlfn.XLOOKUP(C388,'2025'!C:C,'2025'!B:B,"")</f>
        <v>No Selection Time Issued</v>
      </c>
      <c r="L388" s="19">
        <f t="shared" si="25"/>
        <v>45757.747916667002</v>
      </c>
      <c r="M388" s="16" cm="1">
        <f t="array" ref="M388">IFERROR(_xlfn.LET(
_xlpm.x,TRIM(C388),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88" s="16" t="b">
        <f t="shared" si="26"/>
        <v>0</v>
      </c>
    </row>
    <row r="389" spans="1:14" x14ac:dyDescent="0.25">
      <c r="A389" s="5" t="s">
        <v>24</v>
      </c>
      <c r="B389" s="16">
        <v>147</v>
      </c>
      <c r="C389" s="16" t="str">
        <v>Harwood - 73</v>
      </c>
      <c r="D389" s="6">
        <f>_xlfn.XLOOKUP(C389,'2023'!C:C,'2023'!A:A,"")</f>
        <v>45029.758333332997</v>
      </c>
      <c r="E389" s="6">
        <f>_xlfn.XLOOKUP(C389,'2023'!C:C,'2023'!B:B,"")</f>
        <v>45028.720833332998</v>
      </c>
      <c r="F389" s="19">
        <f t="shared" si="27"/>
        <v>45028.720833332998</v>
      </c>
      <c r="G389" s="6">
        <f>_xlfn.XLOOKUP(C389,'2024'!C:C,'2024'!A:A,"")</f>
        <v>45393.78125</v>
      </c>
      <c r="H389" s="6" t="str">
        <f>_xlfn.XLOOKUP(C390,'2024'!C:C,'2024'!B:B,"")</f>
        <v>No Selection Time Issued</v>
      </c>
      <c r="I389" s="19">
        <f t="shared" si="24"/>
        <v>45393.78125</v>
      </c>
      <c r="J389" s="6">
        <f>_xlfn.XLOOKUP(C389,'2025'!C:C,'2025'!A:A,"")</f>
        <v>45757.727083332997</v>
      </c>
      <c r="K389" s="6" t="str">
        <f>_xlfn.XLOOKUP(C389,'2025'!C:C,'2025'!B:B,"")</f>
        <v>No Selection Time Issued</v>
      </c>
      <c r="L389" s="19">
        <f t="shared" si="25"/>
        <v>45757.727083332997</v>
      </c>
      <c r="M389" s="16" cm="1">
        <f t="array" ref="M389">IFERROR(_xlfn.LET(
_xlpm.x,TRIM(C389),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89" s="16" t="b">
        <f t="shared" si="26"/>
        <v>0</v>
      </c>
    </row>
    <row r="390" spans="1:14" x14ac:dyDescent="0.25">
      <c r="A390" s="5" t="s">
        <v>24</v>
      </c>
      <c r="B390" s="16">
        <v>147</v>
      </c>
      <c r="C390" s="16" t="str">
        <v>Harwood - 75</v>
      </c>
      <c r="D390" s="6">
        <f>_xlfn.XLOOKUP(C390,'2023'!C:C,'2023'!A:A,"")</f>
        <v>45029.752083332998</v>
      </c>
      <c r="E390" s="6" t="str">
        <f>_xlfn.XLOOKUP(C390,'2023'!C:C,'2023'!B:B,"")</f>
        <v>No Selection Time Issued</v>
      </c>
      <c r="F390" s="19">
        <f t="shared" si="27"/>
        <v>45029.752083332998</v>
      </c>
      <c r="G390" s="6">
        <f>_xlfn.XLOOKUP(C390,'2024'!C:C,'2024'!A:A,"")</f>
        <v>45393.743750000001</v>
      </c>
      <c r="H390" s="6">
        <f>_xlfn.XLOOKUP(C391,'2024'!C:C,'2024'!B:B,"")</f>
        <v>45392.724999999999</v>
      </c>
      <c r="I390" s="19">
        <f t="shared" si="24"/>
        <v>45392.724999999999</v>
      </c>
      <c r="J390" s="6">
        <f>_xlfn.XLOOKUP(C390,'2025'!C:C,'2025'!A:A,"")</f>
        <v>45757.724999999999</v>
      </c>
      <c r="K390" s="6" t="str">
        <f>_xlfn.XLOOKUP(C390,'2025'!C:C,'2025'!B:B,"")</f>
        <v>No Selection Time Issued</v>
      </c>
      <c r="L390" s="19">
        <f t="shared" si="25"/>
        <v>45757.724999999999</v>
      </c>
      <c r="M390" s="16" cm="1">
        <f t="array" ref="M390">IFERROR(_xlfn.LET(
_xlpm.x,TRIM(C390),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0" s="16" t="b">
        <f t="shared" si="26"/>
        <v>0</v>
      </c>
    </row>
    <row r="391" spans="1:14" x14ac:dyDescent="0.25">
      <c r="A391" s="5" t="s">
        <v>24</v>
      </c>
      <c r="B391" s="16">
        <v>147</v>
      </c>
      <c r="C391" s="16" t="str">
        <v>Harwood - 77</v>
      </c>
      <c r="D391" s="6">
        <f>_xlfn.XLOOKUP(C391,'2023'!C:C,'2023'!A:A,"")</f>
        <v>45029.770833333001</v>
      </c>
      <c r="E391" s="6">
        <f>_xlfn.XLOOKUP(C391,'2023'!C:C,'2023'!B:B,"")</f>
        <v>45028.745833333</v>
      </c>
      <c r="F391" s="19">
        <f t="shared" si="27"/>
        <v>45028.745833333</v>
      </c>
      <c r="G391" s="6">
        <f>_xlfn.XLOOKUP(C391,'2024'!C:C,'2024'!A:A,"")</f>
        <v>45393.733333333003</v>
      </c>
      <c r="H391" s="6" t="str">
        <f>_xlfn.XLOOKUP(C392,'2024'!C:C,'2024'!B:B,"")</f>
        <v>No Selection Time Issued</v>
      </c>
      <c r="I391" s="19">
        <f t="shared" si="24"/>
        <v>45393.733333333003</v>
      </c>
      <c r="J391" s="6">
        <f>_xlfn.XLOOKUP(C391,'2025'!C:C,'2025'!A:A,"")</f>
        <v>45757.71875</v>
      </c>
      <c r="K391" s="6" t="str">
        <f>_xlfn.XLOOKUP(C391,'2025'!C:C,'2025'!B:B,"")</f>
        <v>No Selection Time Issued</v>
      </c>
      <c r="L391" s="19">
        <f t="shared" si="25"/>
        <v>45757.71875</v>
      </c>
      <c r="M391" s="16" cm="1">
        <f t="array" ref="M391">IFERROR(_xlfn.LET(
_xlpm.x,TRIM(C391),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1" s="16" t="b">
        <f t="shared" si="26"/>
        <v>0</v>
      </c>
    </row>
    <row r="392" spans="1:14" x14ac:dyDescent="0.25">
      <c r="A392" s="5" t="s">
        <v>24</v>
      </c>
      <c r="B392" s="16">
        <v>153</v>
      </c>
      <c r="C392" s="16" t="str">
        <v>Harwood - 79</v>
      </c>
      <c r="D392" s="6">
        <f>_xlfn.XLOOKUP(C392,'2023'!C:C,'2023'!A:A,"")</f>
        <v>45029.752083332998</v>
      </c>
      <c r="E392" s="6">
        <f>_xlfn.XLOOKUP(C392,'2023'!C:C,'2023'!B:B,"")</f>
        <v>45027.739583333001</v>
      </c>
      <c r="F392" s="19">
        <f t="shared" si="27"/>
        <v>45027.739583333001</v>
      </c>
      <c r="G392" s="6">
        <f>_xlfn.XLOOKUP(C392,'2024'!C:C,'2024'!A:A,"")</f>
        <v>45393.716666667002</v>
      </c>
      <c r="H392" s="6" t="str">
        <f>_xlfn.XLOOKUP(C393,'2024'!C:C,'2024'!B:B,"")</f>
        <v>No Selection Time Issued</v>
      </c>
      <c r="I392" s="19">
        <f t="shared" si="24"/>
        <v>45393.716666667002</v>
      </c>
      <c r="J392" s="6" t="str">
        <f>_xlfn.XLOOKUP(C392,'2025'!C:C,'2025'!A:A,"")</f>
        <v/>
      </c>
      <c r="K392" s="6" t="str">
        <f>_xlfn.XLOOKUP(C392,'2025'!C:C,'2025'!B:B,"")</f>
        <v/>
      </c>
      <c r="L392" s="19" t="str">
        <f t="shared" si="25"/>
        <v/>
      </c>
      <c r="M392" s="16" cm="1">
        <f t="array" ref="M392">IFERROR(_xlfn.LET(
_xlpm.x,TRIM(C392),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2" s="16" t="b">
        <f t="shared" si="26"/>
        <v>0</v>
      </c>
    </row>
    <row r="393" spans="1:14" x14ac:dyDescent="0.25">
      <c r="A393" s="5" t="s">
        <v>24</v>
      </c>
      <c r="B393" s="16">
        <v>129</v>
      </c>
      <c r="C393" s="16" t="str">
        <v>Harwood - 80</v>
      </c>
      <c r="D393" s="6">
        <f>_xlfn.XLOOKUP(C393,'2023'!C:C,'2023'!A:A,"")</f>
        <v>45029.745833333</v>
      </c>
      <c r="E393" s="6" t="str">
        <f>_xlfn.XLOOKUP(C393,'2023'!C:C,'2023'!B:B,"")</f>
        <v>No Selection Time Issued</v>
      </c>
      <c r="F393" s="19">
        <f t="shared" si="27"/>
        <v>45029.745833333</v>
      </c>
      <c r="G393" s="6">
        <f>_xlfn.XLOOKUP(C393,'2024'!C:C,'2024'!A:A,"")</f>
        <v>45393.716666667002</v>
      </c>
      <c r="H393" s="6" t="str">
        <f>_xlfn.XLOOKUP(C394,'2024'!C:C,'2024'!B:B,"")</f>
        <v>No Selection Time Issued</v>
      </c>
      <c r="I393" s="19">
        <f t="shared" si="24"/>
        <v>45393.716666667002</v>
      </c>
      <c r="J393" s="6">
        <f>_xlfn.XLOOKUP(C393,'2025'!C:C,'2025'!A:A,"")</f>
        <v>45757.714583333</v>
      </c>
      <c r="K393" s="6" t="str">
        <f>_xlfn.XLOOKUP(C393,'2025'!C:C,'2025'!B:B,"")</f>
        <v>No Selection Time Issued</v>
      </c>
      <c r="L393" s="19">
        <f t="shared" si="25"/>
        <v>45757.714583333</v>
      </c>
      <c r="M393" s="16" cm="1">
        <f t="array" ref="M393">IFERROR(_xlfn.LET(
_xlpm.x,TRIM(C393),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3" s="16" t="b">
        <f t="shared" si="26"/>
        <v>0</v>
      </c>
    </row>
    <row r="394" spans="1:14" x14ac:dyDescent="0.25">
      <c r="A394" s="5" t="s">
        <v>24</v>
      </c>
      <c r="B394" s="16">
        <v>269</v>
      </c>
      <c r="C394" s="16" t="str">
        <v>Harwood - 81</v>
      </c>
      <c r="D394" s="6">
        <f>_xlfn.XLOOKUP(C394,'2023'!C:C,'2023'!A:A,"")</f>
        <v>45029.741666667003</v>
      </c>
      <c r="E394" s="6">
        <f>_xlfn.XLOOKUP(C394,'2023'!C:C,'2023'!B:B,"")</f>
        <v>45029.789583332997</v>
      </c>
      <c r="F394" s="19">
        <f t="shared" si="27"/>
        <v>45029.741666667003</v>
      </c>
      <c r="G394" s="6">
        <f>_xlfn.XLOOKUP(C394,'2024'!C:C,'2024'!A:A,"")</f>
        <v>45393.731249999997</v>
      </c>
      <c r="H394" s="6" t="str">
        <f>_xlfn.XLOOKUP(C395,'2024'!C:C,'2024'!B:B,"")</f>
        <v>No Selection Time Issued</v>
      </c>
      <c r="I394" s="19">
        <f t="shared" si="24"/>
        <v>45393.731249999997</v>
      </c>
      <c r="J394" s="6">
        <f>_xlfn.XLOOKUP(C394,'2025'!C:C,'2025'!A:A,"")</f>
        <v>45757.727083332997</v>
      </c>
      <c r="K394" s="6">
        <f>_xlfn.XLOOKUP(C394,'2025'!C:C,'2025'!B:B,"")</f>
        <v>45757.727083332997</v>
      </c>
      <c r="L394" s="19">
        <f t="shared" si="25"/>
        <v>45757.727083332997</v>
      </c>
      <c r="M394" s="16" cm="1">
        <f t="array" ref="M394">IFERROR(_xlfn.LET(
_xlpm.x,TRIM(C394),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394" s="16" t="b">
        <f t="shared" si="26"/>
        <v>0</v>
      </c>
    </row>
    <row r="395" spans="1:14" x14ac:dyDescent="0.25">
      <c r="A395" s="5" t="s">
        <v>223</v>
      </c>
      <c r="B395" s="16">
        <v>151</v>
      </c>
      <c r="C395" s="16" t="str">
        <v>Harwood - 82</v>
      </c>
      <c r="D395" s="6">
        <f>_xlfn.XLOOKUP(C395,'2023'!C:C,'2023'!A:A,"")</f>
        <v>45029.737500000003</v>
      </c>
      <c r="E395" s="6">
        <f>_xlfn.XLOOKUP(C395,'2023'!C:C,'2023'!B:B,"")</f>
        <v>45028.762499999997</v>
      </c>
      <c r="F395" s="19">
        <f t="shared" si="27"/>
        <v>45028.762499999997</v>
      </c>
      <c r="G395" s="6">
        <f>_xlfn.XLOOKUP(C395,'2024'!C:C,'2024'!A:A,"")</f>
        <v>45393.712500000001</v>
      </c>
      <c r="H395" s="6" t="str">
        <f>_xlfn.XLOOKUP(C396,'2024'!C:C,'2024'!B:B,"")</f>
        <v>No Selection Time Issued</v>
      </c>
      <c r="I395" s="19">
        <f t="shared" si="24"/>
        <v>45393.712500000001</v>
      </c>
      <c r="J395" s="6">
        <f>_xlfn.XLOOKUP(C395,'2025'!C:C,'2025'!A:A,"")</f>
        <v>45757.71875</v>
      </c>
      <c r="K395" s="6" t="str">
        <f>_xlfn.XLOOKUP(C395,'2025'!C:C,'2025'!B:B,"")</f>
        <v>No Selection Time Issued</v>
      </c>
      <c r="L395" s="19">
        <f t="shared" si="25"/>
        <v>45757.71875</v>
      </c>
      <c r="M395" s="16" cm="1">
        <f t="array" ref="M395">IFERROR(_xlfn.LET(
_xlpm.x,TRIM(C395),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5" s="16" t="b">
        <f t="shared" si="26"/>
        <v>0</v>
      </c>
    </row>
    <row r="396" spans="1:14" x14ac:dyDescent="0.25">
      <c r="A396" s="5" t="s">
        <v>223</v>
      </c>
      <c r="B396" s="16">
        <v>193</v>
      </c>
      <c r="C396" s="16" t="str">
        <v>Harwood - 83</v>
      </c>
      <c r="D396" s="6">
        <f>_xlfn.XLOOKUP(C396,'2023'!C:C,'2023'!A:A,"")</f>
        <v>45029.720833332998</v>
      </c>
      <c r="E396" s="6">
        <f>_xlfn.XLOOKUP(C396,'2023'!C:C,'2023'!B:B,"")</f>
        <v>45028.729166666999</v>
      </c>
      <c r="F396" s="19">
        <f t="shared" si="27"/>
        <v>45028.729166666999</v>
      </c>
      <c r="G396" s="6">
        <f>_xlfn.XLOOKUP(C396,'2024'!C:C,'2024'!A:A,"")</f>
        <v>45393.710416667003</v>
      </c>
      <c r="H396" s="6" t="str">
        <f>_xlfn.XLOOKUP(C397,'2024'!C:C,'2024'!B:B,"")</f>
        <v>No Selection Time Issued</v>
      </c>
      <c r="I396" s="19">
        <f t="shared" si="24"/>
        <v>45393.710416667003</v>
      </c>
      <c r="J396" s="6" t="str">
        <f>_xlfn.XLOOKUP(C396,'2025'!C:C,'2025'!A:A,"")</f>
        <v/>
      </c>
      <c r="K396" s="6" t="str">
        <f>_xlfn.XLOOKUP(C396,'2025'!C:C,'2025'!B:B,"")</f>
        <v/>
      </c>
      <c r="L396" s="19" t="str">
        <f t="shared" si="25"/>
        <v/>
      </c>
      <c r="M396" s="16" cm="1">
        <f t="array" ref="M396">IFERROR(_xlfn.LET(
_xlpm.x,TRIM(C396),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6" s="16" t="b">
        <f t="shared" si="26"/>
        <v>0</v>
      </c>
    </row>
    <row r="397" spans="1:14" x14ac:dyDescent="0.25">
      <c r="A397" s="5" t="s">
        <v>22</v>
      </c>
      <c r="B397" s="16">
        <v>123</v>
      </c>
      <c r="C397" s="16" t="str">
        <v>Harwood - 84</v>
      </c>
      <c r="D397" s="6">
        <f>_xlfn.XLOOKUP(C397,'2023'!C:C,'2023'!A:A,"")</f>
        <v>45029.770833333001</v>
      </c>
      <c r="E397" s="6">
        <f>_xlfn.XLOOKUP(C397,'2023'!C:C,'2023'!B:B,"")</f>
        <v>45027.745833333</v>
      </c>
      <c r="F397" s="19">
        <f t="shared" si="27"/>
        <v>45027.745833333</v>
      </c>
      <c r="G397" s="6">
        <f>_xlfn.XLOOKUP(C397,'2024'!C:C,'2024'!A:A,"")</f>
        <v>45393.770833333001</v>
      </c>
      <c r="H397" s="6" t="str">
        <f>_xlfn.XLOOKUP(C398,'2024'!C:C,'2024'!B:B,"")</f>
        <v>No Selection Time Issued</v>
      </c>
      <c r="I397" s="19">
        <f t="shared" si="24"/>
        <v>45393.770833333001</v>
      </c>
      <c r="J397" s="6">
        <f>_xlfn.XLOOKUP(C397,'2025'!C:C,'2025'!A:A,"")</f>
        <v>45757.75</v>
      </c>
      <c r="K397" s="6" t="str">
        <f>_xlfn.XLOOKUP(C397,'2025'!C:C,'2025'!B:B,"")</f>
        <v>No Selection Time Issued</v>
      </c>
      <c r="L397" s="19">
        <f t="shared" si="25"/>
        <v>45757.75</v>
      </c>
      <c r="M397" s="16" cm="1">
        <f t="array" ref="M397">IFERROR(_xlfn.LET(
_xlpm.x,TRIM(C397),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7" s="16" t="b">
        <f t="shared" si="26"/>
        <v>0</v>
      </c>
    </row>
    <row r="398" spans="1:14" x14ac:dyDescent="0.25">
      <c r="A398" s="5" t="s">
        <v>22</v>
      </c>
      <c r="B398" s="16">
        <v>176</v>
      </c>
      <c r="C398" s="16" t="str">
        <v>Harwood - 85</v>
      </c>
      <c r="D398" s="6">
        <f>_xlfn.XLOOKUP(C398,'2023'!C:C,'2023'!A:A,"")</f>
        <v>45029.724999999999</v>
      </c>
      <c r="E398" s="6" t="str">
        <f>_xlfn.XLOOKUP(C398,'2023'!C:C,'2023'!B:B,"")</f>
        <v>No Selection Time Issued</v>
      </c>
      <c r="F398" s="19">
        <f t="shared" si="27"/>
        <v>45029.724999999999</v>
      </c>
      <c r="G398" s="6">
        <f>_xlfn.XLOOKUP(C398,'2024'!C:C,'2024'!A:A,"")</f>
        <v>45393.714583333</v>
      </c>
      <c r="H398" s="6" t="str">
        <f>_xlfn.XLOOKUP(C399,'2024'!C:C,'2024'!B:B,"")</f>
        <v>No Selection Time Issued</v>
      </c>
      <c r="I398" s="19">
        <f t="shared" si="24"/>
        <v>45393.714583333</v>
      </c>
      <c r="J398" s="6">
        <f>_xlfn.XLOOKUP(C398,'2025'!C:C,'2025'!A:A,"")</f>
        <v>45757.714583333</v>
      </c>
      <c r="K398" s="6" t="str">
        <f>_xlfn.XLOOKUP(C398,'2025'!C:C,'2025'!B:B,"")</f>
        <v>No Selection Time Issued</v>
      </c>
      <c r="L398" s="19">
        <f t="shared" si="25"/>
        <v>45757.714583333</v>
      </c>
      <c r="M398" s="16" cm="1">
        <f t="array" ref="M398">IFERROR(_xlfn.LET(
_xlpm.x,TRIM(C398),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8" s="16" t="b">
        <f t="shared" si="26"/>
        <v>0</v>
      </c>
    </row>
    <row r="399" spans="1:14" x14ac:dyDescent="0.25">
      <c r="A399" s="5" t="s">
        <v>22</v>
      </c>
      <c r="B399" s="16">
        <v>153</v>
      </c>
      <c r="C399" s="16" t="str">
        <v>Harwood - 86</v>
      </c>
      <c r="D399" s="6">
        <f>_xlfn.XLOOKUP(C399,'2023'!C:C,'2023'!A:A,"")</f>
        <v>45029.756249999999</v>
      </c>
      <c r="E399" s="6" t="str">
        <f>_xlfn.XLOOKUP(C399,'2023'!C:C,'2023'!B:B,"")</f>
        <v>No Selection Time Issued</v>
      </c>
      <c r="F399" s="19">
        <f t="shared" si="27"/>
        <v>45029.756249999999</v>
      </c>
      <c r="G399" s="6">
        <f>_xlfn.XLOOKUP(C399,'2024'!C:C,'2024'!A:A,"")</f>
        <v>45393.71875</v>
      </c>
      <c r="H399" s="6" t="str">
        <f>_xlfn.XLOOKUP(C400,'2024'!C:C,'2024'!B:B,"")</f>
        <v>No Selection Time Issued</v>
      </c>
      <c r="I399" s="19">
        <f t="shared" si="24"/>
        <v>45393.71875</v>
      </c>
      <c r="J399" s="6">
        <f>_xlfn.XLOOKUP(C399,'2025'!C:C,'2025'!A:A,"")</f>
        <v>45757.733333333003</v>
      </c>
      <c r="K399" s="6" t="str">
        <f>_xlfn.XLOOKUP(C399,'2025'!C:C,'2025'!B:B,"")</f>
        <v>No Selection Time Issued</v>
      </c>
      <c r="L399" s="19">
        <f t="shared" si="25"/>
        <v>45757.733333333003</v>
      </c>
      <c r="M399" s="16" cm="1">
        <f t="array" ref="M399">IFERROR(_xlfn.LET(
_xlpm.x,TRIM(C399),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399" s="16" t="b">
        <f t="shared" si="26"/>
        <v>0</v>
      </c>
    </row>
    <row r="400" spans="1:14" x14ac:dyDescent="0.25">
      <c r="A400" s="5" t="s">
        <v>22</v>
      </c>
      <c r="B400" s="16">
        <v>253</v>
      </c>
      <c r="C400" s="16" t="str">
        <v>Harwood - 87</v>
      </c>
      <c r="D400" s="6">
        <f>_xlfn.XLOOKUP(C400,'2023'!C:C,'2023'!A:A,"")</f>
        <v>45029.758333332997</v>
      </c>
      <c r="E400" s="6">
        <f>_xlfn.XLOOKUP(C400,'2023'!C:C,'2023'!B:B,"")</f>
        <v>45027.731249999997</v>
      </c>
      <c r="F400" s="19">
        <f t="shared" si="27"/>
        <v>45027.731249999997</v>
      </c>
      <c r="G400" s="6">
        <f>_xlfn.XLOOKUP(C400,'2024'!C:C,'2024'!A:A,"")</f>
        <v>45393.722916667</v>
      </c>
      <c r="H400" s="6" t="str">
        <f>_xlfn.XLOOKUP(C401,'2024'!C:C,'2024'!B:B,"")</f>
        <v>No Selection Time Issued</v>
      </c>
      <c r="I400" s="19">
        <f t="shared" si="24"/>
        <v>45393.722916667</v>
      </c>
      <c r="J400" s="6">
        <f>_xlfn.XLOOKUP(C400,'2025'!C:C,'2025'!A:A,"")</f>
        <v>45757.724999999999</v>
      </c>
      <c r="K400" s="6">
        <f>_xlfn.XLOOKUP(C400,'2025'!C:C,'2025'!B:B,"")</f>
        <v>45757.724999999999</v>
      </c>
      <c r="L400" s="19">
        <f t="shared" si="25"/>
        <v>45757.724999999999</v>
      </c>
      <c r="M400" s="16" cm="1">
        <f t="array" ref="M400">IFERROR(_xlfn.LET(
_xlpm.x,TRIM(C400),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00" s="16" t="b">
        <f t="shared" si="26"/>
        <v>0</v>
      </c>
    </row>
    <row r="401" spans="1:14" x14ac:dyDescent="0.25">
      <c r="A401" s="5" t="s">
        <v>22</v>
      </c>
      <c r="B401" s="16">
        <v>141</v>
      </c>
      <c r="C401" s="16" t="str">
        <v>Harwood - 101</v>
      </c>
      <c r="D401" s="6">
        <f>_xlfn.XLOOKUP(C401,'2023'!C:C,'2023'!A:A,"")</f>
        <v>45029.731249999997</v>
      </c>
      <c r="E401" s="6">
        <f>_xlfn.XLOOKUP(C401,'2023'!C:C,'2023'!B:B,"")</f>
        <v>45027.875</v>
      </c>
      <c r="F401" s="19">
        <f t="shared" si="27"/>
        <v>45027.875</v>
      </c>
      <c r="G401" s="6">
        <f>_xlfn.XLOOKUP(C401,'2024'!C:C,'2024'!A:A,"")</f>
        <v>45393.729166666999</v>
      </c>
      <c r="H401" s="6" t="str">
        <f>_xlfn.XLOOKUP(C402,'2024'!C:C,'2024'!B:B,"")</f>
        <v>No Selection Time Issued</v>
      </c>
      <c r="I401" s="19">
        <f t="shared" si="24"/>
        <v>45393.729166666999</v>
      </c>
      <c r="J401" s="6">
        <f>_xlfn.XLOOKUP(C401,'2025'!C:C,'2025'!A:A,"")</f>
        <v>45757.737500000003</v>
      </c>
      <c r="K401" s="6" t="str">
        <f>_xlfn.XLOOKUP(C401,'2025'!C:C,'2025'!B:B,"")</f>
        <v>No Selection Time Issued</v>
      </c>
      <c r="L401" s="19">
        <f t="shared" si="25"/>
        <v>45757.737500000003</v>
      </c>
      <c r="M401" s="16" cm="1">
        <f t="array" ref="M401">IFERROR(_xlfn.LET(
_xlpm.x,TRIM(C401),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1" s="16" t="b">
        <f t="shared" si="26"/>
        <v>0</v>
      </c>
    </row>
    <row r="402" spans="1:14" x14ac:dyDescent="0.25">
      <c r="A402" s="5" t="s">
        <v>22</v>
      </c>
      <c r="B402" s="16">
        <v>363</v>
      </c>
      <c r="C402" s="16" t="str">
        <v>Harwood - 102</v>
      </c>
      <c r="D402" s="6">
        <f>_xlfn.XLOOKUP(C402,'2023'!C:C,'2023'!A:A,"")</f>
        <v>45029.839583333</v>
      </c>
      <c r="E402" s="6">
        <f>_xlfn.XLOOKUP(C402,'2023'!C:C,'2023'!B:B,"")</f>
        <v>45027.747916667002</v>
      </c>
      <c r="F402" s="19">
        <f t="shared" si="27"/>
        <v>45027.747916667002</v>
      </c>
      <c r="G402" s="6">
        <f>_xlfn.XLOOKUP(C402,'2024'!C:C,'2024'!A:A,"")</f>
        <v>45393.797916666997</v>
      </c>
      <c r="H402" s="6" t="str">
        <f>_xlfn.XLOOKUP(C403,'2024'!C:C,'2024'!B:B,"")</f>
        <v/>
      </c>
      <c r="I402" s="19">
        <f t="shared" si="24"/>
        <v>45393.797916666997</v>
      </c>
      <c r="J402" s="6">
        <f>_xlfn.XLOOKUP(C402,'2025'!C:C,'2025'!A:A,"")</f>
        <v>45757.789583332997</v>
      </c>
      <c r="K402" s="6">
        <f>_xlfn.XLOOKUP(C402,'2025'!C:C,'2025'!B:B,"")</f>
        <v>45757.714583333</v>
      </c>
      <c r="L402" s="19">
        <f t="shared" si="25"/>
        <v>45757.714583333</v>
      </c>
      <c r="M402" s="16" cm="1">
        <f t="array" ref="M402">IFERROR(_xlfn.LET(
_xlpm.x,TRIM(C402),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3</v>
      </c>
      <c r="N402" s="16" t="b">
        <f t="shared" si="26"/>
        <v>0</v>
      </c>
    </row>
    <row r="403" spans="1:14" x14ac:dyDescent="0.25">
      <c r="A403" s="5" t="s">
        <v>722</v>
      </c>
      <c r="B403" s="16">
        <v>125</v>
      </c>
      <c r="C403" s="16" t="str">
        <v>Harwood - 104</v>
      </c>
      <c r="D403" s="6" t="str">
        <f>_xlfn.XLOOKUP(C403,'2023'!C:C,'2023'!A:A,"")</f>
        <v/>
      </c>
      <c r="E403" s="6" t="str">
        <f>_xlfn.XLOOKUP(C403,'2023'!C:C,'2023'!B:B,"")</f>
        <v/>
      </c>
      <c r="F403" s="19" t="str">
        <f t="shared" si="27"/>
        <v/>
      </c>
      <c r="G403" s="6" t="str">
        <f>_xlfn.XLOOKUP(C403,'2024'!C:C,'2024'!A:A,"")</f>
        <v/>
      </c>
      <c r="H403" s="6" t="str">
        <f>_xlfn.XLOOKUP(C404,'2024'!C:C,'2024'!B:B,"")</f>
        <v/>
      </c>
      <c r="I403" s="19" t="str">
        <f t="shared" si="24"/>
        <v/>
      </c>
      <c r="J403" s="6">
        <f>_xlfn.XLOOKUP(C403,'2025'!C:C,'2025'!A:A,"")</f>
        <v>45757.764583333003</v>
      </c>
      <c r="K403" s="6" t="str">
        <f>_xlfn.XLOOKUP(C403,'2025'!C:C,'2025'!B:B,"")</f>
        <v>No Selection Time Issued</v>
      </c>
      <c r="L403" s="19">
        <f t="shared" si="25"/>
        <v>45757.764583333003</v>
      </c>
      <c r="M403" s="16" cm="1">
        <f t="array" ref="M403">IFERROR(_xlfn.LET(
_xlpm.x,TRIM(C403),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3" s="16" t="b">
        <f t="shared" si="26"/>
        <v>0</v>
      </c>
    </row>
    <row r="404" spans="1:14" x14ac:dyDescent="0.25">
      <c r="A404" s="5" t="s">
        <v>21</v>
      </c>
      <c r="B404" s="16">
        <v>163</v>
      </c>
      <c r="C404" s="16" t="str">
        <v>Harwood - 106</v>
      </c>
      <c r="D404" s="6">
        <f>_xlfn.XLOOKUP(C404,'2023'!C:C,'2023'!A:A,"")</f>
        <v>45029.714583333</v>
      </c>
      <c r="E404" s="6">
        <f>_xlfn.XLOOKUP(C404,'2023'!C:C,'2023'!B:B,"")</f>
        <v>45027.708333333001</v>
      </c>
      <c r="F404" s="19">
        <f t="shared" si="27"/>
        <v>45027.708333333001</v>
      </c>
      <c r="G404" s="6" t="str">
        <f>_xlfn.XLOOKUP(C404,'2024'!C:C,'2024'!A:A,"")</f>
        <v/>
      </c>
      <c r="H404" s="6" t="str">
        <f>_xlfn.XLOOKUP(C405,'2024'!C:C,'2024'!B:B,"")</f>
        <v>No Selection Time Issued</v>
      </c>
      <c r="I404" s="19" t="str">
        <f t="shared" si="24"/>
        <v/>
      </c>
      <c r="J404" s="6" t="str">
        <f>_xlfn.XLOOKUP(C404,'2025'!C:C,'2025'!A:A,"")</f>
        <v/>
      </c>
      <c r="K404" s="6" t="str">
        <f>_xlfn.XLOOKUP(C404,'2025'!C:C,'2025'!B:B,"")</f>
        <v/>
      </c>
      <c r="L404" s="19" t="str">
        <f t="shared" si="25"/>
        <v/>
      </c>
      <c r="M404" s="16" cm="1">
        <f t="array" ref="M404">IFERROR(_xlfn.LET(
_xlpm.x,TRIM(C404),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4" s="16" t="b">
        <f t="shared" si="26"/>
        <v>0</v>
      </c>
    </row>
    <row r="405" spans="1:14" x14ac:dyDescent="0.25">
      <c r="A405" s="5" t="s">
        <v>21</v>
      </c>
      <c r="B405" s="16">
        <v>218</v>
      </c>
      <c r="C405" s="16" t="str">
        <v>Harwood - 109</v>
      </c>
      <c r="D405" s="6">
        <f>_xlfn.XLOOKUP(C405,'2023'!C:C,'2023'!A:A,"")</f>
        <v>45029.791666666999</v>
      </c>
      <c r="E405" s="6">
        <f>_xlfn.XLOOKUP(C405,'2023'!C:C,'2023'!B:B,"")</f>
        <v>45027.727083332997</v>
      </c>
      <c r="F405" s="19">
        <f t="shared" si="27"/>
        <v>45027.727083332997</v>
      </c>
      <c r="G405" s="6">
        <f>_xlfn.XLOOKUP(C405,'2024'!C:C,'2024'!A:A,"")</f>
        <v>45393.768750000003</v>
      </c>
      <c r="H405" s="6" t="str">
        <f>_xlfn.XLOOKUP(C406,'2024'!C:C,'2024'!B:B,"")</f>
        <v/>
      </c>
      <c r="I405" s="19">
        <f t="shared" si="24"/>
        <v>45393.768750000003</v>
      </c>
      <c r="J405" s="6">
        <f>_xlfn.XLOOKUP(C405,'2025'!C:C,'2025'!A:A,"")</f>
        <v>45757.8125</v>
      </c>
      <c r="K405" s="6">
        <f>_xlfn.XLOOKUP(C405,'2025'!C:C,'2025'!B:B,"")</f>
        <v>45757.731249999997</v>
      </c>
      <c r="L405" s="19">
        <f t="shared" si="25"/>
        <v>45757.731249999997</v>
      </c>
      <c r="M405" s="16" cm="1">
        <f t="array" ref="M405">IFERROR(_xlfn.LET(
_xlpm.x,TRIM(C405),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05" s="16" t="b">
        <f t="shared" si="26"/>
        <v>0</v>
      </c>
    </row>
    <row r="406" spans="1:14" x14ac:dyDescent="0.25">
      <c r="A406" s="5" t="s">
        <v>94</v>
      </c>
      <c r="B406" s="16">
        <v>149</v>
      </c>
      <c r="C406" s="16" t="str">
        <v>Harwood - 110</v>
      </c>
      <c r="D406" s="6">
        <f>_xlfn.XLOOKUP(C406,'2023'!C:C,'2023'!A:A,"")</f>
        <v>45029.756249999999</v>
      </c>
      <c r="E406" s="6" t="str">
        <f>_xlfn.XLOOKUP(C406,'2023'!C:C,'2023'!B:B,"")</f>
        <v>No Selection Time Issued</v>
      </c>
      <c r="F406" s="19">
        <f t="shared" si="27"/>
        <v>45029.756249999999</v>
      </c>
      <c r="G406" s="6" t="str">
        <f>_xlfn.XLOOKUP(C406,'2024'!C:C,'2024'!A:A,"")</f>
        <v/>
      </c>
      <c r="H406" s="6" t="str">
        <f>_xlfn.XLOOKUP(C407,'2024'!C:C,'2024'!B:B,"")</f>
        <v/>
      </c>
      <c r="I406" s="19" t="str">
        <f t="shared" si="24"/>
        <v/>
      </c>
      <c r="J406" s="6">
        <f>_xlfn.XLOOKUP(C406,'2025'!C:C,'2025'!A:A,"")</f>
        <v>45757.766666666997</v>
      </c>
      <c r="K406" s="6" t="str">
        <f>_xlfn.XLOOKUP(C406,'2025'!C:C,'2025'!B:B,"")</f>
        <v>No Selection Time Issued</v>
      </c>
      <c r="L406" s="19">
        <f t="shared" si="25"/>
        <v>45757.766666666997</v>
      </c>
      <c r="M406" s="16" cm="1">
        <f t="array" ref="M406">IFERROR(_xlfn.LET(
_xlpm.x,TRIM(C406),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6" s="16" t="b">
        <f t="shared" si="26"/>
        <v>0</v>
      </c>
    </row>
    <row r="407" spans="1:14" x14ac:dyDescent="0.25">
      <c r="A407" s="5" t="s">
        <v>309</v>
      </c>
      <c r="B407" s="16">
        <v>153</v>
      </c>
      <c r="C407" s="16" t="str">
        <v>Harwood - 111</v>
      </c>
      <c r="D407" s="6" t="str">
        <f>_xlfn.XLOOKUP(C407,'2023'!C:C,'2023'!A:A,"")</f>
        <v/>
      </c>
      <c r="E407" s="6" t="str">
        <f>_xlfn.XLOOKUP(C407,'2023'!C:C,'2023'!B:B,"")</f>
        <v/>
      </c>
      <c r="F407" s="19" t="str">
        <f t="shared" si="27"/>
        <v/>
      </c>
      <c r="G407" s="6" t="str">
        <f>_xlfn.XLOOKUP(C407,'2024'!C:C,'2024'!A:A,"")</f>
        <v/>
      </c>
      <c r="H407" s="6" t="str">
        <f>_xlfn.XLOOKUP(C408,'2024'!C:C,'2024'!B:B,"")</f>
        <v/>
      </c>
      <c r="I407" s="19" t="str">
        <f t="shared" si="24"/>
        <v/>
      </c>
      <c r="J407" s="6">
        <f>_xlfn.XLOOKUP(C407,'2025'!C:C,'2025'!A:A,"")</f>
        <v>45757.743750000001</v>
      </c>
      <c r="K407" s="6" t="str">
        <f>_xlfn.XLOOKUP(C407,'2025'!C:C,'2025'!B:B,"")</f>
        <v>No Selection Time Issued</v>
      </c>
      <c r="L407" s="19">
        <f t="shared" si="25"/>
        <v>45757.743750000001</v>
      </c>
      <c r="M407" s="16" cm="1">
        <f t="array" ref="M407">IFERROR(_xlfn.LET(
_xlpm.x,TRIM(C407),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7" s="16" t="b">
        <f t="shared" si="26"/>
        <v>0</v>
      </c>
    </row>
    <row r="408" spans="1:14" x14ac:dyDescent="0.25">
      <c r="A408" s="5" t="s">
        <v>309</v>
      </c>
      <c r="B408" s="16">
        <v>130</v>
      </c>
      <c r="C408" s="16" t="str">
        <v>Harwood - 113</v>
      </c>
      <c r="D408" s="6" t="str">
        <f>_xlfn.XLOOKUP(C408,'2023'!C:C,'2023'!A:A,"")</f>
        <v/>
      </c>
      <c r="E408" s="6" t="str">
        <f>_xlfn.XLOOKUP(C408,'2023'!C:C,'2023'!B:B,"")</f>
        <v/>
      </c>
      <c r="F408" s="19" t="str">
        <f t="shared" si="27"/>
        <v/>
      </c>
      <c r="G408" s="6" t="str">
        <f>_xlfn.XLOOKUP(C408,'2024'!C:C,'2024'!A:A,"")</f>
        <v/>
      </c>
      <c r="H408" s="6" t="str">
        <f>_xlfn.XLOOKUP(C409,'2024'!C:C,'2024'!B:B,"")</f>
        <v>No Selection Time Issued</v>
      </c>
      <c r="I408" s="19" t="str">
        <f t="shared" si="24"/>
        <v/>
      </c>
      <c r="J408" s="6">
        <f>_xlfn.XLOOKUP(C408,'2025'!C:C,'2025'!A:A,"")</f>
        <v>45757.764583333003</v>
      </c>
      <c r="K408" s="6" t="str">
        <f>_xlfn.XLOOKUP(C408,'2025'!C:C,'2025'!B:B,"")</f>
        <v>No Selection Time Issued</v>
      </c>
      <c r="L408" s="19">
        <f t="shared" si="25"/>
        <v>45757.764583333003</v>
      </c>
      <c r="M408" s="16" cm="1">
        <f t="array" ref="M408">IFERROR(_xlfn.LET(
_xlpm.x,TRIM(C408),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8" s="16" t="b">
        <f t="shared" si="26"/>
        <v>0</v>
      </c>
    </row>
    <row r="409" spans="1:14" x14ac:dyDescent="0.25">
      <c r="A409" s="5" t="s">
        <v>309</v>
      </c>
      <c r="B409" s="16">
        <v>135</v>
      </c>
      <c r="C409" s="16" t="str">
        <v>Harwood - 114</v>
      </c>
      <c r="D409" s="6" t="str">
        <f>_xlfn.XLOOKUP(C409,'2023'!C:C,'2023'!A:A,"")</f>
        <v/>
      </c>
      <c r="E409" s="6" t="str">
        <f>_xlfn.XLOOKUP(C409,'2023'!C:C,'2023'!B:B,"")</f>
        <v/>
      </c>
      <c r="F409" s="19" t="str">
        <f t="shared" si="27"/>
        <v/>
      </c>
      <c r="G409" s="6">
        <f>_xlfn.XLOOKUP(C409,'2024'!C:C,'2024'!A:A,"")</f>
        <v>45393.762499999997</v>
      </c>
      <c r="H409" s="6" t="str">
        <f>_xlfn.XLOOKUP(C410,'2024'!C:C,'2024'!B:B,"")</f>
        <v/>
      </c>
      <c r="I409" s="19">
        <f t="shared" si="24"/>
        <v>45393.762499999997</v>
      </c>
      <c r="J409" s="6">
        <f>_xlfn.XLOOKUP(C409,'2025'!C:C,'2025'!A:A,"")</f>
        <v>45757.731249999997</v>
      </c>
      <c r="K409" s="6" t="str">
        <f>_xlfn.XLOOKUP(C409,'2025'!C:C,'2025'!B:B,"")</f>
        <v>No Selection Time Issued</v>
      </c>
      <c r="L409" s="19">
        <f t="shared" si="25"/>
        <v>45757.731249999997</v>
      </c>
      <c r="M409" s="16" cm="1">
        <f t="array" ref="M409">IFERROR(_xlfn.LET(
_xlpm.x,TRIM(C409),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09" s="16" t="b">
        <f t="shared" si="26"/>
        <v>0</v>
      </c>
    </row>
    <row r="410" spans="1:14" x14ac:dyDescent="0.25">
      <c r="A410" s="5" t="s">
        <v>386</v>
      </c>
      <c r="B410" s="16">
        <v>116</v>
      </c>
      <c r="C410" s="16" t="str">
        <v>Harwood - 116</v>
      </c>
      <c r="D410" s="6">
        <f>_xlfn.XLOOKUP(C410,'2023'!C:C,'2023'!A:A,"")</f>
        <v>45029.756249999999</v>
      </c>
      <c r="E410" s="6">
        <f>_xlfn.XLOOKUP(C410,'2023'!C:C,'2023'!B:B,"")</f>
        <v>45028.720833332998</v>
      </c>
      <c r="F410" s="19">
        <f t="shared" si="27"/>
        <v>45028.720833332998</v>
      </c>
      <c r="G410" s="6" t="str">
        <f>_xlfn.XLOOKUP(C410,'2024'!C:C,'2024'!A:A,"")</f>
        <v/>
      </c>
      <c r="H410" s="6" t="str">
        <f>_xlfn.XLOOKUP(C411,'2024'!C:C,'2024'!B:B,"")</f>
        <v/>
      </c>
      <c r="I410" s="19" t="str">
        <f t="shared" si="24"/>
        <v/>
      </c>
      <c r="J410" s="6" t="str">
        <f>_xlfn.XLOOKUP(C410,'2025'!C:C,'2025'!A:A,"")</f>
        <v/>
      </c>
      <c r="K410" s="6" t="str">
        <f>_xlfn.XLOOKUP(C410,'2025'!C:C,'2025'!B:B,"")</f>
        <v/>
      </c>
      <c r="L410" s="19" t="str">
        <f t="shared" si="25"/>
        <v/>
      </c>
      <c r="M410" s="16" cm="1">
        <f t="array" ref="M410">IFERROR(_xlfn.LET(
_xlpm.x,TRIM(C410),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0" s="16" t="b">
        <f t="shared" si="26"/>
        <v>0</v>
      </c>
    </row>
    <row r="411" spans="1:14" x14ac:dyDescent="0.25">
      <c r="A411" s="5" t="s">
        <v>386</v>
      </c>
      <c r="B411" s="16">
        <v>145</v>
      </c>
      <c r="C411" s="16" t="str">
        <v>Harwood - 117</v>
      </c>
      <c r="D411" s="6">
        <f>_xlfn.XLOOKUP(C411,'2023'!C:C,'2023'!A:A,"")</f>
        <v>45029.716666667002</v>
      </c>
      <c r="E411" s="6" t="str">
        <f>_xlfn.XLOOKUP(C411,'2023'!C:C,'2023'!B:B,"")</f>
        <v>No Selection Time Issued</v>
      </c>
      <c r="F411" s="19">
        <f t="shared" si="27"/>
        <v>45029.716666667002</v>
      </c>
      <c r="G411" s="6" t="str">
        <f>_xlfn.XLOOKUP(C411,'2024'!C:C,'2024'!A:A,"")</f>
        <v/>
      </c>
      <c r="H411" s="6" t="str">
        <f>_xlfn.XLOOKUP(C412,'2024'!C:C,'2024'!B:B,"")</f>
        <v/>
      </c>
      <c r="I411" s="19" t="str">
        <f t="shared" si="24"/>
        <v/>
      </c>
      <c r="J411" s="6">
        <f>_xlfn.XLOOKUP(C411,'2025'!C:C,'2025'!A:A,"")</f>
        <v>45757.764583333003</v>
      </c>
      <c r="K411" s="6" t="str">
        <f>_xlfn.XLOOKUP(C411,'2025'!C:C,'2025'!B:B,"")</f>
        <v>No Selection Time Issued</v>
      </c>
      <c r="L411" s="19">
        <f t="shared" si="25"/>
        <v>45757.764583333003</v>
      </c>
      <c r="M411" s="16" cm="1">
        <f t="array" ref="M411">IFERROR(_xlfn.LET(
_xlpm.x,TRIM(C411),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1" s="16" t="b">
        <f t="shared" si="26"/>
        <v>0</v>
      </c>
    </row>
    <row r="412" spans="1:14" x14ac:dyDescent="0.25">
      <c r="A412" s="5" t="s">
        <v>130</v>
      </c>
      <c r="B412" s="16">
        <v>167</v>
      </c>
      <c r="C412" s="16" t="str">
        <v>Harwood - 119</v>
      </c>
      <c r="D412" s="6" t="str">
        <f>_xlfn.XLOOKUP(C412,'2023'!C:C,'2023'!A:A,"")</f>
        <v/>
      </c>
      <c r="E412" s="6" t="str">
        <f>_xlfn.XLOOKUP(C412,'2023'!C:C,'2023'!B:B,"")</f>
        <v/>
      </c>
      <c r="F412" s="19" t="str">
        <f t="shared" si="27"/>
        <v/>
      </c>
      <c r="G412" s="6" t="str">
        <f>_xlfn.XLOOKUP(C412,'2024'!C:C,'2024'!A:A,"")</f>
        <v/>
      </c>
      <c r="H412" s="6" t="str">
        <f>_xlfn.XLOOKUP(C413,'2024'!C:C,'2024'!B:B,"")</f>
        <v>No Selection Time Issued</v>
      </c>
      <c r="I412" s="19" t="str">
        <f t="shared" si="24"/>
        <v/>
      </c>
      <c r="J412" s="6">
        <f>_xlfn.XLOOKUP(C412,'2025'!C:C,'2025'!A:A,"")</f>
        <v>45757.71875</v>
      </c>
      <c r="K412" s="6" t="str">
        <f>_xlfn.XLOOKUP(C412,'2025'!C:C,'2025'!B:B,"")</f>
        <v>No Selection Time Issued</v>
      </c>
      <c r="L412" s="19">
        <f t="shared" si="25"/>
        <v>45757.71875</v>
      </c>
      <c r="M412" s="16" cm="1">
        <f t="array" ref="M412">IFERROR(_xlfn.LET(
_xlpm.x,TRIM(C412),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2" s="16" t="b">
        <f t="shared" si="26"/>
        <v>0</v>
      </c>
    </row>
    <row r="413" spans="1:14" x14ac:dyDescent="0.25">
      <c r="A413" s="5" t="s">
        <v>130</v>
      </c>
      <c r="B413" s="16">
        <v>102</v>
      </c>
      <c r="C413" s="16" t="str">
        <v>Harwood - 120</v>
      </c>
      <c r="D413" s="6">
        <f>_xlfn.XLOOKUP(C413,'2023'!C:C,'2023'!A:A,"")</f>
        <v>45029.818749999999</v>
      </c>
      <c r="E413" s="6">
        <f>_xlfn.XLOOKUP(C413,'2023'!C:C,'2023'!B:B,"")</f>
        <v>45028.75</v>
      </c>
      <c r="F413" s="19">
        <f t="shared" si="27"/>
        <v>45028.75</v>
      </c>
      <c r="G413" s="6">
        <f>_xlfn.XLOOKUP(C413,'2024'!C:C,'2024'!A:A,"")</f>
        <v>45393.785416667</v>
      </c>
      <c r="H413" s="6" t="str">
        <f>_xlfn.XLOOKUP(C414,'2024'!C:C,'2024'!B:B,"")</f>
        <v>No Selection Time Issued</v>
      </c>
      <c r="I413" s="19">
        <f t="shared" si="24"/>
        <v>45393.785416667</v>
      </c>
      <c r="J413" s="6">
        <f>_xlfn.XLOOKUP(C413,'2025'!C:C,'2025'!A:A,"")</f>
        <v>45757.847916667</v>
      </c>
      <c r="K413" s="6">
        <f>_xlfn.XLOOKUP(C413,'2025'!C:C,'2025'!B:B,"")</f>
        <v>45757.829166666997</v>
      </c>
      <c r="L413" s="19">
        <f t="shared" si="25"/>
        <v>45757.829166666997</v>
      </c>
      <c r="M413" s="16" cm="1">
        <f t="array" ref="M413">IFERROR(_xlfn.LET(
_xlpm.x,TRIM(C413),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13" s="16" t="b">
        <f t="shared" si="26"/>
        <v>0</v>
      </c>
    </row>
    <row r="414" spans="1:14" x14ac:dyDescent="0.25">
      <c r="A414" s="5" t="s">
        <v>130</v>
      </c>
      <c r="B414" s="16">
        <v>160</v>
      </c>
      <c r="C414" s="16" t="str">
        <v>Harwood - 142</v>
      </c>
      <c r="D414" s="6" t="str">
        <f>_xlfn.XLOOKUP(C414,'2023'!C:C,'2023'!A:A,"")</f>
        <v/>
      </c>
      <c r="E414" s="6" t="str">
        <f>_xlfn.XLOOKUP(C414,'2023'!C:C,'2023'!B:B,"")</f>
        <v/>
      </c>
      <c r="F414" s="19" t="str">
        <f t="shared" si="27"/>
        <v/>
      </c>
      <c r="G414" s="6">
        <f>_xlfn.XLOOKUP(C414,'2024'!C:C,'2024'!A:A,"")</f>
        <v>45393.735416666997</v>
      </c>
      <c r="H414" s="6" t="str">
        <f>_xlfn.XLOOKUP(C415,'2024'!C:C,'2024'!B:B,"")</f>
        <v>No Selection Time Issued</v>
      </c>
      <c r="I414" s="19">
        <f t="shared" si="24"/>
        <v>45393.735416666997</v>
      </c>
      <c r="J414" s="6" t="str">
        <f>_xlfn.XLOOKUP(C414,'2025'!C:C,'2025'!A:A,"")</f>
        <v/>
      </c>
      <c r="K414" s="6" t="str">
        <f>_xlfn.XLOOKUP(C414,'2025'!C:C,'2025'!B:B,"")</f>
        <v/>
      </c>
      <c r="L414" s="19" t="str">
        <f t="shared" si="25"/>
        <v/>
      </c>
      <c r="M414" s="16" cm="1">
        <f t="array" ref="M414">IFERROR(_xlfn.LET(
_xlpm.x,TRIM(C414),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4" s="16" t="b">
        <f t="shared" si="26"/>
        <v>0</v>
      </c>
    </row>
    <row r="415" spans="1:14" x14ac:dyDescent="0.25">
      <c r="A415" s="5" t="s">
        <v>130</v>
      </c>
      <c r="B415" s="16">
        <v>198</v>
      </c>
      <c r="C415" s="16" t="str">
        <v>Harwood - 144</v>
      </c>
      <c r="D415" s="6" t="str">
        <f>_xlfn.XLOOKUP(C415,'2023'!C:C,'2023'!A:A,"")</f>
        <v/>
      </c>
      <c r="E415" s="6" t="str">
        <f>_xlfn.XLOOKUP(C415,'2023'!C:C,'2023'!B:B,"")</f>
        <v/>
      </c>
      <c r="F415" s="19" t="str">
        <f t="shared" si="27"/>
        <v/>
      </c>
      <c r="G415" s="6">
        <f>_xlfn.XLOOKUP(C415,'2024'!C:C,'2024'!A:A,"")</f>
        <v>45393.837500000001</v>
      </c>
      <c r="H415" s="6" t="str">
        <f>_xlfn.XLOOKUP(C416,'2024'!C:C,'2024'!B:B,"")</f>
        <v>No Selection Time Issued</v>
      </c>
      <c r="I415" s="19">
        <f t="shared" si="24"/>
        <v>45393.837500000001</v>
      </c>
      <c r="J415" s="6">
        <f>_xlfn.XLOOKUP(C415,'2025'!C:C,'2025'!A:A,"")</f>
        <v>45757.814583332998</v>
      </c>
      <c r="K415" s="6">
        <f>_xlfn.XLOOKUP(C415,'2025'!C:C,'2025'!B:B,"")</f>
        <v>45757.814583332998</v>
      </c>
      <c r="L415" s="19">
        <f t="shared" si="25"/>
        <v>45757.814583332998</v>
      </c>
      <c r="M415" s="16" cm="1">
        <f t="array" ref="M415">IFERROR(_xlfn.LET(
_xlpm.x,TRIM(C415),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15" s="16" t="b">
        <f t="shared" si="26"/>
        <v>0</v>
      </c>
    </row>
    <row r="416" spans="1:14" x14ac:dyDescent="0.25">
      <c r="A416" s="5" t="s">
        <v>130</v>
      </c>
      <c r="B416" s="16">
        <v>142</v>
      </c>
      <c r="C416" s="16" t="str">
        <v>Harwood - 145</v>
      </c>
      <c r="D416" s="6" t="str">
        <f>_xlfn.XLOOKUP(C416,'2023'!C:C,'2023'!A:A,"")</f>
        <v/>
      </c>
      <c r="E416" s="6" t="str">
        <f>_xlfn.XLOOKUP(C416,'2023'!C:C,'2023'!B:B,"")</f>
        <v/>
      </c>
      <c r="F416" s="19" t="str">
        <f t="shared" si="27"/>
        <v/>
      </c>
      <c r="G416" s="6">
        <f>_xlfn.XLOOKUP(C416,'2024'!C:C,'2024'!A:A,"")</f>
        <v>45393.743750000001</v>
      </c>
      <c r="H416" s="6" t="str">
        <f>_xlfn.XLOOKUP(C417,'2024'!C:C,'2024'!B:B,"")</f>
        <v>No Selection Time Issued</v>
      </c>
      <c r="I416" s="19">
        <f t="shared" si="24"/>
        <v>45393.743750000001</v>
      </c>
      <c r="J416" s="6" t="str">
        <f>_xlfn.XLOOKUP(C416,'2025'!C:C,'2025'!A:A,"")</f>
        <v/>
      </c>
      <c r="K416" s="6" t="str">
        <f>_xlfn.XLOOKUP(C416,'2025'!C:C,'2025'!B:B,"")</f>
        <v/>
      </c>
      <c r="L416" s="19" t="str">
        <f t="shared" si="25"/>
        <v/>
      </c>
      <c r="M416" s="16" cm="1">
        <f t="array" ref="M416">IFERROR(_xlfn.LET(
_xlpm.x,TRIM(C416),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6" s="16" t="b">
        <f t="shared" si="26"/>
        <v>0</v>
      </c>
    </row>
    <row r="417" spans="1:14" x14ac:dyDescent="0.25">
      <c r="A417" s="5" t="s">
        <v>130</v>
      </c>
      <c r="B417" s="16">
        <v>157</v>
      </c>
      <c r="C417" s="16" t="str">
        <v>Harwood - 147</v>
      </c>
      <c r="D417" s="6">
        <f>_xlfn.XLOOKUP(C417,'2023'!C:C,'2023'!A:A,"")</f>
        <v>45029.760416666999</v>
      </c>
      <c r="E417" s="6" t="str">
        <f>_xlfn.XLOOKUP(C417,'2023'!C:C,'2023'!B:B,"")</f>
        <v>No Selection Time Issued</v>
      </c>
      <c r="F417" s="19">
        <f t="shared" si="27"/>
        <v>45029.760416666999</v>
      </c>
      <c r="G417" s="6">
        <f>_xlfn.XLOOKUP(C417,'2024'!C:C,'2024'!A:A,"")</f>
        <v>45393.710416667003</v>
      </c>
      <c r="H417" s="6" t="str">
        <f>_xlfn.XLOOKUP(C418,'2024'!C:C,'2024'!B:B,"")</f>
        <v>No Selection Time Issued</v>
      </c>
      <c r="I417" s="19">
        <f t="shared" si="24"/>
        <v>45393.710416667003</v>
      </c>
      <c r="J417" s="6" t="str">
        <f>_xlfn.XLOOKUP(C417,'2025'!C:C,'2025'!A:A,"")</f>
        <v/>
      </c>
      <c r="K417" s="6" t="str">
        <f>_xlfn.XLOOKUP(C417,'2025'!C:C,'2025'!B:B,"")</f>
        <v/>
      </c>
      <c r="L417" s="19" t="str">
        <f t="shared" si="25"/>
        <v/>
      </c>
      <c r="M417" s="16" cm="1">
        <f t="array" ref="M417">IFERROR(_xlfn.LET(
_xlpm.x,TRIM(C417),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7" s="16" t="b">
        <f t="shared" si="26"/>
        <v>0</v>
      </c>
    </row>
    <row r="418" spans="1:14" x14ac:dyDescent="0.25">
      <c r="A418" s="5" t="s">
        <v>296</v>
      </c>
      <c r="B418" s="16">
        <v>212</v>
      </c>
      <c r="C418" s="16" t="str">
        <v>Harwood - 163</v>
      </c>
      <c r="D418" s="6">
        <f>_xlfn.XLOOKUP(C418,'2023'!C:C,'2023'!A:A,"")</f>
        <v>45029.783333332998</v>
      </c>
      <c r="E418" s="6">
        <f>_xlfn.XLOOKUP(C418,'2023'!C:C,'2023'!B:B,"")</f>
        <v>45029.710416667003</v>
      </c>
      <c r="F418" s="19">
        <f t="shared" si="27"/>
        <v>45029.710416667003</v>
      </c>
      <c r="G418" s="6">
        <f>_xlfn.XLOOKUP(C418,'2024'!C:C,'2024'!A:A,"")</f>
        <v>45393.835416667003</v>
      </c>
      <c r="H418" s="6" t="str">
        <f>_xlfn.XLOOKUP(C419,'2024'!C:C,'2024'!B:B,"")</f>
        <v/>
      </c>
      <c r="I418" s="19">
        <f t="shared" si="24"/>
        <v>45393.835416667003</v>
      </c>
      <c r="J418" s="6">
        <f>_xlfn.XLOOKUP(C418,'2025'!C:C,'2025'!A:A,"")</f>
        <v>45757.820833332997</v>
      </c>
      <c r="K418" s="6">
        <f>_xlfn.XLOOKUP(C418,'2025'!C:C,'2025'!B:B,"")</f>
        <v>45757.760416666999</v>
      </c>
      <c r="L418" s="19">
        <f t="shared" si="25"/>
        <v>45757.760416666999</v>
      </c>
      <c r="M418" s="16" cm="1">
        <f t="array" ref="M418">IFERROR(_xlfn.LET(
_xlpm.x,TRIM(C418),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18" s="16" t="b">
        <f t="shared" si="26"/>
        <v>0</v>
      </c>
    </row>
    <row r="419" spans="1:14" x14ac:dyDescent="0.25">
      <c r="A419" s="5" t="s">
        <v>296</v>
      </c>
      <c r="B419" s="16">
        <v>159</v>
      </c>
      <c r="C419" s="16" t="str">
        <v>Harwood - 164</v>
      </c>
      <c r="D419" s="6">
        <f>_xlfn.XLOOKUP(C419,'2023'!C:C,'2023'!A:A,"")</f>
        <v>45029.716666667002</v>
      </c>
      <c r="E419" s="6">
        <f>_xlfn.XLOOKUP(C419,'2023'!C:C,'2023'!B:B,"")</f>
        <v>45027.714583333</v>
      </c>
      <c r="F419" s="19">
        <f t="shared" si="27"/>
        <v>45027.714583333</v>
      </c>
      <c r="G419" s="6" t="str">
        <f>_xlfn.XLOOKUP(C419,'2024'!C:C,'2024'!A:A,"")</f>
        <v/>
      </c>
      <c r="H419" s="6" t="str">
        <f>_xlfn.XLOOKUP(C420,'2024'!C:C,'2024'!B:B,"")</f>
        <v/>
      </c>
      <c r="I419" s="19" t="str">
        <f t="shared" si="24"/>
        <v/>
      </c>
      <c r="J419" s="6" t="str">
        <f>_xlfn.XLOOKUP(C419,'2025'!C:C,'2025'!A:A,"")</f>
        <v/>
      </c>
      <c r="K419" s="6" t="str">
        <f>_xlfn.XLOOKUP(C419,'2025'!C:C,'2025'!B:B,"")</f>
        <v/>
      </c>
      <c r="L419" s="19" t="str">
        <f t="shared" si="25"/>
        <v/>
      </c>
      <c r="M419" s="16" cm="1">
        <f t="array" ref="M419">IFERROR(_xlfn.LET(
_xlpm.x,TRIM(C419),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19" s="16" t="b">
        <f t="shared" si="26"/>
        <v>0</v>
      </c>
    </row>
    <row r="420" spans="1:14" x14ac:dyDescent="0.25">
      <c r="A420" s="5" t="s">
        <v>148</v>
      </c>
      <c r="B420" s="16">
        <v>124</v>
      </c>
      <c r="C420" s="16" t="str">
        <v>Harwood - 167</v>
      </c>
      <c r="D420" s="6" t="str">
        <f>_xlfn.XLOOKUP(C420,'2023'!C:C,'2023'!A:A,"")</f>
        <v/>
      </c>
      <c r="E420" s="6" t="str">
        <f>_xlfn.XLOOKUP(C420,'2023'!C:C,'2023'!B:B,"")</f>
        <v/>
      </c>
      <c r="F420" s="19" t="str">
        <f t="shared" si="27"/>
        <v/>
      </c>
      <c r="G420" s="6" t="str">
        <f>_xlfn.XLOOKUP(C420,'2024'!C:C,'2024'!A:A,"")</f>
        <v/>
      </c>
      <c r="H420" s="6" t="str">
        <f>_xlfn.XLOOKUP(C421,'2024'!C:C,'2024'!B:B,"")</f>
        <v/>
      </c>
      <c r="I420" s="19" t="str">
        <f t="shared" si="24"/>
        <v/>
      </c>
      <c r="J420" s="6">
        <f>_xlfn.XLOOKUP(C420,'2025'!C:C,'2025'!A:A,"")</f>
        <v>45757.772916667003</v>
      </c>
      <c r="K420" s="6" t="str">
        <f>_xlfn.XLOOKUP(C420,'2025'!C:C,'2025'!B:B,"")</f>
        <v>No Selection Time Issued</v>
      </c>
      <c r="L420" s="19">
        <f t="shared" si="25"/>
        <v>45757.772916667003</v>
      </c>
      <c r="M420" s="16" cm="1">
        <f t="array" ref="M420">IFERROR(_xlfn.LET(
_xlpm.x,TRIM(C420),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0" s="16" t="b">
        <f t="shared" si="26"/>
        <v>0</v>
      </c>
    </row>
    <row r="421" spans="1:14" x14ac:dyDescent="0.25">
      <c r="A421" s="5" t="s">
        <v>148</v>
      </c>
      <c r="B421" s="16">
        <v>137</v>
      </c>
      <c r="C421" s="16" t="str">
        <v>Harwood - 168</v>
      </c>
      <c r="D421" s="6">
        <f>_xlfn.XLOOKUP(C421,'2023'!C:C,'2023'!A:A,"")</f>
        <v>45029.758333332997</v>
      </c>
      <c r="E421" s="6">
        <f>_xlfn.XLOOKUP(C421,'2023'!C:C,'2023'!B:B,"")</f>
        <v>45027.712500000001</v>
      </c>
      <c r="F421" s="19">
        <f t="shared" si="27"/>
        <v>45027.712500000001</v>
      </c>
      <c r="G421" s="6" t="str">
        <f>_xlfn.XLOOKUP(C421,'2024'!C:C,'2024'!A:A,"")</f>
        <v/>
      </c>
      <c r="H421" s="6" t="str">
        <f>_xlfn.XLOOKUP(C422,'2024'!C:C,'2024'!B:B,"")</f>
        <v>No Selection Time Issued</v>
      </c>
      <c r="I421" s="19" t="str">
        <f t="shared" si="24"/>
        <v/>
      </c>
      <c r="J421" s="6">
        <f>_xlfn.XLOOKUP(C421,'2025'!C:C,'2025'!A:A,"")</f>
        <v>45757.770833333001</v>
      </c>
      <c r="K421" s="6" t="str">
        <f>_xlfn.XLOOKUP(C421,'2025'!C:C,'2025'!B:B,"")</f>
        <v>No Selection Time Issued</v>
      </c>
      <c r="L421" s="19">
        <f t="shared" si="25"/>
        <v>45757.770833333001</v>
      </c>
      <c r="M421" s="16" cm="1">
        <f t="array" ref="M421">IFERROR(_xlfn.LET(
_xlpm.x,TRIM(C421),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1" s="16" t="b">
        <f t="shared" si="26"/>
        <v>0</v>
      </c>
    </row>
    <row r="422" spans="1:14" x14ac:dyDescent="0.25">
      <c r="A422" s="5" t="s">
        <v>148</v>
      </c>
      <c r="B422" s="16">
        <v>132</v>
      </c>
      <c r="C422" s="16" t="str">
        <v>Harwood - 170</v>
      </c>
      <c r="D422" s="6">
        <f>_xlfn.XLOOKUP(C422,'2023'!C:C,'2023'!A:A,"")</f>
        <v>45029.760416666999</v>
      </c>
      <c r="E422" s="6">
        <f>_xlfn.XLOOKUP(C422,'2023'!C:C,'2023'!B:B,"")</f>
        <v>45027.714583333</v>
      </c>
      <c r="F422" s="19">
        <f t="shared" si="27"/>
        <v>45027.714583333</v>
      </c>
      <c r="G422" s="6">
        <f>_xlfn.XLOOKUP(C422,'2024'!C:C,'2024'!A:A,"")</f>
        <v>45393.747916667002</v>
      </c>
      <c r="H422" s="6" t="str">
        <f>_xlfn.XLOOKUP(C423,'2024'!C:C,'2024'!B:B,"")</f>
        <v/>
      </c>
      <c r="I422" s="19">
        <f t="shared" si="24"/>
        <v>45393.747916667002</v>
      </c>
      <c r="J422" s="6">
        <f>_xlfn.XLOOKUP(C422,'2025'!C:C,'2025'!A:A,"")</f>
        <v>45757.772916667003</v>
      </c>
      <c r="K422" s="6" t="str">
        <f>_xlfn.XLOOKUP(C422,'2025'!C:C,'2025'!B:B,"")</f>
        <v>No Selection Time Issued</v>
      </c>
      <c r="L422" s="19">
        <f t="shared" si="25"/>
        <v>45757.772916667003</v>
      </c>
      <c r="M422" s="16" cm="1">
        <f t="array" ref="M422">IFERROR(_xlfn.LET(
_xlpm.x,TRIM(C422),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2" s="16" t="b">
        <f t="shared" si="26"/>
        <v>0</v>
      </c>
    </row>
    <row r="423" spans="1:14" x14ac:dyDescent="0.25">
      <c r="A423" s="5" t="s">
        <v>251</v>
      </c>
      <c r="B423" s="16">
        <v>150</v>
      </c>
      <c r="C423" s="16" t="str">
        <v>Harwood - 171</v>
      </c>
      <c r="D423" s="6">
        <f>_xlfn.XLOOKUP(C423,'2023'!C:C,'2023'!A:A,"")</f>
        <v>45029.743750000001</v>
      </c>
      <c r="E423" s="6">
        <f>_xlfn.XLOOKUP(C423,'2023'!C:C,'2023'!B:B,"")</f>
        <v>45027.847916667</v>
      </c>
      <c r="F423" s="19">
        <f t="shared" si="27"/>
        <v>45027.847916667</v>
      </c>
      <c r="G423" s="6" t="str">
        <f>_xlfn.XLOOKUP(C423,'2024'!C:C,'2024'!A:A,"")</f>
        <v/>
      </c>
      <c r="H423" s="6" t="str">
        <f>_xlfn.XLOOKUP(C424,'2024'!C:C,'2024'!B:B,"")</f>
        <v>No Selection Time Issued</v>
      </c>
      <c r="I423" s="19" t="str">
        <f t="shared" si="24"/>
        <v/>
      </c>
      <c r="J423" s="6">
        <f>_xlfn.XLOOKUP(C423,'2025'!C:C,'2025'!A:A,"")</f>
        <v>45757.720833332998</v>
      </c>
      <c r="K423" s="6" t="str">
        <f>_xlfn.XLOOKUP(C423,'2025'!C:C,'2025'!B:B,"")</f>
        <v>No Selection Time Issued</v>
      </c>
      <c r="L423" s="19">
        <f t="shared" si="25"/>
        <v>45757.720833332998</v>
      </c>
      <c r="M423" s="16" cm="1">
        <f t="array" ref="M423">IFERROR(_xlfn.LET(
_xlpm.x,TRIM(C423),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3" s="16" t="b">
        <f t="shared" si="26"/>
        <v>0</v>
      </c>
    </row>
    <row r="424" spans="1:14" x14ac:dyDescent="0.25">
      <c r="A424" s="5" t="s">
        <v>251</v>
      </c>
      <c r="B424" s="16">
        <v>162</v>
      </c>
      <c r="C424" s="16" t="str">
        <v>Harwood - 172</v>
      </c>
      <c r="D424" s="6" t="str">
        <f>_xlfn.XLOOKUP(C424,'2023'!C:C,'2023'!A:A,"")</f>
        <v/>
      </c>
      <c r="E424" s="6" t="str">
        <f>_xlfn.XLOOKUP(C424,'2023'!C:C,'2023'!B:B,"")</f>
        <v/>
      </c>
      <c r="F424" s="19" t="str">
        <f t="shared" si="27"/>
        <v/>
      </c>
      <c r="G424" s="6">
        <f>_xlfn.XLOOKUP(C424,'2024'!C:C,'2024'!A:A,"")</f>
        <v>45393.714583333</v>
      </c>
      <c r="H424" s="6" t="str">
        <f>_xlfn.XLOOKUP(C425,'2024'!C:C,'2024'!B:B,"")</f>
        <v/>
      </c>
      <c r="I424" s="19">
        <f t="shared" si="24"/>
        <v>45393.714583333</v>
      </c>
      <c r="J424" s="6" t="str">
        <f>_xlfn.XLOOKUP(C424,'2025'!C:C,'2025'!A:A,"")</f>
        <v/>
      </c>
      <c r="K424" s="6" t="str">
        <f>_xlfn.XLOOKUP(C424,'2025'!C:C,'2025'!B:B,"")</f>
        <v/>
      </c>
      <c r="L424" s="19" t="str">
        <f t="shared" si="25"/>
        <v/>
      </c>
      <c r="M424" s="16" cm="1">
        <f t="array" ref="M424">IFERROR(_xlfn.LET(
_xlpm.x,TRIM(C424),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4" s="16" t="b">
        <f t="shared" si="26"/>
        <v>0</v>
      </c>
    </row>
    <row r="425" spans="1:14" x14ac:dyDescent="0.25">
      <c r="A425" s="5" t="s">
        <v>73</v>
      </c>
      <c r="B425" s="16">
        <v>151</v>
      </c>
      <c r="C425" s="16" t="str">
        <v>Harwood - 173</v>
      </c>
      <c r="D425" s="6" t="str">
        <f>_xlfn.XLOOKUP(C425,'2023'!C:C,'2023'!A:A,"")</f>
        <v/>
      </c>
      <c r="E425" s="6" t="str">
        <f>_xlfn.XLOOKUP(C425,'2023'!C:C,'2023'!B:B,"")</f>
        <v/>
      </c>
      <c r="F425" s="19" t="str">
        <f t="shared" si="27"/>
        <v/>
      </c>
      <c r="G425" s="6" t="str">
        <f>_xlfn.XLOOKUP(C425,'2024'!C:C,'2024'!A:A,"")</f>
        <v/>
      </c>
      <c r="H425" s="6" t="str">
        <f>_xlfn.XLOOKUP(C426,'2024'!C:C,'2024'!B:B,"")</f>
        <v>No Selection Time Issued</v>
      </c>
      <c r="I425" s="19" t="str">
        <f t="shared" si="24"/>
        <v/>
      </c>
      <c r="J425" s="6">
        <f>_xlfn.XLOOKUP(C425,'2025'!C:C,'2025'!A:A,"")</f>
        <v>45757.741666667003</v>
      </c>
      <c r="K425" s="6" t="str">
        <f>_xlfn.XLOOKUP(C425,'2025'!C:C,'2025'!B:B,"")</f>
        <v>No Selection Time Issued</v>
      </c>
      <c r="L425" s="19">
        <f t="shared" si="25"/>
        <v>45757.741666667003</v>
      </c>
      <c r="M425" s="16" cm="1">
        <f t="array" ref="M425">IFERROR(_xlfn.LET(
_xlpm.x,TRIM(C425),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5" s="16" t="b">
        <f t="shared" si="26"/>
        <v>0</v>
      </c>
    </row>
    <row r="426" spans="1:14" x14ac:dyDescent="0.25">
      <c r="A426" s="5" t="s">
        <v>73</v>
      </c>
      <c r="B426" s="16">
        <v>160</v>
      </c>
      <c r="C426" s="16" t="str">
        <v>Harwood - 174</v>
      </c>
      <c r="D426" s="6" t="str">
        <f>_xlfn.XLOOKUP(C426,'2023'!C:C,'2023'!A:A,"")</f>
        <v/>
      </c>
      <c r="E426" s="6" t="str">
        <f>_xlfn.XLOOKUP(C426,'2023'!C:C,'2023'!B:B,"")</f>
        <v/>
      </c>
      <c r="F426" s="19" t="str">
        <f t="shared" si="27"/>
        <v/>
      </c>
      <c r="G426" s="6">
        <f>_xlfn.XLOOKUP(C426,'2024'!C:C,'2024'!A:A,"")</f>
        <v>45393.727083332997</v>
      </c>
      <c r="H426" s="6" t="str">
        <f>_xlfn.XLOOKUP(C427,'2024'!C:C,'2024'!B:B,"")</f>
        <v>No Selection Time Issued</v>
      </c>
      <c r="I426" s="19">
        <f t="shared" si="24"/>
        <v>45393.727083332997</v>
      </c>
      <c r="J426" s="6" t="str">
        <f>_xlfn.XLOOKUP(C426,'2025'!C:C,'2025'!A:A,"")</f>
        <v/>
      </c>
      <c r="K426" s="6" t="str">
        <f>_xlfn.XLOOKUP(C426,'2025'!C:C,'2025'!B:B,"")</f>
        <v/>
      </c>
      <c r="L426" s="19" t="str">
        <f t="shared" si="25"/>
        <v/>
      </c>
      <c r="M426" s="16" cm="1">
        <f t="array" ref="M426">IFERROR(_xlfn.LET(
_xlpm.x,TRIM(C426),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6" s="16" t="b">
        <f t="shared" si="26"/>
        <v>0</v>
      </c>
    </row>
    <row r="427" spans="1:14" x14ac:dyDescent="0.25">
      <c r="A427" s="5" t="s">
        <v>73</v>
      </c>
      <c r="B427" s="16">
        <v>149</v>
      </c>
      <c r="C427" s="16" t="str">
        <v>Harwood - 175</v>
      </c>
      <c r="D427" s="6" t="str">
        <f>_xlfn.XLOOKUP(C427,'2023'!C:C,'2023'!A:A,"")</f>
        <v/>
      </c>
      <c r="E427" s="6" t="str">
        <f>_xlfn.XLOOKUP(C427,'2023'!C:C,'2023'!B:B,"")</f>
        <v/>
      </c>
      <c r="F427" s="19" t="str">
        <f t="shared" si="27"/>
        <v/>
      </c>
      <c r="G427" s="6">
        <f>_xlfn.XLOOKUP(C427,'2024'!C:C,'2024'!A:A,"")</f>
        <v>45393.739583333001</v>
      </c>
      <c r="H427" s="6" t="str">
        <f>_xlfn.XLOOKUP(C428,'2024'!C:C,'2024'!B:B,"")</f>
        <v>No Selection Time Issued</v>
      </c>
      <c r="I427" s="19">
        <f t="shared" si="24"/>
        <v>45393.739583333001</v>
      </c>
      <c r="J427" s="6" t="str">
        <f>_xlfn.XLOOKUP(C427,'2025'!C:C,'2025'!A:A,"")</f>
        <v/>
      </c>
      <c r="K427" s="6" t="str">
        <f>_xlfn.XLOOKUP(C427,'2025'!C:C,'2025'!B:B,"")</f>
        <v/>
      </c>
      <c r="L427" s="19" t="str">
        <f t="shared" si="25"/>
        <v/>
      </c>
      <c r="M427" s="16" cm="1">
        <f t="array" ref="M427">IFERROR(_xlfn.LET(
_xlpm.x,TRIM(C427),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7" s="16" t="b">
        <f t="shared" si="26"/>
        <v>0</v>
      </c>
    </row>
    <row r="428" spans="1:14" x14ac:dyDescent="0.25">
      <c r="A428" s="5" t="s">
        <v>73</v>
      </c>
      <c r="B428" s="16">
        <v>135</v>
      </c>
      <c r="C428" s="16" t="str">
        <v>Harwood - 176</v>
      </c>
      <c r="D428" s="6" t="str">
        <f>_xlfn.XLOOKUP(C428,'2023'!C:C,'2023'!A:A,"")</f>
        <v/>
      </c>
      <c r="E428" s="6" t="str">
        <f>_xlfn.XLOOKUP(C428,'2023'!C:C,'2023'!B:B,"")</f>
        <v/>
      </c>
      <c r="F428" s="19" t="str">
        <f t="shared" si="27"/>
        <v/>
      </c>
      <c r="G428" s="6">
        <f>_xlfn.XLOOKUP(C428,'2024'!C:C,'2024'!A:A,"")</f>
        <v>45393.760416666999</v>
      </c>
      <c r="H428" s="6" t="str">
        <f>_xlfn.XLOOKUP(C429,'2024'!C:C,'2024'!B:B,"")</f>
        <v>No Selection Time Issued</v>
      </c>
      <c r="I428" s="19">
        <f t="shared" si="24"/>
        <v>45393.760416666999</v>
      </c>
      <c r="J428" s="6" t="str">
        <f>_xlfn.XLOOKUP(C428,'2025'!C:C,'2025'!A:A,"")</f>
        <v/>
      </c>
      <c r="K428" s="6" t="str">
        <f>_xlfn.XLOOKUP(C428,'2025'!C:C,'2025'!B:B,"")</f>
        <v/>
      </c>
      <c r="L428" s="19" t="str">
        <f t="shared" si="25"/>
        <v/>
      </c>
      <c r="M428" s="16" cm="1">
        <f t="array" ref="M428">IFERROR(_xlfn.LET(
_xlpm.x,TRIM(C428),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8" s="16" t="b">
        <f t="shared" si="26"/>
        <v>0</v>
      </c>
    </row>
    <row r="429" spans="1:14" x14ac:dyDescent="0.25">
      <c r="A429" s="5" t="s">
        <v>73</v>
      </c>
      <c r="B429" s="16">
        <v>148</v>
      </c>
      <c r="C429" s="16" t="str">
        <v>Harwood - 177</v>
      </c>
      <c r="D429" s="6" t="str">
        <f>_xlfn.XLOOKUP(C429,'2023'!C:C,'2023'!A:A,"")</f>
        <v/>
      </c>
      <c r="E429" s="6" t="str">
        <f>_xlfn.XLOOKUP(C429,'2023'!C:C,'2023'!B:B,"")</f>
        <v/>
      </c>
      <c r="F429" s="19" t="str">
        <f t="shared" si="27"/>
        <v/>
      </c>
      <c r="G429" s="6">
        <f>_xlfn.XLOOKUP(C429,'2024'!C:C,'2024'!A:A,"")</f>
        <v>45393.731249999997</v>
      </c>
      <c r="H429" s="6" t="str">
        <f>_xlfn.XLOOKUP(C430,'2024'!C:C,'2024'!B:B,"")</f>
        <v>No Selection Time Issued</v>
      </c>
      <c r="I429" s="19">
        <f t="shared" si="24"/>
        <v>45393.731249999997</v>
      </c>
      <c r="J429" s="6">
        <f>_xlfn.XLOOKUP(C429,'2025'!C:C,'2025'!A:A,"")</f>
        <v>45757.764583333003</v>
      </c>
      <c r="K429" s="6" t="str">
        <f>_xlfn.XLOOKUP(C429,'2025'!C:C,'2025'!B:B,"")</f>
        <v>No Selection Time Issued</v>
      </c>
      <c r="L429" s="19">
        <f t="shared" si="25"/>
        <v>45757.764583333003</v>
      </c>
      <c r="M429" s="16" cm="1">
        <f t="array" ref="M429">IFERROR(_xlfn.LET(
_xlpm.x,TRIM(C429),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29" s="16" t="b">
        <f t="shared" si="26"/>
        <v>0</v>
      </c>
    </row>
    <row r="430" spans="1:14" x14ac:dyDescent="0.25">
      <c r="A430" s="5" t="s">
        <v>73</v>
      </c>
      <c r="B430" s="16">
        <v>252</v>
      </c>
      <c r="C430" s="16" t="str">
        <v>Harwood - 178</v>
      </c>
      <c r="D430" s="6">
        <f>_xlfn.XLOOKUP(C430,'2023'!C:C,'2023'!A:A,"")</f>
        <v>45029.837500000001</v>
      </c>
      <c r="E430" s="6">
        <f>_xlfn.XLOOKUP(C430,'2023'!C:C,'2023'!B:B,"")</f>
        <v>45027.737500000003</v>
      </c>
      <c r="F430" s="19">
        <f t="shared" si="27"/>
        <v>45027.737500000003</v>
      </c>
      <c r="G430" s="6">
        <f>_xlfn.XLOOKUP(C430,'2024'!C:C,'2024'!A:A,"")</f>
        <v>45393.822916666999</v>
      </c>
      <c r="H430" s="6" t="str">
        <f>_xlfn.XLOOKUP(C431,'2024'!C:C,'2024'!B:B,"")</f>
        <v>No Selection Time Issued</v>
      </c>
      <c r="I430" s="19">
        <f t="shared" si="24"/>
        <v>45393.822916666999</v>
      </c>
      <c r="J430" s="6">
        <f>_xlfn.XLOOKUP(C430,'2025'!C:C,'2025'!A:A,"")</f>
        <v>45757.735416666997</v>
      </c>
      <c r="K430" s="6">
        <f>_xlfn.XLOOKUP(C430,'2025'!C:C,'2025'!B:B,"")</f>
        <v>45757.735416666997</v>
      </c>
      <c r="L430" s="19">
        <f t="shared" si="25"/>
        <v>45757.735416666997</v>
      </c>
      <c r="M430" s="16" cm="1">
        <f t="array" ref="M430">IFERROR(_xlfn.LET(
_xlpm.x,TRIM(C430),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30" s="16" t="b">
        <f t="shared" si="26"/>
        <v>0</v>
      </c>
    </row>
    <row r="431" spans="1:14" x14ac:dyDescent="0.25">
      <c r="A431" s="5" t="s">
        <v>170</v>
      </c>
      <c r="B431" s="16">
        <v>133</v>
      </c>
      <c r="C431" s="16" t="str">
        <v>Harwood - 179</v>
      </c>
      <c r="D431" s="6" t="str">
        <f>_xlfn.XLOOKUP(C431,'2023'!C:C,'2023'!A:A,"")</f>
        <v/>
      </c>
      <c r="E431" s="6" t="str">
        <f>_xlfn.XLOOKUP(C431,'2023'!C:C,'2023'!B:B,"")</f>
        <v/>
      </c>
      <c r="F431" s="19" t="str">
        <f t="shared" si="27"/>
        <v/>
      </c>
      <c r="G431" s="6">
        <f>_xlfn.XLOOKUP(C431,'2024'!C:C,'2024'!A:A,"")</f>
        <v>45393.739583333001</v>
      </c>
      <c r="H431" s="6" t="str">
        <f>_xlfn.XLOOKUP(C432,'2024'!C:C,'2024'!B:B,"")</f>
        <v/>
      </c>
      <c r="I431" s="19">
        <f t="shared" si="24"/>
        <v>45393.739583333001</v>
      </c>
      <c r="J431" s="6">
        <f>_xlfn.XLOOKUP(C431,'2025'!C:C,'2025'!A:A,"")</f>
        <v>45757.772916667003</v>
      </c>
      <c r="K431" s="6" t="str">
        <f>_xlfn.XLOOKUP(C431,'2025'!C:C,'2025'!B:B,"")</f>
        <v>No Selection Time Issued</v>
      </c>
      <c r="L431" s="19">
        <f t="shared" si="25"/>
        <v>45757.772916667003</v>
      </c>
      <c r="M431" s="16" cm="1">
        <f t="array" ref="M431">IFERROR(_xlfn.LET(
_xlpm.x,TRIM(C431),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1" s="16" t="b">
        <f t="shared" si="26"/>
        <v>0</v>
      </c>
    </row>
    <row r="432" spans="1:14" x14ac:dyDescent="0.25">
      <c r="A432" s="5" t="s">
        <v>170</v>
      </c>
      <c r="B432" s="16">
        <v>140</v>
      </c>
      <c r="C432" s="16" t="str">
        <v>Harwood - 180</v>
      </c>
      <c r="D432" s="6">
        <f>_xlfn.XLOOKUP(C432,'2023'!C:C,'2023'!A:A,"")</f>
        <v>45029.775000000001</v>
      </c>
      <c r="E432" s="6">
        <f>_xlfn.XLOOKUP(C432,'2023'!C:C,'2023'!B:B,"")</f>
        <v>45029.720833332998</v>
      </c>
      <c r="F432" s="19">
        <f t="shared" si="27"/>
        <v>45029.720833332998</v>
      </c>
      <c r="G432" s="6" t="str">
        <f>_xlfn.XLOOKUP(C432,'2024'!C:C,'2024'!A:A,"")</f>
        <v/>
      </c>
      <c r="H432" s="6" t="str">
        <f>_xlfn.XLOOKUP(C433,'2024'!C:C,'2024'!B:B,"")</f>
        <v/>
      </c>
      <c r="I432" s="19" t="str">
        <f t="shared" si="24"/>
        <v/>
      </c>
      <c r="J432" s="6">
        <f>_xlfn.XLOOKUP(C432,'2025'!C:C,'2025'!A:A,"")</f>
        <v>45757.735416666997</v>
      </c>
      <c r="K432" s="6" t="str">
        <f>_xlfn.XLOOKUP(C432,'2025'!C:C,'2025'!B:B,"")</f>
        <v>No Selection Time Issued</v>
      </c>
      <c r="L432" s="19">
        <f t="shared" si="25"/>
        <v>45757.735416666997</v>
      </c>
      <c r="M432" s="16" cm="1">
        <f t="array" ref="M432">IFERROR(_xlfn.LET(
_xlpm.x,TRIM(C432),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2" s="16" t="b">
        <f t="shared" si="26"/>
        <v>0</v>
      </c>
    </row>
    <row r="433" spans="1:14" x14ac:dyDescent="0.25">
      <c r="A433" s="5" t="s">
        <v>170</v>
      </c>
      <c r="B433" s="16">
        <v>146</v>
      </c>
      <c r="C433" s="16" t="str">
        <v>Harwood - 181</v>
      </c>
      <c r="D433" s="6">
        <f>_xlfn.XLOOKUP(C433,'2023'!C:C,'2023'!A:A,"")</f>
        <v>45029.789583332997</v>
      </c>
      <c r="E433" s="6">
        <f>_xlfn.XLOOKUP(C433,'2023'!C:C,'2023'!B:B,"")</f>
        <v>45027.727083332997</v>
      </c>
      <c r="F433" s="19">
        <f t="shared" si="27"/>
        <v>45027.727083332997</v>
      </c>
      <c r="G433" s="6" t="str">
        <f>_xlfn.XLOOKUP(C433,'2024'!C:C,'2024'!A:A,"")</f>
        <v/>
      </c>
      <c r="H433" s="6" t="str">
        <f>_xlfn.XLOOKUP(C434,'2024'!C:C,'2024'!B:B,"")</f>
        <v>No Selection Time Issued</v>
      </c>
      <c r="I433" s="19" t="str">
        <f t="shared" si="24"/>
        <v/>
      </c>
      <c r="J433" s="6">
        <f>_xlfn.XLOOKUP(C433,'2025'!C:C,'2025'!A:A,"")</f>
        <v>45757.75</v>
      </c>
      <c r="K433" s="6" t="str">
        <f>_xlfn.XLOOKUP(C433,'2025'!C:C,'2025'!B:B,"")</f>
        <v>No Selection Time Issued</v>
      </c>
      <c r="L433" s="19">
        <f t="shared" si="25"/>
        <v>45757.75</v>
      </c>
      <c r="M433" s="16" cm="1">
        <f t="array" ref="M433">IFERROR(_xlfn.LET(
_xlpm.x,TRIM(C433),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3" s="16" t="b">
        <f t="shared" si="26"/>
        <v>0</v>
      </c>
    </row>
    <row r="434" spans="1:14" x14ac:dyDescent="0.25">
      <c r="A434" s="5" t="s">
        <v>170</v>
      </c>
      <c r="B434" s="16">
        <v>172</v>
      </c>
      <c r="C434" s="16" t="str">
        <v>Harwood - 182</v>
      </c>
      <c r="D434" s="6">
        <f>_xlfn.XLOOKUP(C434,'2023'!C:C,'2023'!A:A,"")</f>
        <v>45029.708333333001</v>
      </c>
      <c r="E434" s="6">
        <f>_xlfn.XLOOKUP(C434,'2023'!C:C,'2023'!B:B,"")</f>
        <v>45028.710416667003</v>
      </c>
      <c r="F434" s="19">
        <f t="shared" si="27"/>
        <v>45028.710416667003</v>
      </c>
      <c r="G434" s="6">
        <f>_xlfn.XLOOKUP(C434,'2024'!C:C,'2024'!A:A,"")</f>
        <v>45393.712500000001</v>
      </c>
      <c r="H434" s="6" t="str">
        <f>_xlfn.XLOOKUP(C435,'2024'!C:C,'2024'!B:B,"")</f>
        <v/>
      </c>
      <c r="I434" s="19">
        <f t="shared" si="24"/>
        <v>45393.712500000001</v>
      </c>
      <c r="J434" s="6">
        <f>_xlfn.XLOOKUP(C434,'2025'!C:C,'2025'!A:A,"")</f>
        <v>45757.712500000001</v>
      </c>
      <c r="K434" s="6" t="str">
        <f>_xlfn.XLOOKUP(C434,'2025'!C:C,'2025'!B:B,"")</f>
        <v>No Selection Time Issued</v>
      </c>
      <c r="L434" s="19">
        <f t="shared" si="25"/>
        <v>45757.712500000001</v>
      </c>
      <c r="M434" s="16" cm="1">
        <f t="array" ref="M434">IFERROR(_xlfn.LET(
_xlpm.x,TRIM(C434),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4" s="16" t="b">
        <f t="shared" si="26"/>
        <v>0</v>
      </c>
    </row>
    <row r="435" spans="1:14" x14ac:dyDescent="0.25">
      <c r="A435" s="5" t="s">
        <v>542</v>
      </c>
      <c r="B435" s="16">
        <v>162</v>
      </c>
      <c r="C435" s="16" t="str">
        <v>Harwood - 183</v>
      </c>
      <c r="D435" s="6" t="str">
        <f>_xlfn.XLOOKUP(C435,'2023'!C:C,'2023'!A:A,"")</f>
        <v/>
      </c>
      <c r="E435" s="6" t="str">
        <f>_xlfn.XLOOKUP(C435,'2023'!C:C,'2023'!B:B,"")</f>
        <v/>
      </c>
      <c r="F435" s="19" t="str">
        <f t="shared" si="27"/>
        <v/>
      </c>
      <c r="G435" s="6" t="str">
        <f>_xlfn.XLOOKUP(C435,'2024'!C:C,'2024'!A:A,"")</f>
        <v/>
      </c>
      <c r="H435" s="6">
        <f>_xlfn.XLOOKUP(C436,'2024'!C:C,'2024'!B:B,"")</f>
        <v>45391.729166666999</v>
      </c>
      <c r="I435" s="19">
        <f t="shared" si="24"/>
        <v>45391.729166666999</v>
      </c>
      <c r="J435" s="6">
        <f>_xlfn.XLOOKUP(C435,'2025'!C:C,'2025'!A:A,"")</f>
        <v>45757.720833332998</v>
      </c>
      <c r="K435" s="6" t="str">
        <f>_xlfn.XLOOKUP(C435,'2025'!C:C,'2025'!B:B,"")</f>
        <v>No Selection Time Issued</v>
      </c>
      <c r="L435" s="19">
        <f t="shared" si="25"/>
        <v>45757.720833332998</v>
      </c>
      <c r="M435" s="16" cm="1">
        <f t="array" ref="M435">IFERROR(_xlfn.LET(
_xlpm.x,TRIM(C435),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5" s="16" t="b">
        <f t="shared" si="26"/>
        <v>0</v>
      </c>
    </row>
    <row r="436" spans="1:14" x14ac:dyDescent="0.25">
      <c r="A436" s="5" t="s">
        <v>542</v>
      </c>
      <c r="B436" s="16">
        <v>126</v>
      </c>
      <c r="C436" s="16" t="str">
        <v>Harwood - 185</v>
      </c>
      <c r="D436" s="6">
        <f>_xlfn.XLOOKUP(C436,'2023'!C:C,'2023'!A:A,"")</f>
        <v>45029.743750000001</v>
      </c>
      <c r="E436" s="6">
        <f>_xlfn.XLOOKUP(C436,'2023'!C:C,'2023'!B:B,"")</f>
        <v>45027.712500000001</v>
      </c>
      <c r="F436" s="19">
        <f t="shared" si="27"/>
        <v>45027.712500000001</v>
      </c>
      <c r="G436" s="6">
        <f>_xlfn.XLOOKUP(C436,'2024'!C:C,'2024'!A:A,"")</f>
        <v>45393.729166666999</v>
      </c>
      <c r="H436" s="6" t="str">
        <f>_xlfn.XLOOKUP(C437,'2024'!C:C,'2024'!B:B,"")</f>
        <v>No Selection Time Issued</v>
      </c>
      <c r="I436" s="19">
        <f t="shared" si="24"/>
        <v>45393.729166666999</v>
      </c>
      <c r="J436" s="6" t="str">
        <f>_xlfn.XLOOKUP(C436,'2025'!C:C,'2025'!A:A,"")</f>
        <v/>
      </c>
      <c r="K436" s="6" t="str">
        <f>_xlfn.XLOOKUP(C436,'2025'!C:C,'2025'!B:B,"")</f>
        <v/>
      </c>
      <c r="L436" s="19" t="str">
        <f t="shared" si="25"/>
        <v/>
      </c>
      <c r="M436" s="16" cm="1">
        <f t="array" ref="M436">IFERROR(_xlfn.LET(
_xlpm.x,TRIM(C436),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6" s="16" t="b">
        <f t="shared" si="26"/>
        <v>0</v>
      </c>
    </row>
    <row r="437" spans="1:14" x14ac:dyDescent="0.25">
      <c r="A437" s="5" t="s">
        <v>226</v>
      </c>
      <c r="B437" s="16">
        <v>137</v>
      </c>
      <c r="C437" s="16" t="str">
        <v>Harwood - 187</v>
      </c>
      <c r="D437" s="6">
        <f>_xlfn.XLOOKUP(C437,'2023'!C:C,'2023'!A:A,"")</f>
        <v>45029.745833333</v>
      </c>
      <c r="E437" s="6" t="str">
        <f>_xlfn.XLOOKUP(C437,'2023'!C:C,'2023'!B:B,"")</f>
        <v>No Selection Time Issued</v>
      </c>
      <c r="F437" s="19">
        <f t="shared" si="27"/>
        <v>45029.745833333</v>
      </c>
      <c r="G437" s="6">
        <f>_xlfn.XLOOKUP(C437,'2024'!C:C,'2024'!A:A,"")</f>
        <v>45393.716666667002</v>
      </c>
      <c r="H437" s="6" t="str">
        <f>_xlfn.XLOOKUP(C438,'2024'!C:C,'2024'!B:B,"")</f>
        <v>No Selection Time Issued</v>
      </c>
      <c r="I437" s="19">
        <f t="shared" si="24"/>
        <v>45393.716666667002</v>
      </c>
      <c r="J437" s="6" t="str">
        <f>_xlfn.XLOOKUP(C437,'2025'!C:C,'2025'!A:A,"")</f>
        <v/>
      </c>
      <c r="K437" s="6" t="str">
        <f>_xlfn.XLOOKUP(C437,'2025'!C:C,'2025'!B:B,"")</f>
        <v/>
      </c>
      <c r="L437" s="19" t="str">
        <f t="shared" si="25"/>
        <v/>
      </c>
      <c r="M437" s="16" cm="1">
        <f t="array" ref="M437">IFERROR(_xlfn.LET(
_xlpm.x,TRIM(C437),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7" s="16" t="b">
        <f t="shared" si="26"/>
        <v>0</v>
      </c>
    </row>
    <row r="438" spans="1:14" x14ac:dyDescent="0.25">
      <c r="A438" s="5" t="s">
        <v>226</v>
      </c>
      <c r="B438" s="16">
        <v>126</v>
      </c>
      <c r="C438" s="16" t="str">
        <v>Harwood - 189</v>
      </c>
      <c r="D438" s="6">
        <f>_xlfn.XLOOKUP(C438,'2023'!C:C,'2023'!A:A,"")</f>
        <v>45029.806250000001</v>
      </c>
      <c r="E438" s="6" t="str">
        <f>_xlfn.XLOOKUP(C438,'2023'!C:C,'2023'!B:B,"")</f>
        <v>No Selection Time Issued</v>
      </c>
      <c r="F438" s="19">
        <f t="shared" si="27"/>
        <v>45029.806250000001</v>
      </c>
      <c r="G438" s="6">
        <f>_xlfn.XLOOKUP(C438,'2024'!C:C,'2024'!A:A,"")</f>
        <v>45393.743750000001</v>
      </c>
      <c r="H438" s="6" t="str">
        <f>_xlfn.XLOOKUP(C439,'2024'!C:C,'2024'!B:B,"")</f>
        <v>No Selection Time Issued</v>
      </c>
      <c r="I438" s="19">
        <f t="shared" si="24"/>
        <v>45393.743750000001</v>
      </c>
      <c r="J438" s="6">
        <f>_xlfn.XLOOKUP(C438,'2025'!C:C,'2025'!A:A,"")</f>
        <v>45757.768750000003</v>
      </c>
      <c r="K438" s="6" t="str">
        <f>_xlfn.XLOOKUP(C438,'2025'!C:C,'2025'!B:B,"")</f>
        <v>No Selection Time Issued</v>
      </c>
      <c r="L438" s="19">
        <f t="shared" si="25"/>
        <v>45757.768750000003</v>
      </c>
      <c r="M438" s="16" cm="1">
        <f t="array" ref="M438">IFERROR(_xlfn.LET(
_xlpm.x,TRIM(C438),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8" s="16" t="b">
        <f t="shared" si="26"/>
        <v>0</v>
      </c>
    </row>
    <row r="439" spans="1:14" x14ac:dyDescent="0.25">
      <c r="A439" s="5" t="s">
        <v>226</v>
      </c>
      <c r="B439" s="16">
        <v>127</v>
      </c>
      <c r="C439" s="16" t="str">
        <v>Harwood - 200</v>
      </c>
      <c r="D439" s="6">
        <f>_xlfn.XLOOKUP(C439,'2023'!C:C,'2023'!A:A,"")</f>
        <v>45029.722916667</v>
      </c>
      <c r="E439" s="6" t="str">
        <f>_xlfn.XLOOKUP(C439,'2023'!C:C,'2023'!B:B,"")</f>
        <v>No Selection Time Issued</v>
      </c>
      <c r="F439" s="19">
        <f t="shared" si="27"/>
        <v>45029.722916667</v>
      </c>
      <c r="G439" s="6">
        <f>_xlfn.XLOOKUP(C439,'2024'!C:C,'2024'!A:A,"")</f>
        <v>45393.762499999997</v>
      </c>
      <c r="H439" s="6" t="str">
        <f>_xlfn.XLOOKUP(C440,'2024'!C:C,'2024'!B:B,"")</f>
        <v/>
      </c>
      <c r="I439" s="19">
        <f t="shared" si="24"/>
        <v>45393.762499999997</v>
      </c>
      <c r="J439" s="6">
        <f>_xlfn.XLOOKUP(C439,'2025'!C:C,'2025'!A:A,"")</f>
        <v>45757.768750000003</v>
      </c>
      <c r="K439" s="6" t="str">
        <f>_xlfn.XLOOKUP(C439,'2025'!C:C,'2025'!B:B,"")</f>
        <v>No Selection Time Issued</v>
      </c>
      <c r="L439" s="19">
        <f t="shared" si="25"/>
        <v>45757.768750000003</v>
      </c>
      <c r="M439" s="16" cm="1">
        <f t="array" ref="M439">IFERROR(_xlfn.LET(
_xlpm.x,TRIM(C439),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39" s="16" t="b">
        <f t="shared" si="26"/>
        <v>0</v>
      </c>
    </row>
    <row r="440" spans="1:14" x14ac:dyDescent="0.25">
      <c r="A440" s="5" t="s">
        <v>226</v>
      </c>
      <c r="B440" s="16">
        <v>156</v>
      </c>
      <c r="C440" s="16" t="str">
        <v>Harwood - 201</v>
      </c>
      <c r="D440" s="6">
        <f>_xlfn.XLOOKUP(C440,'2023'!C:C,'2023'!A:A,"")</f>
        <v>45029.75</v>
      </c>
      <c r="E440" s="6">
        <f>_xlfn.XLOOKUP(C440,'2023'!C:C,'2023'!B:B,"")</f>
        <v>45027.760416666999</v>
      </c>
      <c r="F440" s="19">
        <f t="shared" si="27"/>
        <v>45027.760416666999</v>
      </c>
      <c r="G440" s="6" t="str">
        <f>_xlfn.XLOOKUP(C440,'2024'!C:C,'2024'!A:A,"")</f>
        <v/>
      </c>
      <c r="H440" s="6" t="str">
        <f>_xlfn.XLOOKUP(C441,'2024'!C:C,'2024'!B:B,"")</f>
        <v>No Selection Time Issued</v>
      </c>
      <c r="I440" s="19" t="str">
        <f t="shared" si="24"/>
        <v/>
      </c>
      <c r="J440" s="6">
        <f>_xlfn.XLOOKUP(C440,'2025'!C:C,'2025'!A:A,"")</f>
        <v>45757.741666667003</v>
      </c>
      <c r="K440" s="6" t="str">
        <f>_xlfn.XLOOKUP(C440,'2025'!C:C,'2025'!B:B,"")</f>
        <v>No Selection Time Issued</v>
      </c>
      <c r="L440" s="19">
        <f t="shared" si="25"/>
        <v>45757.741666667003</v>
      </c>
      <c r="M440" s="16" cm="1">
        <f t="array" ref="M440">IFERROR(_xlfn.LET(
_xlpm.x,TRIM(C440),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0" s="16" t="b">
        <f t="shared" si="26"/>
        <v>0</v>
      </c>
    </row>
    <row r="441" spans="1:14" x14ac:dyDescent="0.25">
      <c r="A441" s="5" t="s">
        <v>226</v>
      </c>
      <c r="B441" s="16">
        <v>191</v>
      </c>
      <c r="C441" s="16" t="str">
        <v>Harwood - 202</v>
      </c>
      <c r="D441" s="6">
        <f>_xlfn.XLOOKUP(C441,'2023'!C:C,'2023'!A:A,"")</f>
        <v>45029.779166667002</v>
      </c>
      <c r="E441" s="6">
        <f>_xlfn.XLOOKUP(C441,'2023'!C:C,'2023'!B:B,"")</f>
        <v>45027.777083333</v>
      </c>
      <c r="F441" s="19">
        <f t="shared" si="27"/>
        <v>45027.777083333</v>
      </c>
      <c r="G441" s="6">
        <f>_xlfn.XLOOKUP(C441,'2024'!C:C,'2024'!A:A,"")</f>
        <v>45393.779166667002</v>
      </c>
      <c r="H441" s="6" t="str">
        <f>_xlfn.XLOOKUP(C442,'2024'!C:C,'2024'!B:B,"")</f>
        <v/>
      </c>
      <c r="I441" s="19">
        <f t="shared" si="24"/>
        <v>45393.779166667002</v>
      </c>
      <c r="J441" s="6">
        <f>_xlfn.XLOOKUP(C441,'2025'!C:C,'2025'!A:A,"")</f>
        <v>45757.797916666997</v>
      </c>
      <c r="K441" s="6">
        <f>_xlfn.XLOOKUP(C441,'2025'!C:C,'2025'!B:B,"")</f>
        <v>45757.797916666997</v>
      </c>
      <c r="L441" s="19">
        <f t="shared" si="25"/>
        <v>45757.797916666997</v>
      </c>
      <c r="M441" s="16" cm="1">
        <f t="array" ref="M441">IFERROR(_xlfn.LET(
_xlpm.x,TRIM(C441),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41" s="16" t="b">
        <f t="shared" si="26"/>
        <v>0</v>
      </c>
    </row>
    <row r="442" spans="1:14" x14ac:dyDescent="0.25">
      <c r="A442" s="5" t="s">
        <v>226</v>
      </c>
      <c r="B442" s="16">
        <v>154</v>
      </c>
      <c r="C442" s="16" t="str">
        <v>Harwood - 204</v>
      </c>
      <c r="D442" s="6">
        <f>_xlfn.XLOOKUP(C442,'2023'!C:C,'2023'!A:A,"")</f>
        <v>45029.760416666999</v>
      </c>
      <c r="E442" s="6" t="str">
        <f>_xlfn.XLOOKUP(C442,'2023'!C:C,'2023'!B:B,"")</f>
        <v>No Selection Time Issued</v>
      </c>
      <c r="F442" s="19">
        <f t="shared" si="27"/>
        <v>45029.760416666999</v>
      </c>
      <c r="G442" s="6" t="str">
        <f>_xlfn.XLOOKUP(C442,'2024'!C:C,'2024'!A:A,"")</f>
        <v/>
      </c>
      <c r="H442" s="6" t="str">
        <f>_xlfn.XLOOKUP(C443,'2024'!C:C,'2024'!B:B,"")</f>
        <v/>
      </c>
      <c r="I442" s="19" t="str">
        <f t="shared" si="24"/>
        <v/>
      </c>
      <c r="J442" s="6">
        <f>_xlfn.XLOOKUP(C442,'2025'!C:C,'2025'!A:A,"")</f>
        <v>45757.733333333003</v>
      </c>
      <c r="K442" s="6" t="str">
        <f>_xlfn.XLOOKUP(C442,'2025'!C:C,'2025'!B:B,"")</f>
        <v>No Selection Time Issued</v>
      </c>
      <c r="L442" s="19">
        <f t="shared" si="25"/>
        <v>45757.733333333003</v>
      </c>
      <c r="M442" s="16" cm="1">
        <f t="array" ref="M442">IFERROR(_xlfn.LET(
_xlpm.x,TRIM(C442),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2" s="16" t="b">
        <f t="shared" si="26"/>
        <v>0</v>
      </c>
    </row>
    <row r="443" spans="1:14" x14ac:dyDescent="0.25">
      <c r="A443" s="5" t="s">
        <v>441</v>
      </c>
      <c r="B443" s="16">
        <v>166</v>
      </c>
      <c r="C443" s="16" t="str">
        <v>Harwood - 208</v>
      </c>
      <c r="D443" s="6">
        <f>_xlfn.XLOOKUP(C443,'2023'!C:C,'2023'!A:A,"")</f>
        <v>45029.71875</v>
      </c>
      <c r="E443" s="6" t="str">
        <f>_xlfn.XLOOKUP(C443,'2023'!C:C,'2023'!B:B,"")</f>
        <v>No Selection Time Issued</v>
      </c>
      <c r="F443" s="19">
        <f t="shared" si="27"/>
        <v>45029.71875</v>
      </c>
      <c r="G443" s="6" t="str">
        <f>_xlfn.XLOOKUP(C443,'2024'!C:C,'2024'!A:A,"")</f>
        <v/>
      </c>
      <c r="H443" s="6" t="str">
        <f>_xlfn.XLOOKUP(C444,'2024'!C:C,'2024'!B:B,"")</f>
        <v>No Selection Time Issued</v>
      </c>
      <c r="I443" s="19" t="str">
        <f t="shared" si="24"/>
        <v/>
      </c>
      <c r="J443" s="6" t="str">
        <f>_xlfn.XLOOKUP(C443,'2025'!C:C,'2025'!A:A,"")</f>
        <v/>
      </c>
      <c r="K443" s="6" t="str">
        <f>_xlfn.XLOOKUP(C443,'2025'!C:C,'2025'!B:B,"")</f>
        <v/>
      </c>
      <c r="L443" s="19" t="str">
        <f t="shared" si="25"/>
        <v/>
      </c>
      <c r="M443" s="16" cm="1">
        <f t="array" ref="M443">IFERROR(_xlfn.LET(
_xlpm.x,TRIM(C443),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3" s="16" t="b">
        <f t="shared" si="26"/>
        <v>0</v>
      </c>
    </row>
    <row r="444" spans="1:14" x14ac:dyDescent="0.25">
      <c r="A444" s="5" t="s">
        <v>497</v>
      </c>
      <c r="B444" s="16">
        <v>255</v>
      </c>
      <c r="C444" s="16" t="str">
        <v>Harwood - 209</v>
      </c>
      <c r="D444" s="6">
        <f>_xlfn.XLOOKUP(C444,'2023'!C:C,'2023'!A:A,"")</f>
        <v>45029.712500000001</v>
      </c>
      <c r="E444" s="6">
        <f>_xlfn.XLOOKUP(C444,'2023'!C:C,'2023'!B:B,"")</f>
        <v>45029.75</v>
      </c>
      <c r="F444" s="19">
        <f t="shared" si="27"/>
        <v>45029.712500000001</v>
      </c>
      <c r="G444" s="6">
        <f>_xlfn.XLOOKUP(C444,'2024'!C:C,'2024'!A:A,"")</f>
        <v>45393.720833332998</v>
      </c>
      <c r="H444" s="6" t="str">
        <f>_xlfn.XLOOKUP(C445,'2024'!C:C,'2024'!B:B,"")</f>
        <v>No Selection Time Issued</v>
      </c>
      <c r="I444" s="19">
        <f t="shared" si="24"/>
        <v>45393.720833332998</v>
      </c>
      <c r="J444" s="6">
        <f>_xlfn.XLOOKUP(C444,'2025'!C:C,'2025'!A:A,"")</f>
        <v>45757.820833332997</v>
      </c>
      <c r="K444" s="6">
        <f>_xlfn.XLOOKUP(C444,'2025'!C:C,'2025'!B:B,"")</f>
        <v>45757.722916667</v>
      </c>
      <c r="L444" s="19">
        <f t="shared" si="25"/>
        <v>45757.722916667</v>
      </c>
      <c r="M444" s="16" cm="1">
        <f t="array" ref="M444">IFERROR(_xlfn.LET(
_xlpm.x,TRIM(C444),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44" s="16" t="b">
        <f t="shared" si="26"/>
        <v>0</v>
      </c>
    </row>
    <row r="445" spans="1:14" x14ac:dyDescent="0.25">
      <c r="A445" s="5" t="s">
        <v>497</v>
      </c>
      <c r="B445" s="16">
        <v>210</v>
      </c>
      <c r="C445" s="16" t="str">
        <v>Harwood - 210</v>
      </c>
      <c r="D445" s="6">
        <f>_xlfn.XLOOKUP(C445,'2023'!C:C,'2023'!A:A,"")</f>
        <v>45029.741666667003</v>
      </c>
      <c r="E445" s="6">
        <f>_xlfn.XLOOKUP(C445,'2023'!C:C,'2023'!B:B,"")</f>
        <v>45028.731249999997</v>
      </c>
      <c r="F445" s="19">
        <f t="shared" si="27"/>
        <v>45028.731249999997</v>
      </c>
      <c r="G445" s="6">
        <f>_xlfn.XLOOKUP(C445,'2024'!C:C,'2024'!A:A,"")</f>
        <v>45393.737500000003</v>
      </c>
      <c r="H445" s="6" t="str">
        <f>_xlfn.XLOOKUP(C446,'2024'!C:C,'2024'!B:B,"")</f>
        <v>No Selection Time Issued</v>
      </c>
      <c r="I445" s="19">
        <f t="shared" si="24"/>
        <v>45393.737500000003</v>
      </c>
      <c r="J445" s="6">
        <f>_xlfn.XLOOKUP(C445,'2025'!C:C,'2025'!A:A,"")</f>
        <v>45757.737500000003</v>
      </c>
      <c r="K445" s="6" t="str">
        <f>_xlfn.XLOOKUP(C445,'2025'!C:C,'2025'!B:B,"")</f>
        <v>No Selection Time Issued</v>
      </c>
      <c r="L445" s="19">
        <f t="shared" si="25"/>
        <v>45757.737500000003</v>
      </c>
      <c r="M445" s="16" cm="1">
        <f t="array" ref="M445">IFERROR(_xlfn.LET(
_xlpm.x,TRIM(C445),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5" s="16" t="b">
        <f t="shared" si="26"/>
        <v>0</v>
      </c>
    </row>
    <row r="446" spans="1:14" x14ac:dyDescent="0.25">
      <c r="A446" s="5" t="s">
        <v>497</v>
      </c>
      <c r="B446" s="16">
        <v>148</v>
      </c>
      <c r="C446" s="16" t="str">
        <v>Harwood - 211</v>
      </c>
      <c r="D446" s="6">
        <f>_xlfn.XLOOKUP(C446,'2023'!C:C,'2023'!A:A,"")</f>
        <v>45029.791666666999</v>
      </c>
      <c r="E446" s="6">
        <f>_xlfn.XLOOKUP(C446,'2023'!C:C,'2023'!B:B,"")</f>
        <v>45027.724999999999</v>
      </c>
      <c r="F446" s="19">
        <f t="shared" si="27"/>
        <v>45027.724999999999</v>
      </c>
      <c r="G446" s="6">
        <f>_xlfn.XLOOKUP(C446,'2024'!C:C,'2024'!A:A,"")</f>
        <v>45393.760416666999</v>
      </c>
      <c r="H446" s="6" t="str">
        <f>_xlfn.XLOOKUP(C447,'2024'!C:C,'2024'!B:B,"")</f>
        <v/>
      </c>
      <c r="I446" s="19">
        <f t="shared" si="24"/>
        <v>45393.760416666999</v>
      </c>
      <c r="J446" s="6" t="str">
        <f>_xlfn.XLOOKUP(C446,'2025'!C:C,'2025'!A:A,"")</f>
        <v/>
      </c>
      <c r="K446" s="6" t="str">
        <f>_xlfn.XLOOKUP(C446,'2025'!C:C,'2025'!B:B,"")</f>
        <v/>
      </c>
      <c r="L446" s="19" t="str">
        <f t="shared" si="25"/>
        <v/>
      </c>
      <c r="M446" s="16" cm="1">
        <f t="array" ref="M446">IFERROR(_xlfn.LET(
_xlpm.x,TRIM(C446),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6" s="16" t="b">
        <f t="shared" si="26"/>
        <v>0</v>
      </c>
    </row>
    <row r="447" spans="1:14" x14ac:dyDescent="0.25">
      <c r="A447" s="5" t="s">
        <v>187</v>
      </c>
      <c r="B447" s="16">
        <v>132</v>
      </c>
      <c r="C447" s="16" t="str">
        <v>Harwood - 213</v>
      </c>
      <c r="D447" s="6">
        <f>_xlfn.XLOOKUP(C447,'2023'!C:C,'2023'!A:A,"")</f>
        <v>45029.754166667</v>
      </c>
      <c r="E447" s="6" t="str">
        <f>_xlfn.XLOOKUP(C447,'2023'!C:C,'2023'!B:B,"")</f>
        <v>No Selection Time Issued</v>
      </c>
      <c r="F447" s="19">
        <f t="shared" si="27"/>
        <v>45029.754166667</v>
      </c>
      <c r="G447" s="6" t="str">
        <f>_xlfn.XLOOKUP(C447,'2024'!C:C,'2024'!A:A,"")</f>
        <v/>
      </c>
      <c r="H447" s="6" t="str">
        <f>_xlfn.XLOOKUP(C448,'2024'!C:C,'2024'!B:B,"")</f>
        <v>No Selection Time Issued</v>
      </c>
      <c r="I447" s="19" t="str">
        <f t="shared" si="24"/>
        <v/>
      </c>
      <c r="J447" s="6">
        <f>_xlfn.XLOOKUP(C447,'2025'!C:C,'2025'!A:A,"")</f>
        <v>45757.75</v>
      </c>
      <c r="K447" s="6" t="str">
        <f>_xlfn.XLOOKUP(C447,'2025'!C:C,'2025'!B:B,"")</f>
        <v>No Selection Time Issued</v>
      </c>
      <c r="L447" s="19">
        <f t="shared" si="25"/>
        <v>45757.75</v>
      </c>
      <c r="M447" s="16" cm="1">
        <f t="array" ref="M447">IFERROR(_xlfn.LET(
_xlpm.x,TRIM(C447),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7" s="16" t="b">
        <f t="shared" si="26"/>
        <v>0</v>
      </c>
    </row>
    <row r="448" spans="1:14" x14ac:dyDescent="0.25">
      <c r="A448" s="5" t="s">
        <v>187</v>
      </c>
      <c r="B448" s="16">
        <v>152</v>
      </c>
      <c r="C448" s="16" t="str">
        <v>Harwood - 214</v>
      </c>
      <c r="D448" s="6">
        <f>_xlfn.XLOOKUP(C448,'2023'!C:C,'2023'!A:A,"")</f>
        <v>45029.78125</v>
      </c>
      <c r="E448" s="6">
        <f>_xlfn.XLOOKUP(C448,'2023'!C:C,'2023'!B:B,"")</f>
        <v>45027.729166666999</v>
      </c>
      <c r="F448" s="19">
        <f t="shared" si="27"/>
        <v>45027.729166666999</v>
      </c>
      <c r="G448" s="6">
        <f>_xlfn.XLOOKUP(C448,'2024'!C:C,'2024'!A:A,"")</f>
        <v>45393.760416666999</v>
      </c>
      <c r="H448" s="6" t="str">
        <f>_xlfn.XLOOKUP(C449,'2024'!C:C,'2024'!B:B,"")</f>
        <v>No Selection Time Issued</v>
      </c>
      <c r="I448" s="19">
        <f t="shared" si="24"/>
        <v>45393.760416666999</v>
      </c>
      <c r="J448" s="6" t="str">
        <f>_xlfn.XLOOKUP(C448,'2025'!C:C,'2025'!A:A,"")</f>
        <v/>
      </c>
      <c r="K448" s="6" t="str">
        <f>_xlfn.XLOOKUP(C448,'2025'!C:C,'2025'!B:B,"")</f>
        <v/>
      </c>
      <c r="L448" s="19" t="str">
        <f t="shared" si="25"/>
        <v/>
      </c>
      <c r="M448" s="16" cm="1">
        <f t="array" ref="M448">IFERROR(_xlfn.LET(
_xlpm.x,TRIM(C448),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8" s="16" t="b">
        <f t="shared" si="26"/>
        <v>0</v>
      </c>
    </row>
    <row r="449" spans="1:14" x14ac:dyDescent="0.25">
      <c r="A449" s="5" t="s">
        <v>187</v>
      </c>
      <c r="B449" s="16">
        <v>132</v>
      </c>
      <c r="C449" s="16" t="str">
        <v>Harwood - 216</v>
      </c>
      <c r="D449" s="6">
        <f>_xlfn.XLOOKUP(C449,'2023'!C:C,'2023'!A:A,"")</f>
        <v>45029.8</v>
      </c>
      <c r="E449" s="6" t="str">
        <f>_xlfn.XLOOKUP(C449,'2023'!C:C,'2023'!B:B,"")</f>
        <v>No Selection Time Issued</v>
      </c>
      <c r="F449" s="19">
        <f t="shared" si="27"/>
        <v>45029.8</v>
      </c>
      <c r="G449" s="6">
        <f>_xlfn.XLOOKUP(C449,'2024'!C:C,'2024'!A:A,"")</f>
        <v>45393.760416666999</v>
      </c>
      <c r="H449" s="6" t="str">
        <f>_xlfn.XLOOKUP(C450,'2024'!C:C,'2024'!B:B,"")</f>
        <v>No Selection Time Issued</v>
      </c>
      <c r="I449" s="19">
        <f t="shared" si="24"/>
        <v>45393.760416666999</v>
      </c>
      <c r="J449" s="6">
        <f>_xlfn.XLOOKUP(C449,'2025'!C:C,'2025'!A:A,"")</f>
        <v>45757.768750000003</v>
      </c>
      <c r="K449" s="6" t="str">
        <f>_xlfn.XLOOKUP(C449,'2025'!C:C,'2025'!B:B,"")</f>
        <v>No Selection Time Issued</v>
      </c>
      <c r="L449" s="19">
        <f t="shared" si="25"/>
        <v>45757.768750000003</v>
      </c>
      <c r="M449" s="16" cm="1">
        <f t="array" ref="M449">IFERROR(_xlfn.LET(
_xlpm.x,TRIM(C449),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49" s="16" t="b">
        <f t="shared" si="26"/>
        <v>0</v>
      </c>
    </row>
    <row r="450" spans="1:14" x14ac:dyDescent="0.25">
      <c r="A450" s="5" t="s">
        <v>187</v>
      </c>
      <c r="B450" s="16">
        <v>152</v>
      </c>
      <c r="C450" s="16" t="str">
        <v>Harwood - 217</v>
      </c>
      <c r="D450" s="6">
        <f>_xlfn.XLOOKUP(C450,'2023'!C:C,'2023'!A:A,"")</f>
        <v>45029.739583333001</v>
      </c>
      <c r="E450" s="6">
        <f>_xlfn.XLOOKUP(C450,'2023'!C:C,'2023'!B:B,"")</f>
        <v>45029.735416666997</v>
      </c>
      <c r="F450" s="19">
        <f t="shared" si="27"/>
        <v>45029.735416666997</v>
      </c>
      <c r="G450" s="6">
        <f>_xlfn.XLOOKUP(C450,'2024'!C:C,'2024'!A:A,"")</f>
        <v>45393.724999999999</v>
      </c>
      <c r="H450" s="6" t="str">
        <f>_xlfn.XLOOKUP(C451,'2024'!C:C,'2024'!B:B,"")</f>
        <v/>
      </c>
      <c r="I450" s="19">
        <f t="shared" ref="I450:I513" si="28">_xlfn.LET(
_xlpm.ind,G450,
_xlpm.grp,H450,
IF(AND(NOT(ISNUMBER(_xlpm.ind)),NOT(ISNUMBER(_xlpm.grp))),"",
MIN(IF(ISNUMBER(_xlpm.ind),_xlpm.ind,1E+99),IF(ISNUMBER(_xlpm.grp),_xlpm.grp,1E+99))
)
)</f>
        <v>45393.724999999999</v>
      </c>
      <c r="J450" s="6" t="str">
        <f>_xlfn.XLOOKUP(C450,'2025'!C:C,'2025'!A:A,"")</f>
        <v/>
      </c>
      <c r="K450" s="6" t="str">
        <f>_xlfn.XLOOKUP(C450,'2025'!C:C,'2025'!B:B,"")</f>
        <v/>
      </c>
      <c r="L450" s="19" t="str">
        <f t="shared" ref="L450:L513" si="29">_xlfn.LET(_xlpm.ind,J450,_xlpm.grp,K450,IF(AND(NOT(ISNUMBER(_xlpm.ind)),NOT(ISNUMBER(_xlpm.grp))),"",MIN(IF(ISNUMBER(_xlpm.ind),_xlpm.ind,1E+99),IF(ISNUMBER(_xlpm.grp),_xlpm.grp,1E+99))))</f>
        <v/>
      </c>
      <c r="M450" s="16" cm="1">
        <f t="array" ref="M450">IFERROR(_xlfn.LET(
_xlpm.x,TRIM(C450),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0" s="16" t="b">
        <f t="shared" ref="N450:N513" si="30">OR(_xlfn.TEXTBEFORE(C450," - ")="Blaisdell",_xlfn.TEXTBEFORE(C450," - ")="Mudd",_xlfn.TEXTBEFORE(C450," - ")="Dialynas",_xlfn.TEXTBEFORE(C450," - ")="Sontag")</f>
        <v>0</v>
      </c>
    </row>
    <row r="451" spans="1:14" x14ac:dyDescent="0.25">
      <c r="A451" s="5" t="s">
        <v>187</v>
      </c>
      <c r="B451" s="16">
        <v>164</v>
      </c>
      <c r="C451" s="16" t="str">
        <v>Harwood - 219</v>
      </c>
      <c r="D451" s="6">
        <f>_xlfn.XLOOKUP(C451,'2023'!C:C,'2023'!A:A,"")</f>
        <v>45029.724999999999</v>
      </c>
      <c r="E451" s="6" t="str">
        <f>_xlfn.XLOOKUP(C451,'2023'!C:C,'2023'!B:B,"")</f>
        <v>No Selection Time Issued</v>
      </c>
      <c r="F451" s="19">
        <f t="shared" ref="F451:F514" si="31">_xlfn.LET(
_xlpm.ind,D451,
_xlpm.grp,E451,
IF(AND(NOT(ISNUMBER(_xlpm.ind)),NOT(ISNUMBER(_xlpm.grp))),"",
MIN(IF(ISNUMBER(_xlpm.ind),_xlpm.ind,1E+99),IF(ISNUMBER(_xlpm.grp),_xlpm.grp,1E+99))
)
)</f>
        <v>45029.724999999999</v>
      </c>
      <c r="G451" s="6" t="str">
        <f>_xlfn.XLOOKUP(C451,'2024'!C:C,'2024'!A:A,"")</f>
        <v/>
      </c>
      <c r="H451" s="6" t="str">
        <f>_xlfn.XLOOKUP(C452,'2024'!C:C,'2024'!B:B,"")</f>
        <v>No Selection Time Issued</v>
      </c>
      <c r="I451" s="19" t="str">
        <f t="shared" si="28"/>
        <v/>
      </c>
      <c r="J451" s="6" t="str">
        <f>_xlfn.XLOOKUP(C451,'2025'!C:C,'2025'!A:A,"")</f>
        <v/>
      </c>
      <c r="K451" s="6" t="str">
        <f>_xlfn.XLOOKUP(C451,'2025'!C:C,'2025'!B:B,"")</f>
        <v/>
      </c>
      <c r="L451" s="19" t="str">
        <f t="shared" si="29"/>
        <v/>
      </c>
      <c r="M451" s="16" cm="1">
        <f t="array" ref="M451">IFERROR(_xlfn.LET(
_xlpm.x,TRIM(C451),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1" s="16" t="b">
        <f t="shared" si="30"/>
        <v>0</v>
      </c>
    </row>
    <row r="452" spans="1:14" x14ac:dyDescent="0.25">
      <c r="A452" s="5" t="s">
        <v>187</v>
      </c>
      <c r="B452" s="16">
        <v>138</v>
      </c>
      <c r="C452" s="16" t="str">
        <v>Harwood - 229</v>
      </c>
      <c r="D452" s="6">
        <f>_xlfn.XLOOKUP(C452,'2023'!C:C,'2023'!A:A,"")</f>
        <v>45029.758333332997</v>
      </c>
      <c r="E452" s="6" t="str">
        <f>_xlfn.XLOOKUP(C452,'2023'!C:C,'2023'!B:B,"")</f>
        <v>No Selection Time Issued</v>
      </c>
      <c r="F452" s="19">
        <f t="shared" si="31"/>
        <v>45029.758333332997</v>
      </c>
      <c r="G452" s="6">
        <f>_xlfn.XLOOKUP(C452,'2024'!C:C,'2024'!A:A,"")</f>
        <v>45393.75</v>
      </c>
      <c r="H452" s="6" t="str">
        <f>_xlfn.XLOOKUP(C453,'2024'!C:C,'2024'!B:B,"")</f>
        <v/>
      </c>
      <c r="I452" s="19">
        <f t="shared" si="28"/>
        <v>45393.75</v>
      </c>
      <c r="J452" s="6">
        <f>_xlfn.XLOOKUP(C452,'2025'!C:C,'2025'!A:A,"")</f>
        <v>45757.762499999997</v>
      </c>
      <c r="K452" s="6" t="str">
        <f>_xlfn.XLOOKUP(C452,'2025'!C:C,'2025'!B:B,"")</f>
        <v>No Selection Time Issued</v>
      </c>
      <c r="L452" s="19">
        <f t="shared" si="29"/>
        <v>45757.762499999997</v>
      </c>
      <c r="M452" s="16" cm="1">
        <f t="array" ref="M452">IFERROR(_xlfn.LET(
_xlpm.x,TRIM(C452),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2" s="16" t="b">
        <f t="shared" si="30"/>
        <v>0</v>
      </c>
    </row>
    <row r="453" spans="1:14" x14ac:dyDescent="0.25">
      <c r="A453" s="5" t="s">
        <v>702</v>
      </c>
      <c r="B453" s="16">
        <v>156</v>
      </c>
      <c r="C453" s="16" t="str">
        <v>Harwood - 230</v>
      </c>
      <c r="D453" s="6">
        <f>_xlfn.XLOOKUP(C453,'2023'!C:C,'2023'!A:A,"")</f>
        <v>45029.770833333001</v>
      </c>
      <c r="E453" s="6">
        <f>_xlfn.XLOOKUP(C453,'2023'!C:C,'2023'!B:B,"")</f>
        <v>45027.710416667003</v>
      </c>
      <c r="F453" s="19">
        <f t="shared" si="31"/>
        <v>45027.710416667003</v>
      </c>
      <c r="G453" s="6" t="str">
        <f>_xlfn.XLOOKUP(C453,'2024'!C:C,'2024'!A:A,"")</f>
        <v/>
      </c>
      <c r="H453" s="6">
        <f>_xlfn.XLOOKUP(C454,'2024'!C:C,'2024'!B:B,"")</f>
        <v>45393.785416667</v>
      </c>
      <c r="I453" s="19">
        <f t="shared" si="28"/>
        <v>45393.785416667</v>
      </c>
      <c r="J453" s="6">
        <f>_xlfn.XLOOKUP(C453,'2025'!C:C,'2025'!A:A,"")</f>
        <v>45757.735416666997</v>
      </c>
      <c r="K453" s="6" t="str">
        <f>_xlfn.XLOOKUP(C453,'2025'!C:C,'2025'!B:B,"")</f>
        <v>No Selection Time Issued</v>
      </c>
      <c r="L453" s="19">
        <f t="shared" si="29"/>
        <v>45757.735416666997</v>
      </c>
      <c r="M453" s="16" cm="1">
        <f t="array" ref="M453">IFERROR(_xlfn.LET(
_xlpm.x,TRIM(C453),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3" s="16" t="b">
        <f t="shared" si="30"/>
        <v>0</v>
      </c>
    </row>
    <row r="454" spans="1:14" x14ac:dyDescent="0.25">
      <c r="A454" s="5" t="s">
        <v>702</v>
      </c>
      <c r="B454" s="16">
        <v>152</v>
      </c>
      <c r="C454" s="16" t="str">
        <v>Harwood - 231</v>
      </c>
      <c r="D454" s="6">
        <f>_xlfn.XLOOKUP(C454,'2023'!C:C,'2023'!A:A,"")</f>
        <v>45029.712500000001</v>
      </c>
      <c r="E454" s="6">
        <f>_xlfn.XLOOKUP(C454,'2023'!C:C,'2023'!B:B,"")</f>
        <v>45027.710416667003</v>
      </c>
      <c r="F454" s="19">
        <f t="shared" si="31"/>
        <v>45027.710416667003</v>
      </c>
      <c r="G454" s="6">
        <f>_xlfn.XLOOKUP(C454,'2024'!C:C,'2024'!A:A,"")</f>
        <v>45393.724999999999</v>
      </c>
      <c r="H454" s="6" t="str">
        <f>_xlfn.XLOOKUP(C455,'2024'!C:C,'2024'!B:B,"")</f>
        <v>No Selection Time Issued</v>
      </c>
      <c r="I454" s="19">
        <f t="shared" si="28"/>
        <v>45393.724999999999</v>
      </c>
      <c r="J454" s="6">
        <f>_xlfn.XLOOKUP(C454,'2025'!C:C,'2025'!A:A,"")</f>
        <v>45757.762499999997</v>
      </c>
      <c r="K454" s="6" t="str">
        <f>_xlfn.XLOOKUP(C454,'2025'!C:C,'2025'!B:B,"")</f>
        <v>No Selection Time Issued</v>
      </c>
      <c r="L454" s="19">
        <f t="shared" si="29"/>
        <v>45757.762499999997</v>
      </c>
      <c r="M454" s="16" cm="1">
        <f t="array" ref="M454">IFERROR(_xlfn.LET(
_xlpm.x,TRIM(C454),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4" s="16" t="b">
        <f t="shared" si="30"/>
        <v>0</v>
      </c>
    </row>
    <row r="455" spans="1:14" x14ac:dyDescent="0.25">
      <c r="A455" s="5" t="s">
        <v>455</v>
      </c>
      <c r="B455" s="16">
        <v>155</v>
      </c>
      <c r="C455" s="16" t="str">
        <v>Harwood - 232</v>
      </c>
      <c r="D455" s="6">
        <f>_xlfn.XLOOKUP(C455,'2023'!C:C,'2023'!A:A,"")</f>
        <v>45029.733333333003</v>
      </c>
      <c r="E455" s="6" t="str">
        <f>_xlfn.XLOOKUP(C455,'2023'!C:C,'2023'!B:B,"")</f>
        <v>No Selection Time Issued</v>
      </c>
      <c r="F455" s="19">
        <f t="shared" si="31"/>
        <v>45029.733333333003</v>
      </c>
      <c r="G455" s="6">
        <f>_xlfn.XLOOKUP(C455,'2024'!C:C,'2024'!A:A,"")</f>
        <v>45393.745833333</v>
      </c>
      <c r="H455" s="6" t="str">
        <f>_xlfn.XLOOKUP(C456,'2024'!C:C,'2024'!B:B,"")</f>
        <v>No Selection Time Issued</v>
      </c>
      <c r="I455" s="19">
        <f t="shared" si="28"/>
        <v>45393.745833333</v>
      </c>
      <c r="J455" s="6">
        <f>_xlfn.XLOOKUP(C455,'2025'!C:C,'2025'!A:A,"")</f>
        <v>45757.712500000001</v>
      </c>
      <c r="K455" s="6" t="str">
        <f>_xlfn.XLOOKUP(C455,'2025'!C:C,'2025'!B:B,"")</f>
        <v>No Selection Time Issued</v>
      </c>
      <c r="L455" s="19">
        <f t="shared" si="29"/>
        <v>45757.712500000001</v>
      </c>
      <c r="M455" s="16" cm="1">
        <f t="array" ref="M455">IFERROR(_xlfn.LET(
_xlpm.x,TRIM(C455),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5" s="16" t="b">
        <f t="shared" si="30"/>
        <v>0</v>
      </c>
    </row>
    <row r="456" spans="1:14" x14ac:dyDescent="0.25">
      <c r="A456" s="5" t="s">
        <v>455</v>
      </c>
      <c r="B456" s="16">
        <v>250</v>
      </c>
      <c r="C456" s="16" t="str">
        <v>Harwood - 233</v>
      </c>
      <c r="D456" s="6">
        <f>_xlfn.XLOOKUP(C456,'2023'!C:C,'2023'!A:A,"")</f>
        <v>45029.710416667003</v>
      </c>
      <c r="E456" s="6">
        <f>_xlfn.XLOOKUP(C456,'2023'!C:C,'2023'!B:B,"")</f>
        <v>45027.902083333</v>
      </c>
      <c r="F456" s="19">
        <f t="shared" si="31"/>
        <v>45027.902083333</v>
      </c>
      <c r="G456" s="6">
        <f>_xlfn.XLOOKUP(C456,'2024'!C:C,'2024'!A:A,"")</f>
        <v>45393.772916667003</v>
      </c>
      <c r="H456" s="6" t="str">
        <f>_xlfn.XLOOKUP(C457,'2024'!C:C,'2024'!B:B,"")</f>
        <v>No Selection Time Issued</v>
      </c>
      <c r="I456" s="19">
        <f t="shared" si="28"/>
        <v>45393.772916667003</v>
      </c>
      <c r="J456" s="6">
        <f>_xlfn.XLOOKUP(C456,'2025'!C:C,'2025'!A:A,"")</f>
        <v>45757.847916667</v>
      </c>
      <c r="K456" s="6">
        <f>_xlfn.XLOOKUP(C456,'2025'!C:C,'2025'!B:B,"")</f>
        <v>45757.720833332998</v>
      </c>
      <c r="L456" s="19">
        <f t="shared" si="29"/>
        <v>45757.720833332998</v>
      </c>
      <c r="M456" s="16" cm="1">
        <f t="array" ref="M456">IFERROR(_xlfn.LET(
_xlpm.x,TRIM(C456),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56" s="16" t="b">
        <f t="shared" si="30"/>
        <v>0</v>
      </c>
    </row>
    <row r="457" spans="1:14" x14ac:dyDescent="0.25">
      <c r="A457" s="5" t="s">
        <v>703</v>
      </c>
      <c r="B457" s="16">
        <v>187</v>
      </c>
      <c r="C457" s="16" t="str">
        <v>Harwood - 234</v>
      </c>
      <c r="D457" s="6">
        <f>_xlfn.XLOOKUP(C457,'2023'!C:C,'2023'!A:A,"")</f>
        <v>45029.8</v>
      </c>
      <c r="E457" s="6">
        <f>_xlfn.XLOOKUP(C457,'2023'!C:C,'2023'!B:B,"")</f>
        <v>45027.71875</v>
      </c>
      <c r="F457" s="19">
        <f t="shared" si="31"/>
        <v>45027.71875</v>
      </c>
      <c r="G457" s="6">
        <f>_xlfn.XLOOKUP(C457,'2024'!C:C,'2024'!A:A,"")</f>
        <v>45393.818749999999</v>
      </c>
      <c r="H457" s="6" t="str">
        <f>_xlfn.XLOOKUP(C458,'2024'!C:C,'2024'!B:B,"")</f>
        <v>No Selection Time Issued</v>
      </c>
      <c r="I457" s="19">
        <f t="shared" si="28"/>
        <v>45393.818749999999</v>
      </c>
      <c r="J457" s="6">
        <f>_xlfn.XLOOKUP(C457,'2025'!C:C,'2025'!A:A,"")</f>
        <v>45757.791666666999</v>
      </c>
      <c r="K457" s="6">
        <f>_xlfn.XLOOKUP(C457,'2025'!C:C,'2025'!B:B,"")</f>
        <v>45757.779166667002</v>
      </c>
      <c r="L457" s="19">
        <f t="shared" si="29"/>
        <v>45757.779166667002</v>
      </c>
      <c r="M457" s="16" cm="1">
        <f t="array" ref="M457">IFERROR(_xlfn.LET(
_xlpm.x,TRIM(C457),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57" s="16" t="b">
        <f t="shared" si="30"/>
        <v>0</v>
      </c>
    </row>
    <row r="458" spans="1:14" x14ac:dyDescent="0.25">
      <c r="A458" s="5" t="s">
        <v>703</v>
      </c>
      <c r="B458" s="16">
        <v>168</v>
      </c>
      <c r="C458" s="16" t="str">
        <v>Harwood - 236</v>
      </c>
      <c r="D458" s="6">
        <f>_xlfn.XLOOKUP(C458,'2023'!C:C,'2023'!A:A,"")</f>
        <v>45029.71875</v>
      </c>
      <c r="E458" s="6" t="str">
        <f>_xlfn.XLOOKUP(C458,'2023'!C:C,'2023'!B:B,"")</f>
        <v>No Selection Time Issued</v>
      </c>
      <c r="F458" s="19">
        <f t="shared" si="31"/>
        <v>45029.71875</v>
      </c>
      <c r="G458" s="6">
        <f>_xlfn.XLOOKUP(C458,'2024'!C:C,'2024'!A:A,"")</f>
        <v>45393.75</v>
      </c>
      <c r="H458" s="6" t="str">
        <f>_xlfn.XLOOKUP(C459,'2024'!C:C,'2024'!B:B,"")</f>
        <v>No Selection Time Issued</v>
      </c>
      <c r="I458" s="19">
        <f t="shared" si="28"/>
        <v>45393.75</v>
      </c>
      <c r="J458" s="6">
        <f>_xlfn.XLOOKUP(C458,'2025'!C:C,'2025'!A:A,"")</f>
        <v>45757.731249999997</v>
      </c>
      <c r="K458" s="6" t="str">
        <f>_xlfn.XLOOKUP(C458,'2025'!C:C,'2025'!B:B,"")</f>
        <v>No Selection Time Issued</v>
      </c>
      <c r="L458" s="19">
        <f t="shared" si="29"/>
        <v>45757.731249999997</v>
      </c>
      <c r="M458" s="16" cm="1">
        <f t="array" ref="M458">IFERROR(_xlfn.LET(
_xlpm.x,TRIM(C458),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8" s="16" t="b">
        <f t="shared" si="30"/>
        <v>0</v>
      </c>
    </row>
    <row r="459" spans="1:14" x14ac:dyDescent="0.25">
      <c r="A459" s="5" t="s">
        <v>429</v>
      </c>
      <c r="B459" s="16">
        <v>150</v>
      </c>
      <c r="C459" s="16" t="str">
        <v>Harwood - 237</v>
      </c>
      <c r="D459" s="6">
        <f>_xlfn.XLOOKUP(C459,'2023'!C:C,'2023'!A:A,"")</f>
        <v>45029.78125</v>
      </c>
      <c r="E459" s="6">
        <f>_xlfn.XLOOKUP(C459,'2023'!C:C,'2023'!B:B,"")</f>
        <v>45029.712500000001</v>
      </c>
      <c r="F459" s="19">
        <f t="shared" si="31"/>
        <v>45029.712500000001</v>
      </c>
      <c r="G459" s="6">
        <f>_xlfn.XLOOKUP(C459,'2024'!C:C,'2024'!A:A,"")</f>
        <v>45393.741666667003</v>
      </c>
      <c r="H459" s="6" t="str">
        <f>_xlfn.XLOOKUP(C460,'2024'!C:C,'2024'!B:B,"")</f>
        <v>No Selection Time Issued</v>
      </c>
      <c r="I459" s="19">
        <f t="shared" si="28"/>
        <v>45393.741666667003</v>
      </c>
      <c r="J459" s="6">
        <f>_xlfn.XLOOKUP(C459,'2025'!C:C,'2025'!A:A,"")</f>
        <v>45757.745833333</v>
      </c>
      <c r="K459" s="6" t="str">
        <f>_xlfn.XLOOKUP(C459,'2025'!C:C,'2025'!B:B,"")</f>
        <v>No Selection Time Issued</v>
      </c>
      <c r="L459" s="19">
        <f t="shared" si="29"/>
        <v>45757.745833333</v>
      </c>
      <c r="M459" s="16" cm="1">
        <f t="array" ref="M459">IFERROR(_xlfn.LET(
_xlpm.x,TRIM(C459),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59" s="16" t="b">
        <f t="shared" si="30"/>
        <v>0</v>
      </c>
    </row>
    <row r="460" spans="1:14" x14ac:dyDescent="0.25">
      <c r="A460" s="5" t="s">
        <v>429</v>
      </c>
      <c r="B460" s="16">
        <v>156</v>
      </c>
      <c r="C460" s="16" t="str">
        <v>Harwood - 238</v>
      </c>
      <c r="D460" s="6">
        <f>_xlfn.XLOOKUP(C460,'2023'!C:C,'2023'!A:A,"")</f>
        <v>45029.756249999999</v>
      </c>
      <c r="E460" s="6">
        <f>_xlfn.XLOOKUP(C460,'2023'!C:C,'2023'!B:B,"")</f>
        <v>45027.710416667003</v>
      </c>
      <c r="F460" s="19">
        <f t="shared" si="31"/>
        <v>45027.710416667003</v>
      </c>
      <c r="G460" s="6">
        <f>_xlfn.XLOOKUP(C460,'2024'!C:C,'2024'!A:A,"")</f>
        <v>45393.747916667002</v>
      </c>
      <c r="H460" s="6" t="str">
        <f>_xlfn.XLOOKUP(C461,'2024'!C:C,'2024'!B:B,"")</f>
        <v>No Selection Time Issued</v>
      </c>
      <c r="I460" s="19">
        <f t="shared" si="28"/>
        <v>45393.747916667002</v>
      </c>
      <c r="J460" s="6">
        <f>_xlfn.XLOOKUP(C460,'2025'!C:C,'2025'!A:A,"")</f>
        <v>45757.731249999997</v>
      </c>
      <c r="K460" s="6" t="str">
        <f>_xlfn.XLOOKUP(C460,'2025'!C:C,'2025'!B:B,"")</f>
        <v>No Selection Time Issued</v>
      </c>
      <c r="L460" s="19">
        <f t="shared" si="29"/>
        <v>45757.731249999997</v>
      </c>
      <c r="M460" s="16" cm="1">
        <f t="array" ref="M460">IFERROR(_xlfn.LET(
_xlpm.x,TRIM(C460),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0" s="16" t="b">
        <f t="shared" si="30"/>
        <v>0</v>
      </c>
    </row>
    <row r="461" spans="1:14" x14ac:dyDescent="0.25">
      <c r="A461" s="5" t="s">
        <v>429</v>
      </c>
      <c r="B461" s="16">
        <v>149</v>
      </c>
      <c r="C461" s="16" t="str">
        <v>Harwood - 239</v>
      </c>
      <c r="D461" s="6">
        <f>_xlfn.XLOOKUP(C461,'2023'!C:C,'2023'!A:A,"")</f>
        <v>45029.729166666999</v>
      </c>
      <c r="E461" s="6">
        <f>_xlfn.XLOOKUP(C461,'2023'!C:C,'2023'!B:B,"")</f>
        <v>45029.727083332997</v>
      </c>
      <c r="F461" s="19">
        <f t="shared" si="31"/>
        <v>45029.727083332997</v>
      </c>
      <c r="G461" s="6">
        <f>_xlfn.XLOOKUP(C461,'2024'!C:C,'2024'!A:A,"")</f>
        <v>45393.741666667003</v>
      </c>
      <c r="H461" s="6" t="str">
        <f>_xlfn.XLOOKUP(C462,'2024'!C:C,'2024'!B:B,"")</f>
        <v>No Selection Time Issued</v>
      </c>
      <c r="I461" s="19">
        <f t="shared" si="28"/>
        <v>45393.741666667003</v>
      </c>
      <c r="J461" s="6">
        <f>_xlfn.XLOOKUP(C461,'2025'!C:C,'2025'!A:A,"")</f>
        <v>45757.762499999997</v>
      </c>
      <c r="K461" s="6" t="str">
        <f>_xlfn.XLOOKUP(C461,'2025'!C:C,'2025'!B:B,"")</f>
        <v>No Selection Time Issued</v>
      </c>
      <c r="L461" s="19">
        <f t="shared" si="29"/>
        <v>45757.762499999997</v>
      </c>
      <c r="M461" s="16" cm="1">
        <f t="array" ref="M461">IFERROR(_xlfn.LET(
_xlpm.x,TRIM(C461),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1" s="16" t="b">
        <f t="shared" si="30"/>
        <v>0</v>
      </c>
    </row>
    <row r="462" spans="1:14" x14ac:dyDescent="0.25">
      <c r="A462" s="5" t="s">
        <v>612</v>
      </c>
      <c r="B462" s="16">
        <v>147</v>
      </c>
      <c r="C462" s="16" t="str">
        <v>Harwood - 240</v>
      </c>
      <c r="D462" s="6">
        <f>_xlfn.XLOOKUP(C462,'2023'!C:C,'2023'!A:A,"")</f>
        <v>45029.752083332998</v>
      </c>
      <c r="E462" s="6" t="str">
        <f>_xlfn.XLOOKUP(C462,'2023'!C:C,'2023'!B:B,"")</f>
        <v>No Selection Time Issued</v>
      </c>
      <c r="F462" s="19">
        <f t="shared" si="31"/>
        <v>45029.752083332998</v>
      </c>
      <c r="G462" s="6">
        <f>_xlfn.XLOOKUP(C462,'2024'!C:C,'2024'!A:A,"")</f>
        <v>45393.735416666997</v>
      </c>
      <c r="H462" s="6" t="str">
        <f>_xlfn.XLOOKUP(C463,'2024'!C:C,'2024'!B:B,"")</f>
        <v>No Selection Time Issued</v>
      </c>
      <c r="I462" s="19">
        <f t="shared" si="28"/>
        <v>45393.735416666997</v>
      </c>
      <c r="J462" s="6">
        <f>_xlfn.XLOOKUP(C462,'2025'!C:C,'2025'!A:A,"")</f>
        <v>45757.733333333003</v>
      </c>
      <c r="K462" s="6" t="str">
        <f>_xlfn.XLOOKUP(C462,'2025'!C:C,'2025'!B:B,"")</f>
        <v>No Selection Time Issued</v>
      </c>
      <c r="L462" s="19">
        <f t="shared" si="29"/>
        <v>45757.733333333003</v>
      </c>
      <c r="M462" s="16" cm="1">
        <f t="array" ref="M462">IFERROR(_xlfn.LET(
_xlpm.x,TRIM(C462),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2" s="16" t="b">
        <f t="shared" si="30"/>
        <v>0</v>
      </c>
    </row>
    <row r="463" spans="1:14" x14ac:dyDescent="0.25">
      <c r="A463" s="5" t="s">
        <v>612</v>
      </c>
      <c r="B463" s="16">
        <v>138</v>
      </c>
      <c r="C463" s="16" t="str">
        <v>Harwood - 241</v>
      </c>
      <c r="D463" s="6">
        <f>_xlfn.XLOOKUP(C463,'2023'!C:C,'2023'!A:A,"")</f>
        <v>45029.789583332997</v>
      </c>
      <c r="E463" s="6">
        <f>_xlfn.XLOOKUP(C463,'2023'!C:C,'2023'!B:B,"")</f>
        <v>45029.818749999999</v>
      </c>
      <c r="F463" s="19">
        <f t="shared" si="31"/>
        <v>45029.789583332997</v>
      </c>
      <c r="G463" s="6">
        <f>_xlfn.XLOOKUP(C463,'2024'!C:C,'2024'!A:A,"")</f>
        <v>45393.764583333003</v>
      </c>
      <c r="H463" s="6" t="str">
        <f>_xlfn.XLOOKUP(C464,'2024'!C:C,'2024'!B:B,"")</f>
        <v>No Selection Time Issued</v>
      </c>
      <c r="I463" s="19">
        <f t="shared" si="28"/>
        <v>45393.764583333003</v>
      </c>
      <c r="J463" s="6">
        <f>_xlfn.XLOOKUP(C463,'2025'!C:C,'2025'!A:A,"")</f>
        <v>45757.75</v>
      </c>
      <c r="K463" s="6" t="str">
        <f>_xlfn.XLOOKUP(C463,'2025'!C:C,'2025'!B:B,"")</f>
        <v>No Selection Time Issued</v>
      </c>
      <c r="L463" s="19">
        <f t="shared" si="29"/>
        <v>45757.75</v>
      </c>
      <c r="M463" s="16" cm="1">
        <f t="array" ref="M463">IFERROR(_xlfn.LET(
_xlpm.x,TRIM(C463),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3" s="16" t="b">
        <f t="shared" si="30"/>
        <v>0</v>
      </c>
    </row>
    <row r="464" spans="1:14" x14ac:dyDescent="0.25">
      <c r="A464" s="5" t="s">
        <v>461</v>
      </c>
      <c r="B464" s="16">
        <v>150</v>
      </c>
      <c r="C464" s="16" t="str">
        <v>Harwood - 242</v>
      </c>
      <c r="D464" s="6">
        <f>_xlfn.XLOOKUP(C464,'2023'!C:C,'2023'!A:A,"")</f>
        <v>45029.714583333</v>
      </c>
      <c r="E464" s="6">
        <f>_xlfn.XLOOKUP(C464,'2023'!C:C,'2023'!B:B,"")</f>
        <v>45027.8</v>
      </c>
      <c r="F464" s="19">
        <f t="shared" si="31"/>
        <v>45027.8</v>
      </c>
      <c r="G464" s="6">
        <f>_xlfn.XLOOKUP(C464,'2024'!C:C,'2024'!A:A,"")</f>
        <v>45393.714583333</v>
      </c>
      <c r="H464" s="6" t="str">
        <f>_xlfn.XLOOKUP(C465,'2024'!C:C,'2024'!B:B,"")</f>
        <v>No Selection Time Issued</v>
      </c>
      <c r="I464" s="19">
        <f t="shared" si="28"/>
        <v>45393.714583333</v>
      </c>
      <c r="J464" s="6">
        <f>_xlfn.XLOOKUP(C464,'2025'!C:C,'2025'!A:A,"")</f>
        <v>45757.71875</v>
      </c>
      <c r="K464" s="6" t="str">
        <f>_xlfn.XLOOKUP(C464,'2025'!C:C,'2025'!B:B,"")</f>
        <v>No Selection Time Issued</v>
      </c>
      <c r="L464" s="19">
        <f t="shared" si="29"/>
        <v>45757.71875</v>
      </c>
      <c r="M464" s="16" cm="1">
        <f t="array" ref="M464">IFERROR(_xlfn.LET(
_xlpm.x,TRIM(C464),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4" s="16" t="b">
        <f t="shared" si="30"/>
        <v>0</v>
      </c>
    </row>
    <row r="465" spans="1:14" x14ac:dyDescent="0.25">
      <c r="A465" s="5" t="s">
        <v>461</v>
      </c>
      <c r="B465" s="16">
        <v>243</v>
      </c>
      <c r="C465" s="16" t="str">
        <v>Harwood - 243</v>
      </c>
      <c r="D465" s="6">
        <f>_xlfn.XLOOKUP(C465,'2023'!C:C,'2023'!A:A,"")</f>
        <v>45029.795833333003</v>
      </c>
      <c r="E465" s="6" t="str">
        <f>_xlfn.XLOOKUP(C465,'2023'!C:C,'2023'!B:B,"")</f>
        <v>No Selection Time Issued</v>
      </c>
      <c r="F465" s="19">
        <f t="shared" si="31"/>
        <v>45029.795833333003</v>
      </c>
      <c r="G465" s="6">
        <f>_xlfn.XLOOKUP(C465,'2024'!C:C,'2024'!A:A,"")</f>
        <v>45393.764583333003</v>
      </c>
      <c r="H465" s="6" t="str">
        <f>_xlfn.XLOOKUP(C466,'2024'!C:C,'2024'!B:B,"")</f>
        <v/>
      </c>
      <c r="I465" s="19">
        <f t="shared" si="28"/>
        <v>45393.764583333003</v>
      </c>
      <c r="J465" s="6">
        <f>_xlfn.XLOOKUP(C465,'2025'!C:C,'2025'!A:A,"")</f>
        <v>45757.716666667002</v>
      </c>
      <c r="K465" s="6" t="str">
        <f>_xlfn.XLOOKUP(C465,'2025'!C:C,'2025'!B:B,"")</f>
        <v>No Selection Time Issued</v>
      </c>
      <c r="L465" s="19">
        <f t="shared" si="29"/>
        <v>45757.716666667002</v>
      </c>
      <c r="M465" s="16" cm="1">
        <f t="array" ref="M465">IFERROR(_xlfn.LET(
_xlpm.x,TRIM(C465),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5" s="16" t="b">
        <f t="shared" si="30"/>
        <v>0</v>
      </c>
    </row>
    <row r="466" spans="1:14" x14ac:dyDescent="0.25">
      <c r="A466" s="5" t="s">
        <v>273</v>
      </c>
      <c r="B466" s="16">
        <v>145</v>
      </c>
      <c r="C466" s="16" t="str">
        <v>Harwood - 244</v>
      </c>
      <c r="D466" s="6">
        <f>_xlfn.XLOOKUP(C466,'2023'!C:C,'2023'!A:A,"")</f>
        <v>45029.754166667</v>
      </c>
      <c r="E466" s="6">
        <f>_xlfn.XLOOKUP(C466,'2023'!C:C,'2023'!B:B,"")</f>
        <v>45029.708333333001</v>
      </c>
      <c r="F466" s="19">
        <f t="shared" si="31"/>
        <v>45029.708333333001</v>
      </c>
      <c r="G466" s="6" t="str">
        <f>_xlfn.XLOOKUP(C466,'2024'!C:C,'2024'!A:A,"")</f>
        <v/>
      </c>
      <c r="H466" s="6">
        <f>_xlfn.XLOOKUP(C467,'2024'!C:C,'2024'!B:B,"")</f>
        <v>45392.71875</v>
      </c>
      <c r="I466" s="19">
        <f t="shared" si="28"/>
        <v>45392.71875</v>
      </c>
      <c r="J466" s="6">
        <f>_xlfn.XLOOKUP(C466,'2025'!C:C,'2025'!A:A,"")</f>
        <v>45757.729166666999</v>
      </c>
      <c r="K466" s="6" t="str">
        <f>_xlfn.XLOOKUP(C466,'2025'!C:C,'2025'!B:B,"")</f>
        <v>No Selection Time Issued</v>
      </c>
      <c r="L466" s="19">
        <f t="shared" si="29"/>
        <v>45757.729166666999</v>
      </c>
      <c r="M466" s="16" cm="1">
        <f t="array" ref="M466">IFERROR(_xlfn.LET(
_xlpm.x,TRIM(C466),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6" s="16" t="b">
        <f t="shared" si="30"/>
        <v>0</v>
      </c>
    </row>
    <row r="467" spans="1:14" x14ac:dyDescent="0.25">
      <c r="A467" s="5" t="s">
        <v>273</v>
      </c>
      <c r="B467" s="16">
        <v>142</v>
      </c>
      <c r="C467" s="16" t="str">
        <v>Harwood - 245</v>
      </c>
      <c r="D467" s="6">
        <f>_xlfn.XLOOKUP(C467,'2023'!C:C,'2023'!A:A,"")</f>
        <v>45029.735416666997</v>
      </c>
      <c r="E467" s="6">
        <f>_xlfn.XLOOKUP(C467,'2023'!C:C,'2023'!B:B,"")</f>
        <v>45027.722916667</v>
      </c>
      <c r="F467" s="19">
        <f t="shared" si="31"/>
        <v>45027.722916667</v>
      </c>
      <c r="G467" s="6">
        <f>_xlfn.XLOOKUP(C467,'2024'!C:C,'2024'!A:A,"")</f>
        <v>45393.712500000001</v>
      </c>
      <c r="H467" s="6" t="str">
        <f>_xlfn.XLOOKUP(C468,'2024'!C:C,'2024'!B:B,"")</f>
        <v>No Selection Time Issued</v>
      </c>
      <c r="I467" s="19">
        <f t="shared" si="28"/>
        <v>45393.712500000001</v>
      </c>
      <c r="J467" s="6" t="str">
        <f>_xlfn.XLOOKUP(C467,'2025'!C:C,'2025'!A:A,"")</f>
        <v/>
      </c>
      <c r="K467" s="6" t="str">
        <f>_xlfn.XLOOKUP(C467,'2025'!C:C,'2025'!B:B,"")</f>
        <v/>
      </c>
      <c r="L467" s="19" t="str">
        <f t="shared" si="29"/>
        <v/>
      </c>
      <c r="M467" s="16" cm="1">
        <f t="array" ref="M467">IFERROR(_xlfn.LET(
_xlpm.x,TRIM(C467),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7" s="16" t="b">
        <f t="shared" si="30"/>
        <v>0</v>
      </c>
    </row>
    <row r="468" spans="1:14" x14ac:dyDescent="0.25">
      <c r="A468" s="5" t="s">
        <v>354</v>
      </c>
      <c r="B468" s="16">
        <v>157</v>
      </c>
      <c r="C468" s="16" t="str">
        <v>Harwood - 247</v>
      </c>
      <c r="D468" s="6" t="str">
        <f>_xlfn.XLOOKUP(C468,'2023'!C:C,'2023'!A:A,"")</f>
        <v/>
      </c>
      <c r="E468" s="6" t="str">
        <f>_xlfn.XLOOKUP(C468,'2023'!C:C,'2023'!B:B,"")</f>
        <v/>
      </c>
      <c r="F468" s="19" t="str">
        <f t="shared" si="31"/>
        <v/>
      </c>
      <c r="G468" s="6">
        <f>_xlfn.XLOOKUP(C468,'2024'!C:C,'2024'!A:A,"")</f>
        <v>45393.708333333001</v>
      </c>
      <c r="H468" s="6" t="str">
        <f>_xlfn.XLOOKUP(C469,'2024'!C:C,'2024'!B:B,"")</f>
        <v>No Selection Time Issued</v>
      </c>
      <c r="I468" s="19">
        <f t="shared" si="28"/>
        <v>45393.708333333001</v>
      </c>
      <c r="J468" s="6" t="str">
        <f>_xlfn.XLOOKUP(C468,'2025'!C:C,'2025'!A:A,"")</f>
        <v/>
      </c>
      <c r="K468" s="6" t="str">
        <f>_xlfn.XLOOKUP(C468,'2025'!C:C,'2025'!B:B,"")</f>
        <v/>
      </c>
      <c r="L468" s="19" t="str">
        <f t="shared" si="29"/>
        <v/>
      </c>
      <c r="M468" s="16" cm="1">
        <f t="array" ref="M468">IFERROR(_xlfn.LET(
_xlpm.x,TRIM(C468),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8" s="16" t="b">
        <f t="shared" si="30"/>
        <v>0</v>
      </c>
    </row>
    <row r="469" spans="1:14" x14ac:dyDescent="0.25">
      <c r="A469" s="5" t="s">
        <v>354</v>
      </c>
      <c r="B469" s="16">
        <v>158</v>
      </c>
      <c r="C469" s="16" t="str">
        <v>Harwood - 249</v>
      </c>
      <c r="D469" s="6">
        <f>_xlfn.XLOOKUP(C469,'2023'!C:C,'2023'!A:A,"")</f>
        <v>45029.770833333001</v>
      </c>
      <c r="E469" s="6">
        <f>_xlfn.XLOOKUP(C469,'2023'!C:C,'2023'!B:B,"")</f>
        <v>45027.727083332997</v>
      </c>
      <c r="F469" s="19">
        <f t="shared" si="31"/>
        <v>45027.727083332997</v>
      </c>
      <c r="G469" s="6">
        <f>_xlfn.XLOOKUP(C469,'2024'!C:C,'2024'!A:A,"")</f>
        <v>45393.747916667002</v>
      </c>
      <c r="H469" s="6" t="str">
        <f>_xlfn.XLOOKUP(C470,'2024'!C:C,'2024'!B:B,"")</f>
        <v>No Selection Time Issued</v>
      </c>
      <c r="I469" s="19">
        <f t="shared" si="28"/>
        <v>45393.747916667002</v>
      </c>
      <c r="J469" s="6">
        <f>_xlfn.XLOOKUP(C469,'2025'!C:C,'2025'!A:A,"")</f>
        <v>45757.747916667002</v>
      </c>
      <c r="K469" s="6" t="str">
        <f>_xlfn.XLOOKUP(C469,'2025'!C:C,'2025'!B:B,"")</f>
        <v>No Selection Time Issued</v>
      </c>
      <c r="L469" s="19">
        <f t="shared" si="29"/>
        <v>45757.747916667002</v>
      </c>
      <c r="M469" s="16" cm="1">
        <f t="array" ref="M469">IFERROR(_xlfn.LET(
_xlpm.x,TRIM(C469),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69" s="16" t="b">
        <f t="shared" si="30"/>
        <v>0</v>
      </c>
    </row>
    <row r="470" spans="1:14" x14ac:dyDescent="0.25">
      <c r="A470" s="5" t="s">
        <v>283</v>
      </c>
      <c r="B470" s="16">
        <v>146</v>
      </c>
      <c r="C470" s="16" t="str">
        <v>Harwood - 251</v>
      </c>
      <c r="D470" s="6">
        <f>_xlfn.XLOOKUP(C470,'2023'!C:C,'2023'!A:A,"")</f>
        <v>45029.777083333</v>
      </c>
      <c r="E470" s="6" t="str">
        <f>_xlfn.XLOOKUP(C470,'2023'!C:C,'2023'!B:B,"")</f>
        <v>No Selection Time Issued</v>
      </c>
      <c r="F470" s="19">
        <f t="shared" si="31"/>
        <v>45029.777083333</v>
      </c>
      <c r="G470" s="6">
        <f>_xlfn.XLOOKUP(C470,'2024'!C:C,'2024'!A:A,"")</f>
        <v>45393.768750000003</v>
      </c>
      <c r="H470" s="6" t="str">
        <f>_xlfn.XLOOKUP(C471,'2024'!C:C,'2024'!B:B,"")</f>
        <v>No Selection Time Issued</v>
      </c>
      <c r="I470" s="19">
        <f t="shared" si="28"/>
        <v>45393.768750000003</v>
      </c>
      <c r="J470" s="6">
        <f>_xlfn.XLOOKUP(C470,'2025'!C:C,'2025'!A:A,"")</f>
        <v>45757.762499999997</v>
      </c>
      <c r="K470" s="6" t="str">
        <f>_xlfn.XLOOKUP(C470,'2025'!C:C,'2025'!B:B,"")</f>
        <v>No Selection Time Issued</v>
      </c>
      <c r="L470" s="19">
        <f t="shared" si="29"/>
        <v>45757.762499999997</v>
      </c>
      <c r="M470" s="16" cm="1">
        <f t="array" ref="M470">IFERROR(_xlfn.LET(
_xlpm.x,TRIM(C470),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0" s="16" t="b">
        <f t="shared" si="30"/>
        <v>0</v>
      </c>
    </row>
    <row r="471" spans="1:14" x14ac:dyDescent="0.25">
      <c r="A471" s="5" t="s">
        <v>283</v>
      </c>
      <c r="B471" s="16">
        <v>165</v>
      </c>
      <c r="C471" s="16" t="str">
        <v>Harwood - 262</v>
      </c>
      <c r="D471" s="6">
        <f>_xlfn.XLOOKUP(C471,'2023'!C:C,'2023'!A:A,"")</f>
        <v>45029.735416666997</v>
      </c>
      <c r="E471" s="6">
        <f>_xlfn.XLOOKUP(C471,'2023'!C:C,'2023'!B:B,"")</f>
        <v>45028.852083332997</v>
      </c>
      <c r="F471" s="19">
        <f t="shared" si="31"/>
        <v>45028.852083332997</v>
      </c>
      <c r="G471" s="6">
        <f>_xlfn.XLOOKUP(C471,'2024'!C:C,'2024'!A:A,"")</f>
        <v>45393.720833332998</v>
      </c>
      <c r="H471" s="6">
        <f>_xlfn.XLOOKUP(C472,'2024'!C:C,'2024'!B:B,"")</f>
        <v>45392.71875</v>
      </c>
      <c r="I471" s="19">
        <f t="shared" si="28"/>
        <v>45392.71875</v>
      </c>
      <c r="J471" s="6">
        <f>_xlfn.XLOOKUP(C471,'2025'!C:C,'2025'!A:A,"")</f>
        <v>45757.735416666997</v>
      </c>
      <c r="K471" s="6" t="str">
        <f>_xlfn.XLOOKUP(C471,'2025'!C:C,'2025'!B:B,"")</f>
        <v>No Selection Time Issued</v>
      </c>
      <c r="L471" s="19">
        <f t="shared" si="29"/>
        <v>45757.735416666997</v>
      </c>
      <c r="M471" s="16" cm="1">
        <f t="array" ref="M471">IFERROR(_xlfn.LET(
_xlpm.x,TRIM(C471),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1" s="16" t="b">
        <f t="shared" si="30"/>
        <v>0</v>
      </c>
    </row>
    <row r="472" spans="1:14" x14ac:dyDescent="0.25">
      <c r="A472" s="5" t="s">
        <v>352</v>
      </c>
      <c r="B472" s="16">
        <v>199</v>
      </c>
      <c r="C472" s="16" t="str">
        <v>Harwood - 263</v>
      </c>
      <c r="D472" s="6">
        <f>_xlfn.XLOOKUP(C472,'2023'!C:C,'2023'!A:A,"")</f>
        <v>45029.795833333003</v>
      </c>
      <c r="E472" s="6">
        <f>_xlfn.XLOOKUP(C472,'2023'!C:C,'2023'!B:B,"")</f>
        <v>45027.737500000003</v>
      </c>
      <c r="F472" s="19">
        <f t="shared" si="31"/>
        <v>45027.737500000003</v>
      </c>
      <c r="G472" s="6">
        <f>_xlfn.XLOOKUP(C472,'2024'!C:C,'2024'!A:A,"")</f>
        <v>45393.727083332997</v>
      </c>
      <c r="H472" s="6" t="str">
        <f>_xlfn.XLOOKUP(C473,'2024'!C:C,'2024'!B:B,"")</f>
        <v>No Selection Time Issued</v>
      </c>
      <c r="I472" s="19">
        <f t="shared" si="28"/>
        <v>45393.727083332997</v>
      </c>
      <c r="J472" s="6">
        <f>_xlfn.XLOOKUP(C472,'2025'!C:C,'2025'!A:A,"")</f>
        <v>45757.768750000003</v>
      </c>
      <c r="K472" s="6">
        <f>_xlfn.XLOOKUP(C472,'2025'!C:C,'2025'!B:B,"")</f>
        <v>45757.768750000003</v>
      </c>
      <c r="L472" s="19">
        <f t="shared" si="29"/>
        <v>45757.768750000003</v>
      </c>
      <c r="M472" s="16" cm="1">
        <f t="array" ref="M472">IFERROR(_xlfn.LET(
_xlpm.x,TRIM(C472),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72" s="16" t="b">
        <f t="shared" si="30"/>
        <v>0</v>
      </c>
    </row>
    <row r="473" spans="1:14" x14ac:dyDescent="0.25">
      <c r="A473" s="5" t="s">
        <v>352</v>
      </c>
      <c r="B473" s="16">
        <v>148</v>
      </c>
      <c r="C473" s="16" t="str">
        <v>Harwood - 264</v>
      </c>
      <c r="D473" s="6">
        <f>_xlfn.XLOOKUP(C473,'2023'!C:C,'2023'!A:A,"")</f>
        <v>45029.779166667002</v>
      </c>
      <c r="E473" s="6">
        <f>_xlfn.XLOOKUP(C473,'2023'!C:C,'2023'!B:B,"")</f>
        <v>45027.902083333</v>
      </c>
      <c r="F473" s="19">
        <f t="shared" si="31"/>
        <v>45027.902083333</v>
      </c>
      <c r="G473" s="6">
        <f>_xlfn.XLOOKUP(C473,'2024'!C:C,'2024'!A:A,"")</f>
        <v>45393.731249999997</v>
      </c>
      <c r="H473" s="6" t="str">
        <f>_xlfn.XLOOKUP(C474,'2024'!C:C,'2024'!B:B,"")</f>
        <v>No Selection Time Issued</v>
      </c>
      <c r="I473" s="19">
        <f t="shared" si="28"/>
        <v>45393.731249999997</v>
      </c>
      <c r="J473" s="6" t="str">
        <f>_xlfn.XLOOKUP(C473,'2025'!C:C,'2025'!A:A,"")</f>
        <v/>
      </c>
      <c r="K473" s="6" t="str">
        <f>_xlfn.XLOOKUP(C473,'2025'!C:C,'2025'!B:B,"")</f>
        <v/>
      </c>
      <c r="L473" s="19" t="str">
        <f t="shared" si="29"/>
        <v/>
      </c>
      <c r="M473" s="16" cm="1">
        <f t="array" ref="M473">IFERROR(_xlfn.LET(
_xlpm.x,TRIM(C473),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3" s="16" t="b">
        <f t="shared" si="30"/>
        <v>0</v>
      </c>
    </row>
    <row r="474" spans="1:14" x14ac:dyDescent="0.25">
      <c r="A474" s="5" t="s">
        <v>809</v>
      </c>
      <c r="B474" s="16">
        <v>167</v>
      </c>
      <c r="C474" s="16" t="str">
        <v>Harwood - 265</v>
      </c>
      <c r="D474" s="6">
        <f>_xlfn.XLOOKUP(C474,'2023'!C:C,'2023'!A:A,"")</f>
        <v>45029.727083332997</v>
      </c>
      <c r="E474" s="6" t="str">
        <f>_xlfn.XLOOKUP(C474,'2023'!C:C,'2023'!B:B,"")</f>
        <v>No Selection Time Issued</v>
      </c>
      <c r="F474" s="19">
        <f t="shared" si="31"/>
        <v>45029.727083332997</v>
      </c>
      <c r="G474" s="6">
        <f>_xlfn.XLOOKUP(C474,'2024'!C:C,'2024'!A:A,"")</f>
        <v>45393.737500000003</v>
      </c>
      <c r="H474" s="6" t="str">
        <f>_xlfn.XLOOKUP(C475,'2024'!C:C,'2024'!B:B,"")</f>
        <v>No Selection Time Issued</v>
      </c>
      <c r="I474" s="19">
        <f t="shared" si="28"/>
        <v>45393.737500000003</v>
      </c>
      <c r="J474" s="6" t="str">
        <f>_xlfn.XLOOKUP(C474,'2025'!C:C,'2025'!A:A,"")</f>
        <v/>
      </c>
      <c r="K474" s="6" t="str">
        <f>_xlfn.XLOOKUP(C474,'2025'!C:C,'2025'!B:B,"")</f>
        <v/>
      </c>
      <c r="L474" s="19" t="str">
        <f t="shared" si="29"/>
        <v/>
      </c>
      <c r="M474" s="16" cm="1">
        <f t="array" ref="M474">IFERROR(_xlfn.LET(
_xlpm.x,TRIM(C474),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4" s="16" t="b">
        <f t="shared" si="30"/>
        <v>0</v>
      </c>
    </row>
    <row r="475" spans="1:14" x14ac:dyDescent="0.25">
      <c r="A475" s="5" t="s">
        <v>268</v>
      </c>
      <c r="B475" s="16">
        <v>146</v>
      </c>
      <c r="C475" s="16" t="str">
        <v>Harwood - 267</v>
      </c>
      <c r="D475" s="6">
        <f>_xlfn.XLOOKUP(C475,'2023'!C:C,'2023'!A:A,"")</f>
        <v>45029.785416667</v>
      </c>
      <c r="E475" s="6">
        <f>_xlfn.XLOOKUP(C475,'2023'!C:C,'2023'!B:B,"")</f>
        <v>45027.712500000001</v>
      </c>
      <c r="F475" s="19">
        <f t="shared" si="31"/>
        <v>45027.712500000001</v>
      </c>
      <c r="G475" s="6">
        <f>_xlfn.XLOOKUP(C475,'2024'!C:C,'2024'!A:A,"")</f>
        <v>45393.745833333</v>
      </c>
      <c r="H475" s="6" t="str">
        <f>_xlfn.XLOOKUP(C476,'2024'!C:C,'2024'!B:B,"")</f>
        <v>No Selection Time Issued</v>
      </c>
      <c r="I475" s="19">
        <f t="shared" si="28"/>
        <v>45393.745833333</v>
      </c>
      <c r="J475" s="6" t="str">
        <f>_xlfn.XLOOKUP(C475,'2025'!C:C,'2025'!A:A,"")</f>
        <v/>
      </c>
      <c r="K475" s="6" t="str">
        <f>_xlfn.XLOOKUP(C475,'2025'!C:C,'2025'!B:B,"")</f>
        <v/>
      </c>
      <c r="L475" s="19" t="str">
        <f t="shared" si="29"/>
        <v/>
      </c>
      <c r="M475" s="16" cm="1">
        <f t="array" ref="M475">IFERROR(_xlfn.LET(
_xlpm.x,TRIM(C475),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5" s="16" t="b">
        <f t="shared" si="30"/>
        <v>0</v>
      </c>
    </row>
    <row r="476" spans="1:14" x14ac:dyDescent="0.25">
      <c r="A476" s="5" t="s">
        <v>400</v>
      </c>
      <c r="B476" s="16">
        <v>133</v>
      </c>
      <c r="C476" s="16" t="str">
        <v>Harwood - 268</v>
      </c>
      <c r="D476" s="6">
        <f>_xlfn.XLOOKUP(C476,'2023'!C:C,'2023'!A:A,"")</f>
        <v>45029.804166667003</v>
      </c>
      <c r="E476" s="6" t="str">
        <f>_xlfn.XLOOKUP(C476,'2023'!C:C,'2023'!B:B,"")</f>
        <v>No Selection Time Issued</v>
      </c>
      <c r="F476" s="19">
        <f t="shared" si="31"/>
        <v>45029.804166667003</v>
      </c>
      <c r="G476" s="6">
        <f>_xlfn.XLOOKUP(C476,'2024'!C:C,'2024'!A:A,"")</f>
        <v>45393.768750000003</v>
      </c>
      <c r="H476" s="6" t="str">
        <f>_xlfn.XLOOKUP(C477,'2024'!C:C,'2024'!B:B,"")</f>
        <v>No Selection Time Issued</v>
      </c>
      <c r="I476" s="19">
        <f t="shared" si="28"/>
        <v>45393.768750000003</v>
      </c>
      <c r="J476" s="6">
        <f>_xlfn.XLOOKUP(C476,'2025'!C:C,'2025'!A:A,"")</f>
        <v>45757.747916667002</v>
      </c>
      <c r="K476" s="6" t="str">
        <f>_xlfn.XLOOKUP(C476,'2025'!C:C,'2025'!B:B,"")</f>
        <v>No Selection Time Issued</v>
      </c>
      <c r="L476" s="19">
        <f t="shared" si="29"/>
        <v>45757.747916667002</v>
      </c>
      <c r="M476" s="16" cm="1">
        <f t="array" ref="M476">IFERROR(_xlfn.LET(
_xlpm.x,TRIM(C476),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6" s="16" t="b">
        <f t="shared" si="30"/>
        <v>0</v>
      </c>
    </row>
    <row r="477" spans="1:14" x14ac:dyDescent="0.25">
      <c r="A477" s="5" t="s">
        <v>400</v>
      </c>
      <c r="B477" s="16">
        <v>141</v>
      </c>
      <c r="C477" s="16" t="str">
        <v>Harwood - 270</v>
      </c>
      <c r="D477" s="6">
        <f>_xlfn.XLOOKUP(C477,'2023'!C:C,'2023'!A:A,"")</f>
        <v>45029.722916667</v>
      </c>
      <c r="E477" s="6">
        <f>_xlfn.XLOOKUP(C477,'2023'!C:C,'2023'!B:B,"")</f>
        <v>45027.762499999997</v>
      </c>
      <c r="F477" s="19">
        <f t="shared" si="31"/>
        <v>45027.762499999997</v>
      </c>
      <c r="G477" s="6">
        <f>_xlfn.XLOOKUP(C477,'2024'!C:C,'2024'!A:A,"")</f>
        <v>45393.764583333003</v>
      </c>
      <c r="H477" s="6" t="str">
        <f>_xlfn.XLOOKUP(C478,'2024'!C:C,'2024'!B:B,"")</f>
        <v>No Selection Time Issued</v>
      </c>
      <c r="I477" s="19">
        <f t="shared" si="28"/>
        <v>45393.764583333003</v>
      </c>
      <c r="J477" s="6">
        <f>_xlfn.XLOOKUP(C477,'2025'!C:C,'2025'!A:A,"")</f>
        <v>45757.716666667002</v>
      </c>
      <c r="K477" s="6" t="str">
        <f>_xlfn.XLOOKUP(C477,'2025'!C:C,'2025'!B:B,"")</f>
        <v>No Selection Time Issued</v>
      </c>
      <c r="L477" s="19">
        <f t="shared" si="29"/>
        <v>45757.716666667002</v>
      </c>
      <c r="M477" s="16" cm="1">
        <f t="array" ref="M477">IFERROR(_xlfn.LET(
_xlpm.x,TRIM(C477),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7" s="16" t="b">
        <f t="shared" si="30"/>
        <v>0</v>
      </c>
    </row>
    <row r="478" spans="1:14" x14ac:dyDescent="0.25">
      <c r="A478" s="5" t="s">
        <v>400</v>
      </c>
      <c r="B478" s="16">
        <v>157</v>
      </c>
      <c r="C478" s="16" t="str">
        <v>Harwood - 271</v>
      </c>
      <c r="D478" s="6">
        <f>_xlfn.XLOOKUP(C478,'2023'!C:C,'2023'!A:A,"")</f>
        <v>45029.777083333</v>
      </c>
      <c r="E478" s="6" t="str">
        <f>_xlfn.XLOOKUP(C478,'2023'!C:C,'2023'!B:B,"")</f>
        <v>No Selection Time Issued</v>
      </c>
      <c r="F478" s="19">
        <f t="shared" si="31"/>
        <v>45029.777083333</v>
      </c>
      <c r="G478" s="6">
        <f>_xlfn.XLOOKUP(C478,'2024'!C:C,'2024'!A:A,"")</f>
        <v>45393.720833332998</v>
      </c>
      <c r="H478" s="6" t="str">
        <f>_xlfn.XLOOKUP(C479,'2024'!C:C,'2024'!B:B,"")</f>
        <v>No Selection Time Issued</v>
      </c>
      <c r="I478" s="19">
        <f t="shared" si="28"/>
        <v>45393.720833332998</v>
      </c>
      <c r="J478" s="6">
        <f>_xlfn.XLOOKUP(C478,'2025'!C:C,'2025'!A:A,"")</f>
        <v>45757.724999999999</v>
      </c>
      <c r="K478" s="6" t="str">
        <f>_xlfn.XLOOKUP(C478,'2025'!C:C,'2025'!B:B,"")</f>
        <v>No Selection Time Issued</v>
      </c>
      <c r="L478" s="19">
        <f t="shared" si="29"/>
        <v>45757.724999999999</v>
      </c>
      <c r="M478" s="16" cm="1">
        <f t="array" ref="M478">IFERROR(_xlfn.LET(
_xlpm.x,TRIM(C478),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8" s="16" t="b">
        <f t="shared" si="30"/>
        <v>0</v>
      </c>
    </row>
    <row r="479" spans="1:14" x14ac:dyDescent="0.25">
      <c r="A479" s="5" t="s">
        <v>275</v>
      </c>
      <c r="B479" s="16">
        <v>156</v>
      </c>
      <c r="C479" s="16" t="str">
        <v>Harwood - 272</v>
      </c>
      <c r="D479" s="6">
        <f>_xlfn.XLOOKUP(C479,'2023'!C:C,'2023'!A:A,"")</f>
        <v>45029.783333332998</v>
      </c>
      <c r="E479" s="6" t="str">
        <f>_xlfn.XLOOKUP(C479,'2023'!C:C,'2023'!B:B,"")</f>
        <v>No Selection Time Issued</v>
      </c>
      <c r="F479" s="19">
        <f t="shared" si="31"/>
        <v>45029.783333332998</v>
      </c>
      <c r="G479" s="6">
        <f>_xlfn.XLOOKUP(C479,'2024'!C:C,'2024'!A:A,"")</f>
        <v>45393.733333333003</v>
      </c>
      <c r="H479" s="6" t="str">
        <f>_xlfn.XLOOKUP(C480,'2024'!C:C,'2024'!B:B,"")</f>
        <v>No Selection Time Issued</v>
      </c>
      <c r="I479" s="19">
        <f t="shared" si="28"/>
        <v>45393.733333333003</v>
      </c>
      <c r="J479" s="6" t="str">
        <f>_xlfn.XLOOKUP(C479,'2025'!C:C,'2025'!A:A,"")</f>
        <v/>
      </c>
      <c r="K479" s="6" t="str">
        <f>_xlfn.XLOOKUP(C479,'2025'!C:C,'2025'!B:B,"")</f>
        <v/>
      </c>
      <c r="L479" s="19" t="str">
        <f t="shared" si="29"/>
        <v/>
      </c>
      <c r="M479" s="16" cm="1">
        <f t="array" ref="M479">IFERROR(_xlfn.LET(
_xlpm.x,TRIM(C479),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79" s="16" t="b">
        <f t="shared" si="30"/>
        <v>0</v>
      </c>
    </row>
    <row r="480" spans="1:14" x14ac:dyDescent="0.25">
      <c r="A480" s="5" t="s">
        <v>275</v>
      </c>
      <c r="B480" s="16">
        <v>239</v>
      </c>
      <c r="C480" s="16" t="str">
        <v>Harwood - 273</v>
      </c>
      <c r="D480" s="6">
        <f>_xlfn.XLOOKUP(C480,'2023'!C:C,'2023'!A:A,"")</f>
        <v>45029.797916666997</v>
      </c>
      <c r="E480" s="6" t="str">
        <f>_xlfn.XLOOKUP(C480,'2023'!C:C,'2023'!B:B,"")</f>
        <v>No Selection Time Issued</v>
      </c>
      <c r="F480" s="19">
        <f t="shared" si="31"/>
        <v>45029.797916666997</v>
      </c>
      <c r="G480" s="6">
        <f>_xlfn.XLOOKUP(C480,'2024'!C:C,'2024'!A:A,"")</f>
        <v>45393.797916666997</v>
      </c>
      <c r="H480" s="6" t="str">
        <f>_xlfn.XLOOKUP(C481,'2024'!C:C,'2024'!B:B,"")</f>
        <v>No Selection Time Issued</v>
      </c>
      <c r="I480" s="19">
        <f t="shared" si="28"/>
        <v>45393.797916666997</v>
      </c>
      <c r="J480" s="6">
        <f>_xlfn.XLOOKUP(C480,'2025'!C:C,'2025'!A:A,"")</f>
        <v>45757.802083333001</v>
      </c>
      <c r="K480" s="6">
        <f>_xlfn.XLOOKUP(C480,'2025'!C:C,'2025'!B:B,"")</f>
        <v>45757.729166666999</v>
      </c>
      <c r="L480" s="19">
        <f t="shared" si="29"/>
        <v>45757.729166666999</v>
      </c>
      <c r="M480" s="16" cm="1">
        <f t="array" ref="M480">IFERROR(_xlfn.LET(
_xlpm.x,TRIM(C480),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80" s="16" t="b">
        <f t="shared" si="30"/>
        <v>0</v>
      </c>
    </row>
    <row r="481" spans="1:14" x14ac:dyDescent="0.25">
      <c r="A481" s="5" t="s">
        <v>165</v>
      </c>
      <c r="B481" s="16">
        <v>156</v>
      </c>
      <c r="C481" s="16" t="str">
        <v>Harwood - 274</v>
      </c>
      <c r="D481" s="6">
        <f>_xlfn.XLOOKUP(C481,'2023'!C:C,'2023'!A:A,"")</f>
        <v>45029.735416666997</v>
      </c>
      <c r="E481" s="6">
        <f>_xlfn.XLOOKUP(C481,'2023'!C:C,'2023'!B:B,"")</f>
        <v>45027.729166666999</v>
      </c>
      <c r="F481" s="19">
        <f t="shared" si="31"/>
        <v>45027.729166666999</v>
      </c>
      <c r="G481" s="6">
        <f>_xlfn.XLOOKUP(C481,'2024'!C:C,'2024'!A:A,"")</f>
        <v>45393.75</v>
      </c>
      <c r="H481" s="6" t="str">
        <f>_xlfn.XLOOKUP(C482,'2024'!C:C,'2024'!B:B,"")</f>
        <v>No Selection Time Issued</v>
      </c>
      <c r="I481" s="19">
        <f t="shared" si="28"/>
        <v>45393.75</v>
      </c>
      <c r="J481" s="6" t="str">
        <f>_xlfn.XLOOKUP(C481,'2025'!C:C,'2025'!A:A,"")</f>
        <v/>
      </c>
      <c r="K481" s="6" t="str">
        <f>_xlfn.XLOOKUP(C481,'2025'!C:C,'2025'!B:B,"")</f>
        <v/>
      </c>
      <c r="L481" s="19" t="str">
        <f t="shared" si="29"/>
        <v/>
      </c>
      <c r="M481" s="16" cm="1">
        <f t="array" ref="M481">IFERROR(_xlfn.LET(
_xlpm.x,TRIM(C481),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1" s="16" t="b">
        <f t="shared" si="30"/>
        <v>0</v>
      </c>
    </row>
    <row r="482" spans="1:14" x14ac:dyDescent="0.25">
      <c r="A482" s="5" t="s">
        <v>165</v>
      </c>
      <c r="B482" s="16">
        <v>199</v>
      </c>
      <c r="C482" s="16" t="str">
        <v>Harwood - 275</v>
      </c>
      <c r="D482" s="6">
        <f>_xlfn.XLOOKUP(C482,'2023'!C:C,'2023'!A:A,"")</f>
        <v>45029.754166667</v>
      </c>
      <c r="E482" s="6">
        <f>_xlfn.XLOOKUP(C482,'2023'!C:C,'2023'!B:B,"")</f>
        <v>45027.716666667002</v>
      </c>
      <c r="F482" s="19">
        <f t="shared" si="31"/>
        <v>45027.716666667002</v>
      </c>
      <c r="G482" s="6">
        <f>_xlfn.XLOOKUP(C482,'2024'!C:C,'2024'!A:A,"")</f>
        <v>45393.802083333001</v>
      </c>
      <c r="H482" s="6" t="str">
        <f>_xlfn.XLOOKUP(C483,'2024'!C:C,'2024'!B:B,"")</f>
        <v>No Selection Time Issued</v>
      </c>
      <c r="I482" s="19">
        <f t="shared" si="28"/>
        <v>45393.802083333001</v>
      </c>
      <c r="J482" s="6">
        <f>_xlfn.XLOOKUP(C482,'2025'!C:C,'2025'!A:A,"")</f>
        <v>45757.797916666997</v>
      </c>
      <c r="K482" s="6">
        <f>_xlfn.XLOOKUP(C482,'2025'!C:C,'2025'!B:B,"")</f>
        <v>45757.797916666997</v>
      </c>
      <c r="L482" s="19">
        <f t="shared" si="29"/>
        <v>45757.797916666997</v>
      </c>
      <c r="M482" s="16" cm="1">
        <f t="array" ref="M482">IFERROR(_xlfn.LET(
_xlpm.x,TRIM(C482),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82" s="16" t="b">
        <f t="shared" si="30"/>
        <v>0</v>
      </c>
    </row>
    <row r="483" spans="1:14" x14ac:dyDescent="0.25">
      <c r="A483" s="5" t="s">
        <v>165</v>
      </c>
      <c r="B483" s="16">
        <v>115</v>
      </c>
      <c r="C483" s="16" t="str">
        <v>Harwood - 276</v>
      </c>
      <c r="D483" s="6">
        <f>_xlfn.XLOOKUP(C483,'2023'!C:C,'2023'!A:A,"")</f>
        <v>45029.806250000001</v>
      </c>
      <c r="E483" s="6">
        <f>_xlfn.XLOOKUP(C483,'2023'!C:C,'2023'!B:B,"")</f>
        <v>45029.731249999997</v>
      </c>
      <c r="F483" s="19">
        <f t="shared" si="31"/>
        <v>45029.731249999997</v>
      </c>
      <c r="G483" s="6">
        <f>_xlfn.XLOOKUP(C483,'2024'!C:C,'2024'!A:A,"")</f>
        <v>45393.770833333001</v>
      </c>
      <c r="H483" s="6" t="str">
        <f>_xlfn.XLOOKUP(C484,'2024'!C:C,'2024'!B:B,"")</f>
        <v/>
      </c>
      <c r="I483" s="19">
        <f t="shared" si="28"/>
        <v>45393.770833333001</v>
      </c>
      <c r="J483" s="6" t="str">
        <f>_xlfn.XLOOKUP(C483,'2025'!C:C,'2025'!A:A,"")</f>
        <v/>
      </c>
      <c r="K483" s="6" t="str">
        <f>_xlfn.XLOOKUP(C483,'2025'!C:C,'2025'!B:B,"")</f>
        <v/>
      </c>
      <c r="L483" s="19" t="str">
        <f t="shared" si="29"/>
        <v/>
      </c>
      <c r="M483" s="16" cm="1">
        <f t="array" ref="M483">IFERROR(_xlfn.LET(
_xlpm.x,TRIM(C483),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3" s="16" t="b">
        <f t="shared" si="30"/>
        <v>0</v>
      </c>
    </row>
    <row r="484" spans="1:14" x14ac:dyDescent="0.25">
      <c r="A484" s="5" t="s">
        <v>165</v>
      </c>
      <c r="B484" s="16">
        <v>132</v>
      </c>
      <c r="C484" s="16" t="str">
        <v>Harwood - 277</v>
      </c>
      <c r="D484" s="6">
        <f>_xlfn.XLOOKUP(C484,'2023'!C:C,'2023'!A:A,"")</f>
        <v>45029.787499999999</v>
      </c>
      <c r="E484" s="6" t="str">
        <f>_xlfn.XLOOKUP(C484,'2023'!C:C,'2023'!B:B,"")</f>
        <v>No Selection Time Issued</v>
      </c>
      <c r="F484" s="19">
        <f t="shared" si="31"/>
        <v>45029.787499999999</v>
      </c>
      <c r="G484" s="6" t="str">
        <f>_xlfn.XLOOKUP(C484,'2024'!C:C,'2024'!A:A,"")</f>
        <v/>
      </c>
      <c r="H484" s="6" t="str">
        <f>_xlfn.XLOOKUP(C485,'2024'!C:C,'2024'!B:B,"")</f>
        <v>No Selection Time Issued</v>
      </c>
      <c r="I484" s="19" t="str">
        <f t="shared" si="28"/>
        <v/>
      </c>
      <c r="J484" s="6" t="str">
        <f>_xlfn.XLOOKUP(C484,'2025'!C:C,'2025'!A:A,"")</f>
        <v/>
      </c>
      <c r="K484" s="6" t="str">
        <f>_xlfn.XLOOKUP(C484,'2025'!C:C,'2025'!B:B,"")</f>
        <v/>
      </c>
      <c r="L484" s="19" t="str">
        <f t="shared" si="29"/>
        <v/>
      </c>
      <c r="M484" s="16" cm="1">
        <f t="array" ref="M484">IFERROR(_xlfn.LET(
_xlpm.x,TRIM(C484),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4" s="16" t="b">
        <f t="shared" si="30"/>
        <v>0</v>
      </c>
    </row>
    <row r="485" spans="1:14" x14ac:dyDescent="0.25">
      <c r="A485" s="5" t="s">
        <v>77</v>
      </c>
      <c r="B485" s="16">
        <v>249</v>
      </c>
      <c r="C485" s="16" t="str">
        <v>Harwood - 278</v>
      </c>
      <c r="D485" s="6">
        <f>_xlfn.XLOOKUP(C485,'2023'!C:C,'2023'!A:A,"")</f>
        <v>45029.737500000003</v>
      </c>
      <c r="E485" s="6">
        <f>_xlfn.XLOOKUP(C485,'2023'!C:C,'2023'!B:B,"")</f>
        <v>45027.741666667003</v>
      </c>
      <c r="F485" s="19">
        <f t="shared" si="31"/>
        <v>45027.741666667003</v>
      </c>
      <c r="G485" s="6">
        <f>_xlfn.XLOOKUP(C485,'2024'!C:C,'2024'!A:A,"")</f>
        <v>45393.816666667</v>
      </c>
      <c r="H485" s="6" t="str">
        <f>_xlfn.XLOOKUP(C486,'2024'!C:C,'2024'!B:B,"")</f>
        <v/>
      </c>
      <c r="I485" s="19">
        <f t="shared" si="28"/>
        <v>45393.816666667</v>
      </c>
      <c r="J485" s="6">
        <f>_xlfn.XLOOKUP(C485,'2025'!C:C,'2025'!A:A,"")</f>
        <v>45757.785416667</v>
      </c>
      <c r="K485" s="6">
        <f>_xlfn.XLOOKUP(C485,'2025'!C:C,'2025'!B:B,"")</f>
        <v>45757.766666666997</v>
      </c>
      <c r="L485" s="19">
        <f t="shared" si="29"/>
        <v>45757.766666666997</v>
      </c>
      <c r="M485" s="16" cm="1">
        <f t="array" ref="M485">IFERROR(_xlfn.LET(
_xlpm.x,TRIM(C485),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85" s="16" t="b">
        <f t="shared" si="30"/>
        <v>0</v>
      </c>
    </row>
    <row r="486" spans="1:14" x14ac:dyDescent="0.25">
      <c r="A486" s="5" t="s">
        <v>77</v>
      </c>
      <c r="B486" s="16">
        <v>154</v>
      </c>
      <c r="C486" s="16" t="str">
        <v>Harwood - 279</v>
      </c>
      <c r="D486" s="6">
        <f>_xlfn.XLOOKUP(C486,'2023'!C:C,'2023'!A:A,"")</f>
        <v>45029.772916667003</v>
      </c>
      <c r="E486" s="6">
        <f>_xlfn.XLOOKUP(C486,'2023'!C:C,'2023'!B:B,"")</f>
        <v>45027.741666667003</v>
      </c>
      <c r="F486" s="19">
        <f t="shared" si="31"/>
        <v>45027.741666667003</v>
      </c>
      <c r="G486" s="6" t="str">
        <f>_xlfn.XLOOKUP(C486,'2024'!C:C,'2024'!A:A,"")</f>
        <v/>
      </c>
      <c r="H486" s="6" t="str">
        <f>_xlfn.XLOOKUP(C487,'2024'!C:C,'2024'!B:B,"")</f>
        <v/>
      </c>
      <c r="I486" s="19" t="str">
        <f t="shared" si="28"/>
        <v/>
      </c>
      <c r="J486" s="6" t="str">
        <f>_xlfn.XLOOKUP(C486,'2025'!C:C,'2025'!A:A,"")</f>
        <v/>
      </c>
      <c r="K486" s="6" t="str">
        <f>_xlfn.XLOOKUP(C486,'2025'!C:C,'2025'!B:B,"")</f>
        <v/>
      </c>
      <c r="L486" s="19" t="str">
        <f t="shared" si="29"/>
        <v/>
      </c>
      <c r="M486" s="16" cm="1">
        <f t="array" ref="M486">IFERROR(_xlfn.LET(
_xlpm.x,TRIM(C486),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6" s="16" t="b">
        <f t="shared" si="30"/>
        <v>0</v>
      </c>
    </row>
    <row r="487" spans="1:14" x14ac:dyDescent="0.25">
      <c r="A487" s="5" t="s">
        <v>77</v>
      </c>
      <c r="B487" s="16">
        <v>128</v>
      </c>
      <c r="C487" s="16" t="str">
        <v>Harwood - 280</v>
      </c>
      <c r="D487" s="6">
        <f>_xlfn.XLOOKUP(C487,'2023'!C:C,'2023'!A:A,"")</f>
        <v>45029.777083333</v>
      </c>
      <c r="E487" s="6">
        <f>_xlfn.XLOOKUP(C487,'2023'!C:C,'2023'!B:B,"")</f>
        <v>45028.762499999997</v>
      </c>
      <c r="F487" s="19">
        <f t="shared" si="31"/>
        <v>45028.762499999997</v>
      </c>
      <c r="G487" s="6" t="str">
        <f>_xlfn.XLOOKUP(C487,'2024'!C:C,'2024'!A:A,"")</f>
        <v/>
      </c>
      <c r="H487" s="6" t="str">
        <f>_xlfn.XLOOKUP(C488,'2024'!C:C,'2024'!B:B,"")</f>
        <v/>
      </c>
      <c r="I487" s="19" t="str">
        <f t="shared" si="28"/>
        <v/>
      </c>
      <c r="J487" s="6" t="str">
        <f>_xlfn.XLOOKUP(C487,'2025'!C:C,'2025'!A:A,"")</f>
        <v/>
      </c>
      <c r="K487" s="6" t="str">
        <f>_xlfn.XLOOKUP(C487,'2025'!C:C,'2025'!B:B,"")</f>
        <v/>
      </c>
      <c r="L487" s="19" t="str">
        <f t="shared" si="29"/>
        <v/>
      </c>
      <c r="M487" s="16" cm="1">
        <f t="array" ref="M487">IFERROR(_xlfn.LET(
_xlpm.x,TRIM(C487),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7" s="16" t="b">
        <f t="shared" si="30"/>
        <v>0</v>
      </c>
    </row>
    <row r="488" spans="1:14" x14ac:dyDescent="0.25">
      <c r="A488" s="5" t="s">
        <v>134</v>
      </c>
      <c r="B488" s="16">
        <v>156</v>
      </c>
      <c r="C488" s="16" t="str">
        <v>Harwood - 281</v>
      </c>
      <c r="D488" s="6">
        <f>_xlfn.XLOOKUP(C488,'2023'!C:C,'2023'!A:A,"")</f>
        <v>45029.716666667002</v>
      </c>
      <c r="E488" s="6">
        <f>_xlfn.XLOOKUP(C488,'2023'!C:C,'2023'!B:B,"")</f>
        <v>45028.795833333003</v>
      </c>
      <c r="F488" s="19">
        <f t="shared" si="31"/>
        <v>45028.795833333003</v>
      </c>
      <c r="G488" s="6" t="str">
        <f>_xlfn.XLOOKUP(C488,'2024'!C:C,'2024'!A:A,"")</f>
        <v/>
      </c>
      <c r="H488" s="6" t="str">
        <f>_xlfn.XLOOKUP(C489,'2024'!C:C,'2024'!B:B,"")</f>
        <v/>
      </c>
      <c r="I488" s="19" t="str">
        <f t="shared" si="28"/>
        <v/>
      </c>
      <c r="J488" s="6" t="str">
        <f>_xlfn.XLOOKUP(C488,'2025'!C:C,'2025'!A:A,"")</f>
        <v/>
      </c>
      <c r="K488" s="6" t="str">
        <f>_xlfn.XLOOKUP(C488,'2025'!C:C,'2025'!B:B,"")</f>
        <v/>
      </c>
      <c r="L488" s="19" t="str">
        <f t="shared" si="29"/>
        <v/>
      </c>
      <c r="M488" s="16" cm="1">
        <f t="array" ref="M488">IFERROR(_xlfn.LET(
_xlpm.x,TRIM(C488),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8" s="16" t="b">
        <f t="shared" si="30"/>
        <v>0</v>
      </c>
    </row>
    <row r="489" spans="1:14" x14ac:dyDescent="0.25">
      <c r="A489" s="5" t="s">
        <v>134</v>
      </c>
      <c r="B489" s="16">
        <v>132</v>
      </c>
      <c r="C489" s="16" t="str">
        <v>Harwood - 282</v>
      </c>
      <c r="D489" s="6">
        <f>_xlfn.XLOOKUP(C489,'2023'!C:C,'2023'!A:A,"")</f>
        <v>45029.733333333003</v>
      </c>
      <c r="E489" s="6" t="str">
        <f>_xlfn.XLOOKUP(C489,'2023'!C:C,'2023'!B:B,"")</f>
        <v>No Selection Time Issued</v>
      </c>
      <c r="F489" s="19">
        <f t="shared" si="31"/>
        <v>45029.733333333003</v>
      </c>
      <c r="G489" s="6" t="str">
        <f>_xlfn.XLOOKUP(C489,'2024'!C:C,'2024'!A:A,"")</f>
        <v/>
      </c>
      <c r="H489" s="6" t="str">
        <f>_xlfn.XLOOKUP(C490,'2024'!C:C,'2024'!B:B,"")</f>
        <v/>
      </c>
      <c r="I489" s="19" t="str">
        <f t="shared" si="28"/>
        <v/>
      </c>
      <c r="J489" s="6" t="str">
        <f>_xlfn.XLOOKUP(C489,'2025'!C:C,'2025'!A:A,"")</f>
        <v/>
      </c>
      <c r="K489" s="6" t="str">
        <f>_xlfn.XLOOKUP(C489,'2025'!C:C,'2025'!B:B,"")</f>
        <v/>
      </c>
      <c r="L489" s="19" t="str">
        <f t="shared" si="29"/>
        <v/>
      </c>
      <c r="M489" s="16" cm="1">
        <f t="array" ref="M489">IFERROR(_xlfn.LET(
_xlpm.x,TRIM(C489),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89" s="16" t="b">
        <f t="shared" si="30"/>
        <v>0</v>
      </c>
    </row>
    <row r="490" spans="1:14" x14ac:dyDescent="0.25">
      <c r="A490" s="5" t="s">
        <v>134</v>
      </c>
      <c r="B490" s="16">
        <v>138</v>
      </c>
      <c r="C490" s="16" t="str">
        <v>Harwood - 283</v>
      </c>
      <c r="D490" s="6">
        <f>_xlfn.XLOOKUP(C490,'2023'!C:C,'2023'!A:A,"")</f>
        <v>45029.8</v>
      </c>
      <c r="E490" s="6">
        <f>_xlfn.XLOOKUP(C490,'2023'!C:C,'2023'!B:B,"")</f>
        <v>45027.712500000001</v>
      </c>
      <c r="F490" s="19">
        <f t="shared" si="31"/>
        <v>45027.712500000001</v>
      </c>
      <c r="G490" s="6" t="str">
        <f>_xlfn.XLOOKUP(C490,'2024'!C:C,'2024'!A:A,"")</f>
        <v/>
      </c>
      <c r="H490" s="6" t="str">
        <f>_xlfn.XLOOKUP(C491,'2024'!C:C,'2024'!B:B,"")</f>
        <v/>
      </c>
      <c r="I490" s="19" t="str">
        <f t="shared" si="28"/>
        <v/>
      </c>
      <c r="J490" s="6" t="str">
        <f>_xlfn.XLOOKUP(C490,'2025'!C:C,'2025'!A:A,"")</f>
        <v/>
      </c>
      <c r="K490" s="6" t="str">
        <f>_xlfn.XLOOKUP(C490,'2025'!C:C,'2025'!B:B,"")</f>
        <v/>
      </c>
      <c r="L490" s="19" t="str">
        <f t="shared" si="29"/>
        <v/>
      </c>
      <c r="M490" s="16" cm="1">
        <f t="array" ref="M490">IFERROR(_xlfn.LET(
_xlpm.x,TRIM(C490),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0" s="16" t="b">
        <f t="shared" si="30"/>
        <v>0</v>
      </c>
    </row>
    <row r="491" spans="1:14" x14ac:dyDescent="0.25">
      <c r="A491" s="5" t="s">
        <v>274</v>
      </c>
      <c r="B491" s="16">
        <v>109</v>
      </c>
      <c r="C491" s="16" t="str">
        <v>Harwood - 284</v>
      </c>
      <c r="D491" s="6">
        <f>_xlfn.XLOOKUP(C491,'2023'!C:C,'2023'!A:A,"")</f>
        <v>45029.8125</v>
      </c>
      <c r="E491" s="6" t="str">
        <f>_xlfn.XLOOKUP(C491,'2023'!C:C,'2023'!B:B,"")</f>
        <v>No Selection Time Issued</v>
      </c>
      <c r="F491" s="19">
        <f t="shared" si="31"/>
        <v>45029.8125</v>
      </c>
      <c r="G491" s="6" t="str">
        <f>_xlfn.XLOOKUP(C491,'2024'!C:C,'2024'!A:A,"")</f>
        <v/>
      </c>
      <c r="H491" s="6" t="str">
        <f>_xlfn.XLOOKUP(C492,'2024'!C:C,'2024'!B:B,"")</f>
        <v/>
      </c>
      <c r="I491" s="19" t="str">
        <f t="shared" si="28"/>
        <v/>
      </c>
      <c r="J491" s="6" t="str">
        <f>_xlfn.XLOOKUP(C491,'2025'!C:C,'2025'!A:A,"")</f>
        <v/>
      </c>
      <c r="K491" s="6" t="str">
        <f>_xlfn.XLOOKUP(C491,'2025'!C:C,'2025'!B:B,"")</f>
        <v/>
      </c>
      <c r="L491" s="19" t="str">
        <f t="shared" si="29"/>
        <v/>
      </c>
      <c r="M491" s="16" cm="1">
        <f t="array" ref="M491">IFERROR(_xlfn.LET(
_xlpm.x,TRIM(C491),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1" s="16" t="b">
        <f t="shared" si="30"/>
        <v>0</v>
      </c>
    </row>
    <row r="492" spans="1:14" x14ac:dyDescent="0.25">
      <c r="A492" s="5" t="s">
        <v>274</v>
      </c>
      <c r="B492" s="16">
        <v>143</v>
      </c>
      <c r="C492" s="16" t="str">
        <v>Harwood - 285</v>
      </c>
      <c r="D492" s="6">
        <f>_xlfn.XLOOKUP(C492,'2023'!C:C,'2023'!A:A,"")</f>
        <v>45029.793749999997</v>
      </c>
      <c r="E492" s="6" t="str">
        <f>_xlfn.XLOOKUP(C492,'2023'!C:C,'2023'!B:B,"")</f>
        <v>No Selection Time Issued</v>
      </c>
      <c r="F492" s="19">
        <f t="shared" si="31"/>
        <v>45029.793749999997</v>
      </c>
      <c r="G492" s="6" t="str">
        <f>_xlfn.XLOOKUP(C492,'2024'!C:C,'2024'!A:A,"")</f>
        <v/>
      </c>
      <c r="H492" s="6" t="str">
        <f>_xlfn.XLOOKUP(C493,'2024'!C:C,'2024'!B:B,"")</f>
        <v/>
      </c>
      <c r="I492" s="19" t="str">
        <f t="shared" si="28"/>
        <v/>
      </c>
      <c r="J492" s="6" t="str">
        <f>_xlfn.XLOOKUP(C492,'2025'!C:C,'2025'!A:A,"")</f>
        <v/>
      </c>
      <c r="K492" s="6" t="str">
        <f>_xlfn.XLOOKUP(C492,'2025'!C:C,'2025'!B:B,"")</f>
        <v/>
      </c>
      <c r="L492" s="19" t="str">
        <f t="shared" si="29"/>
        <v/>
      </c>
      <c r="M492" s="16" cm="1">
        <f t="array" ref="M492">IFERROR(_xlfn.LET(
_xlpm.x,TRIM(C492),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2" s="16" t="b">
        <f t="shared" si="30"/>
        <v>0</v>
      </c>
    </row>
    <row r="493" spans="1:14" x14ac:dyDescent="0.25">
      <c r="A493" s="5" t="s">
        <v>274</v>
      </c>
      <c r="B493" s="16">
        <v>125</v>
      </c>
      <c r="C493" s="16" t="str">
        <v>Harwood - 286</v>
      </c>
      <c r="D493" s="6">
        <f>_xlfn.XLOOKUP(C493,'2023'!C:C,'2023'!A:A,"")</f>
        <v>45029.806250000001</v>
      </c>
      <c r="E493" s="6">
        <f>_xlfn.XLOOKUP(C493,'2023'!C:C,'2023'!B:B,"")</f>
        <v>45029.737500000003</v>
      </c>
      <c r="F493" s="19">
        <f t="shared" si="31"/>
        <v>45029.737500000003</v>
      </c>
      <c r="G493" s="6" t="str">
        <f>_xlfn.XLOOKUP(C493,'2024'!C:C,'2024'!A:A,"")</f>
        <v/>
      </c>
      <c r="H493" s="6" t="str">
        <f>_xlfn.XLOOKUP(C494,'2024'!C:C,'2024'!B:B,"")</f>
        <v/>
      </c>
      <c r="I493" s="19" t="str">
        <f t="shared" si="28"/>
        <v/>
      </c>
      <c r="J493" s="6" t="str">
        <f>_xlfn.XLOOKUP(C493,'2025'!C:C,'2025'!A:A,"")</f>
        <v/>
      </c>
      <c r="K493" s="6" t="str">
        <f>_xlfn.XLOOKUP(C493,'2025'!C:C,'2025'!B:B,"")</f>
        <v/>
      </c>
      <c r="L493" s="19" t="str">
        <f t="shared" si="29"/>
        <v/>
      </c>
      <c r="M493" s="16" cm="1">
        <f t="array" ref="M493">IFERROR(_xlfn.LET(
_xlpm.x,TRIM(C493),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3" s="16" t="b">
        <f t="shared" si="30"/>
        <v>0</v>
      </c>
    </row>
    <row r="494" spans="1:14" x14ac:dyDescent="0.25">
      <c r="A494" s="5" t="s">
        <v>261</v>
      </c>
      <c r="B494" s="16">
        <v>118</v>
      </c>
      <c r="C494" s="16" t="str">
        <v>Harwood - 287</v>
      </c>
      <c r="D494" s="6">
        <f>_xlfn.XLOOKUP(C494,'2023'!C:C,'2023'!A:A,"")</f>
        <v>45029.8</v>
      </c>
      <c r="E494" s="6">
        <f>_xlfn.XLOOKUP(C494,'2023'!C:C,'2023'!B:B,"")</f>
        <v>45028.712500000001</v>
      </c>
      <c r="F494" s="19">
        <f t="shared" si="31"/>
        <v>45028.712500000001</v>
      </c>
      <c r="G494" s="6" t="str">
        <f>_xlfn.XLOOKUP(C494,'2024'!C:C,'2024'!A:A,"")</f>
        <v/>
      </c>
      <c r="H494" s="6" t="str">
        <f>_xlfn.XLOOKUP(C495,'2024'!C:C,'2024'!B:B,"")</f>
        <v>No Selection Time Issued</v>
      </c>
      <c r="I494" s="19" t="str">
        <f t="shared" si="28"/>
        <v/>
      </c>
      <c r="J494" s="6" t="str">
        <f>_xlfn.XLOOKUP(C494,'2025'!C:C,'2025'!A:A,"")</f>
        <v/>
      </c>
      <c r="K494" s="6" t="str">
        <f>_xlfn.XLOOKUP(C494,'2025'!C:C,'2025'!B:B,"")</f>
        <v/>
      </c>
      <c r="L494" s="19" t="str">
        <f t="shared" si="29"/>
        <v/>
      </c>
      <c r="M494" s="16" cm="1">
        <f t="array" ref="M494">IFERROR(_xlfn.LET(
_xlpm.x,TRIM(C494),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4" s="16" t="b">
        <f t="shared" si="30"/>
        <v>0</v>
      </c>
    </row>
    <row r="495" spans="1:14" x14ac:dyDescent="0.25">
      <c r="A495" s="5" t="s">
        <v>261</v>
      </c>
      <c r="B495" s="16">
        <v>139</v>
      </c>
      <c r="C495" s="16" t="str">
        <v>Harwood - FS HAR 11 13 15 17 - 11</v>
      </c>
      <c r="D495" s="6">
        <f>_xlfn.XLOOKUP(C495,'2023'!C:C,'2023'!A:A,"")</f>
        <v>45029.810416667002</v>
      </c>
      <c r="E495" s="6">
        <f>_xlfn.XLOOKUP(C495,'2023'!C:C,'2023'!B:B,"")</f>
        <v>45028.795833333003</v>
      </c>
      <c r="F495" s="19">
        <f t="shared" si="31"/>
        <v>45028.795833333003</v>
      </c>
      <c r="G495" s="6">
        <f>_xlfn.XLOOKUP(C495,'2024'!C:C,'2024'!A:A,"")</f>
        <v>45393.833333333001</v>
      </c>
      <c r="H495" s="6">
        <f>_xlfn.XLOOKUP(C496,'2024'!C:C,'2024'!B:B,"")</f>
        <v>45391.727083332997</v>
      </c>
      <c r="I495" s="19">
        <f t="shared" si="28"/>
        <v>45391.727083332997</v>
      </c>
      <c r="J495" s="6">
        <f>_xlfn.XLOOKUP(C495,'2025'!C:C,'2025'!A:A,"")</f>
        <v>45757.712500000001</v>
      </c>
      <c r="K495" s="6">
        <f>_xlfn.XLOOKUP(C495,'2025'!C:C,'2025'!B:B,"")</f>
        <v>45757.712500000001</v>
      </c>
      <c r="L495" s="19">
        <f t="shared" si="29"/>
        <v>45757.712500000001</v>
      </c>
      <c r="M495" s="16" cm="1">
        <f t="array" ref="M495">IFERROR(_xlfn.LET(
_xlpm.x,TRIM(C495),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95" s="16" t="b">
        <f t="shared" si="30"/>
        <v>0</v>
      </c>
    </row>
    <row r="496" spans="1:14" x14ac:dyDescent="0.25">
      <c r="A496" s="5" t="s">
        <v>261</v>
      </c>
      <c r="B496" s="16">
        <v>133</v>
      </c>
      <c r="C496" s="16" t="str">
        <v>Harwood - FS HAR 11 13 15 17 - 13</v>
      </c>
      <c r="D496" s="6">
        <f>_xlfn.XLOOKUP(C496,'2023'!C:C,'2023'!A:A,"")</f>
        <v>45029.708333333001</v>
      </c>
      <c r="E496" s="6">
        <f>_xlfn.XLOOKUP(C496,'2023'!C:C,'2023'!B:B,"")</f>
        <v>45027.722916667</v>
      </c>
      <c r="F496" s="19">
        <f t="shared" si="31"/>
        <v>45027.722916667</v>
      </c>
      <c r="G496" s="6">
        <f>_xlfn.XLOOKUP(C496,'2024'!C:C,'2024'!A:A,"")</f>
        <v>45393.708333333001</v>
      </c>
      <c r="H496" s="6" t="str">
        <f>_xlfn.XLOOKUP(C497,'2024'!C:C,'2024'!B:B,"")</f>
        <v>No Selection Time Issued</v>
      </c>
      <c r="I496" s="19">
        <f t="shared" si="28"/>
        <v>45393.708333333001</v>
      </c>
      <c r="J496" s="6">
        <f>_xlfn.XLOOKUP(C496,'2025'!C:C,'2025'!A:A,"")</f>
        <v>45757.833333333001</v>
      </c>
      <c r="K496" s="6">
        <f>_xlfn.XLOOKUP(C496,'2025'!C:C,'2025'!B:B,"")</f>
        <v>45757.712500000001</v>
      </c>
      <c r="L496" s="19">
        <f t="shared" si="29"/>
        <v>45757.712500000001</v>
      </c>
      <c r="M496" s="16" cm="1">
        <f t="array" ref="M496">IFERROR(_xlfn.LET(
_xlpm.x,TRIM(C496),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6" s="16" t="b">
        <f t="shared" si="30"/>
        <v>0</v>
      </c>
    </row>
    <row r="497" spans="1:14" x14ac:dyDescent="0.25">
      <c r="A497" s="5" t="s">
        <v>261</v>
      </c>
      <c r="B497" s="16">
        <v>116</v>
      </c>
      <c r="C497" s="16" t="str">
        <v>Harwood - FS HAR 11 13 15 17 - 15</v>
      </c>
      <c r="D497" s="6">
        <f>_xlfn.XLOOKUP(C497,'2023'!C:C,'2023'!A:A,"")</f>
        <v>45029.822916666999</v>
      </c>
      <c r="E497" s="6">
        <f>_xlfn.XLOOKUP(C497,'2023'!C:C,'2023'!B:B,"")</f>
        <v>45029.833333333001</v>
      </c>
      <c r="F497" s="19">
        <f t="shared" si="31"/>
        <v>45029.822916666999</v>
      </c>
      <c r="G497" s="6">
        <f>_xlfn.XLOOKUP(C497,'2024'!C:C,'2024'!A:A,"")</f>
        <v>45393.71875</v>
      </c>
      <c r="H497" s="6" t="str">
        <f>_xlfn.XLOOKUP(C498,'2024'!C:C,'2024'!B:B,"")</f>
        <v>No Selection Time Issued</v>
      </c>
      <c r="I497" s="19">
        <f t="shared" si="28"/>
        <v>45393.71875</v>
      </c>
      <c r="J497" s="6">
        <f>_xlfn.XLOOKUP(C497,'2025'!C:C,'2025'!A:A,"")</f>
        <v>45757.770833333001</v>
      </c>
      <c r="K497" s="6">
        <f>_xlfn.XLOOKUP(C497,'2025'!C:C,'2025'!B:B,"")</f>
        <v>45757.712500000001</v>
      </c>
      <c r="L497" s="19">
        <f t="shared" si="29"/>
        <v>45757.712500000001</v>
      </c>
      <c r="M497" s="16" cm="1">
        <f t="array" ref="M497">IFERROR(_xlfn.LET(
_xlpm.x,TRIM(C497),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7" s="16" t="b">
        <f t="shared" si="30"/>
        <v>0</v>
      </c>
    </row>
    <row r="498" spans="1:14" x14ac:dyDescent="0.25">
      <c r="A498" s="5" t="s">
        <v>261</v>
      </c>
      <c r="B498" s="16">
        <v>166</v>
      </c>
      <c r="C498" s="16" t="str">
        <v>Harwood - FS HAR 11 13 15 17 - 17</v>
      </c>
      <c r="D498" s="6">
        <f>_xlfn.XLOOKUP(C498,'2023'!C:C,'2023'!A:A,"")</f>
        <v>45029.816666667</v>
      </c>
      <c r="E498" s="6">
        <f>_xlfn.XLOOKUP(C498,'2023'!C:C,'2023'!B:B,"")</f>
        <v>45027.866666667003</v>
      </c>
      <c r="F498" s="19">
        <f t="shared" si="31"/>
        <v>45027.866666667003</v>
      </c>
      <c r="G498" s="6">
        <f>_xlfn.XLOOKUP(C498,'2024'!C:C,'2024'!A:A,"")</f>
        <v>45393.71875</v>
      </c>
      <c r="H498" s="6" t="str">
        <f>_xlfn.XLOOKUP(C499,'2024'!C:C,'2024'!B:B,"")</f>
        <v>No Selection Time Issued</v>
      </c>
      <c r="I498" s="19">
        <f t="shared" si="28"/>
        <v>45393.71875</v>
      </c>
      <c r="J498" s="6">
        <f>_xlfn.XLOOKUP(C498,'2025'!C:C,'2025'!A:A,"")</f>
        <v>45757.795833333003</v>
      </c>
      <c r="K498" s="6">
        <f>_xlfn.XLOOKUP(C498,'2025'!C:C,'2025'!B:B,"")</f>
        <v>45757.712500000001</v>
      </c>
      <c r="L498" s="19">
        <f t="shared" si="29"/>
        <v>45757.712500000001</v>
      </c>
      <c r="M498" s="16" cm="1">
        <f t="array" ref="M498">IFERROR(_xlfn.LET(
_xlpm.x,TRIM(C498),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498" s="16" t="b">
        <f t="shared" si="30"/>
        <v>0</v>
      </c>
    </row>
    <row r="499" spans="1:14" x14ac:dyDescent="0.25">
      <c r="A499" s="5" t="s">
        <v>261</v>
      </c>
      <c r="B499" s="16">
        <v>178</v>
      </c>
      <c r="C499" s="16" t="str">
        <v>Harwood - FS HAR 378-379 - 378</v>
      </c>
      <c r="D499" s="6">
        <f>_xlfn.XLOOKUP(C499,'2023'!C:C,'2023'!A:A,"")</f>
        <v>45029.712500000001</v>
      </c>
      <c r="E499" s="6">
        <f>_xlfn.XLOOKUP(C499,'2023'!C:C,'2023'!B:B,"")</f>
        <v>45027.712500000001</v>
      </c>
      <c r="F499" s="19">
        <f t="shared" si="31"/>
        <v>45027.712500000001</v>
      </c>
      <c r="G499" s="6">
        <f>_xlfn.XLOOKUP(C499,'2024'!C:C,'2024'!A:A,"")</f>
        <v>45393.824999999997</v>
      </c>
      <c r="H499" s="6" t="str">
        <f>_xlfn.XLOOKUP(C500,'2024'!C:C,'2024'!B:B,"")</f>
        <v>No Selection Time Issued</v>
      </c>
      <c r="I499" s="19">
        <f t="shared" si="28"/>
        <v>45393.824999999997</v>
      </c>
      <c r="J499" s="6">
        <f>_xlfn.XLOOKUP(C499,'2025'!C:C,'2025'!A:A,"")</f>
        <v>45757.739583333001</v>
      </c>
      <c r="K499" s="6">
        <f>_xlfn.XLOOKUP(C499,'2025'!C:C,'2025'!B:B,"")</f>
        <v>45757.720833332998</v>
      </c>
      <c r="L499" s="19">
        <f t="shared" si="29"/>
        <v>45757.720833332998</v>
      </c>
      <c r="M499" s="16" cm="1">
        <f t="array" ref="M499">IFERROR(_xlfn.LET(
_xlpm.x,TRIM(C499),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499" s="16" t="b">
        <f t="shared" si="30"/>
        <v>0</v>
      </c>
    </row>
    <row r="500" spans="1:14" x14ac:dyDescent="0.25">
      <c r="A500" s="5" t="s">
        <v>262</v>
      </c>
      <c r="B500" s="16">
        <v>254</v>
      </c>
      <c r="C500" s="16" t="str">
        <v>Harwood - FS HAR 378-379 - 379</v>
      </c>
      <c r="D500" s="6">
        <f>_xlfn.XLOOKUP(C500,'2023'!C:C,'2023'!A:A,"")</f>
        <v>45029.729166666999</v>
      </c>
      <c r="E500" s="6">
        <f>_xlfn.XLOOKUP(C500,'2023'!C:C,'2023'!B:B,"")</f>
        <v>45027.879166667</v>
      </c>
      <c r="F500" s="19">
        <f t="shared" si="31"/>
        <v>45027.879166667</v>
      </c>
      <c r="G500" s="6">
        <f>_xlfn.XLOOKUP(C500,'2024'!C:C,'2024'!A:A,"")</f>
        <v>45393.739583333001</v>
      </c>
      <c r="H500" s="6" t="str">
        <f>_xlfn.XLOOKUP(C501,'2024'!C:C,'2024'!B:B,"")</f>
        <v>No Selection Time Issued</v>
      </c>
      <c r="I500" s="19">
        <f t="shared" si="28"/>
        <v>45393.739583333001</v>
      </c>
      <c r="J500" s="6">
        <f>_xlfn.XLOOKUP(C500,'2025'!C:C,'2025'!A:A,"")</f>
        <v>45757.84375</v>
      </c>
      <c r="K500" s="6">
        <f>_xlfn.XLOOKUP(C500,'2025'!C:C,'2025'!B:B,"")</f>
        <v>45757.720833332998</v>
      </c>
      <c r="L500" s="19">
        <f t="shared" si="29"/>
        <v>45757.720833332998</v>
      </c>
      <c r="M500" s="16" cm="1">
        <f t="array" ref="M500">IFERROR(_xlfn.LET(
_xlpm.x,TRIM(C500),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00" s="16" t="b">
        <f t="shared" si="30"/>
        <v>0</v>
      </c>
    </row>
    <row r="501" spans="1:14" x14ac:dyDescent="0.25">
      <c r="A501" s="5" t="s">
        <v>262</v>
      </c>
      <c r="B501" s="16">
        <v>171</v>
      </c>
      <c r="C501" s="16" t="str">
        <v>Harwood - HAR 226 228 - 226</v>
      </c>
      <c r="D501" s="6">
        <f>_xlfn.XLOOKUP(C501,'2023'!C:C,'2023'!A:A,"")</f>
        <v>45029.789583332997</v>
      </c>
      <c r="E501" s="6">
        <f>_xlfn.XLOOKUP(C501,'2023'!C:C,'2023'!B:B,"")</f>
        <v>45027.716666667002</v>
      </c>
      <c r="F501" s="19">
        <f t="shared" si="31"/>
        <v>45027.716666667002</v>
      </c>
      <c r="G501" s="6">
        <f>_xlfn.XLOOKUP(C501,'2024'!C:C,'2024'!A:A,"")</f>
        <v>45393.78125</v>
      </c>
      <c r="H501" s="6" t="str">
        <f>_xlfn.XLOOKUP(C502,'2024'!C:C,'2024'!B:B,"")</f>
        <v>No Selection Time Issued</v>
      </c>
      <c r="I501" s="19">
        <f t="shared" si="28"/>
        <v>45393.78125</v>
      </c>
      <c r="J501" s="6">
        <f>_xlfn.XLOOKUP(C501,'2025'!C:C,'2025'!A:A,"")</f>
        <v>45757.847916667</v>
      </c>
      <c r="K501" s="6">
        <f>_xlfn.XLOOKUP(C501,'2025'!C:C,'2025'!B:B,"")</f>
        <v>45757.712500000001</v>
      </c>
      <c r="L501" s="19">
        <f t="shared" si="29"/>
        <v>45757.712500000001</v>
      </c>
      <c r="M501" s="16" cm="1">
        <f t="array" ref="M501">IFERROR(_xlfn.LET(
_xlpm.x,TRIM(C501),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1" s="16" t="b">
        <f t="shared" si="30"/>
        <v>0</v>
      </c>
    </row>
    <row r="502" spans="1:14" x14ac:dyDescent="0.25">
      <c r="A502" s="5" t="s">
        <v>262</v>
      </c>
      <c r="B502" s="16">
        <v>197</v>
      </c>
      <c r="C502" s="16" t="str">
        <v>Harwood - HAR 226 228 - 228</v>
      </c>
      <c r="D502" s="6">
        <f>_xlfn.XLOOKUP(C502,'2023'!C:C,'2023'!A:A,"")</f>
        <v>45029.775000000001</v>
      </c>
      <c r="E502" s="6">
        <f>_xlfn.XLOOKUP(C502,'2023'!C:C,'2023'!B:B,"")</f>
        <v>45027.733333333003</v>
      </c>
      <c r="F502" s="19">
        <f t="shared" si="31"/>
        <v>45027.733333333003</v>
      </c>
      <c r="G502" s="6">
        <f>_xlfn.XLOOKUP(C502,'2024'!C:C,'2024'!A:A,"")</f>
        <v>45393.745833333</v>
      </c>
      <c r="H502" s="6">
        <f>_xlfn.XLOOKUP(C503,'2024'!C:C,'2024'!B:B,"")</f>
        <v>45392.795833333003</v>
      </c>
      <c r="I502" s="19">
        <f t="shared" si="28"/>
        <v>45392.795833333003</v>
      </c>
      <c r="J502" s="6">
        <f>_xlfn.XLOOKUP(C502,'2025'!C:C,'2025'!A:A,"")</f>
        <v>45757.733333333003</v>
      </c>
      <c r="K502" s="6">
        <f>_xlfn.XLOOKUP(C502,'2025'!C:C,'2025'!B:B,"")</f>
        <v>45757.733333333003</v>
      </c>
      <c r="L502" s="19">
        <f t="shared" si="29"/>
        <v>45757.733333333003</v>
      </c>
      <c r="M502" s="16" cm="1">
        <f t="array" ref="M502">IFERROR(_xlfn.LET(
_xlpm.x,TRIM(C502),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02" s="16" t="b">
        <f t="shared" si="30"/>
        <v>0</v>
      </c>
    </row>
    <row r="503" spans="1:14" x14ac:dyDescent="0.25">
      <c r="A503" s="5" t="s">
        <v>137</v>
      </c>
      <c r="B503" s="16">
        <v>210</v>
      </c>
      <c r="C503" s="16" t="str">
        <v>Harwood - HAR 301-302 - 301</v>
      </c>
      <c r="D503" s="6">
        <f>_xlfn.XLOOKUP(C503,'2023'!C:C,'2023'!A:A,"")</f>
        <v>45029.712500000001</v>
      </c>
      <c r="E503" s="6">
        <f>_xlfn.XLOOKUP(C503,'2023'!C:C,'2023'!B:B,"")</f>
        <v>45027.710416667003</v>
      </c>
      <c r="F503" s="19">
        <f t="shared" si="31"/>
        <v>45027.710416667003</v>
      </c>
      <c r="G503" s="6">
        <f>_xlfn.XLOOKUP(C503,'2024'!C:C,'2024'!A:A,"")</f>
        <v>45393.724999999999</v>
      </c>
      <c r="H503" s="6" t="str">
        <f>_xlfn.XLOOKUP(C504,'2024'!C:C,'2024'!B:B,"")</f>
        <v>No Selection Time Issued</v>
      </c>
      <c r="I503" s="19">
        <f t="shared" si="28"/>
        <v>45393.724999999999</v>
      </c>
      <c r="J503" s="6">
        <f>_xlfn.XLOOKUP(C503,'2025'!C:C,'2025'!A:A,"")</f>
        <v>45757.729166666999</v>
      </c>
      <c r="K503" s="6">
        <f>_xlfn.XLOOKUP(C503,'2025'!C:C,'2025'!B:B,"")</f>
        <v>45757.729166666999</v>
      </c>
      <c r="L503" s="19">
        <f t="shared" si="29"/>
        <v>45757.729166666999</v>
      </c>
      <c r="M503" s="16" cm="1">
        <f t="array" ref="M503">IFERROR(_xlfn.LET(
_xlpm.x,TRIM(C503),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03" s="16" t="b">
        <f t="shared" si="30"/>
        <v>0</v>
      </c>
    </row>
    <row r="504" spans="1:14" x14ac:dyDescent="0.25">
      <c r="A504" s="5" t="s">
        <v>137</v>
      </c>
      <c r="B504" s="16">
        <v>230</v>
      </c>
      <c r="C504" s="16" t="str">
        <v>Harwood - HAR 301-302 - 302</v>
      </c>
      <c r="D504" s="6">
        <f>_xlfn.XLOOKUP(C504,'2023'!C:C,'2023'!A:A,"")</f>
        <v>45029.760416666999</v>
      </c>
      <c r="E504" s="6">
        <f>_xlfn.XLOOKUP(C504,'2023'!C:C,'2023'!B:B,"")</f>
        <v>45027.712500000001</v>
      </c>
      <c r="F504" s="19">
        <f t="shared" si="31"/>
        <v>45027.712500000001</v>
      </c>
      <c r="G504" s="6">
        <f>_xlfn.XLOOKUP(C504,'2024'!C:C,'2024'!A:A,"")</f>
        <v>45393.822916666999</v>
      </c>
      <c r="H504" s="6" t="str">
        <f>_xlfn.XLOOKUP(C505,'2024'!C:C,'2024'!B:B,"")</f>
        <v>No Selection Time Issued</v>
      </c>
      <c r="I504" s="19">
        <f t="shared" si="28"/>
        <v>45393.822916666999</v>
      </c>
      <c r="J504" s="6">
        <f>_xlfn.XLOOKUP(C504,'2025'!C:C,'2025'!A:A,"")</f>
        <v>45757.839583333</v>
      </c>
      <c r="K504" s="6">
        <f>_xlfn.XLOOKUP(C504,'2025'!C:C,'2025'!B:B,"")</f>
        <v>45757.729166666999</v>
      </c>
      <c r="L504" s="19">
        <f t="shared" si="29"/>
        <v>45757.729166666999</v>
      </c>
      <c r="M504" s="16" cm="1">
        <f t="array" ref="M504">IFERROR(_xlfn.LET(
_xlpm.x,TRIM(C504),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04" s="16" t="b">
        <f t="shared" si="30"/>
        <v>0</v>
      </c>
    </row>
    <row r="505" spans="1:14" x14ac:dyDescent="0.25">
      <c r="A505" s="5" t="s">
        <v>137</v>
      </c>
      <c r="B505" s="16">
        <v>188</v>
      </c>
      <c r="C505" s="16" t="str">
        <v>Harwood - HAR 319 321 323 325 - 319</v>
      </c>
      <c r="D505" s="6">
        <f>_xlfn.XLOOKUP(C505,'2023'!C:C,'2023'!A:A,"")</f>
        <v>45029.841666667002</v>
      </c>
      <c r="E505" s="6">
        <f>_xlfn.XLOOKUP(C505,'2023'!C:C,'2023'!B:B,"")</f>
        <v>45028.720833332998</v>
      </c>
      <c r="F505" s="19">
        <f t="shared" si="31"/>
        <v>45028.720833332998</v>
      </c>
      <c r="G505" s="6">
        <f>_xlfn.XLOOKUP(C505,'2024'!C:C,'2024'!A:A,"")</f>
        <v>45393.772916667003</v>
      </c>
      <c r="H505" s="6" t="str">
        <f>_xlfn.XLOOKUP(C506,'2024'!C:C,'2024'!B:B,"")</f>
        <v>No Selection Time Issued</v>
      </c>
      <c r="I505" s="19">
        <f t="shared" si="28"/>
        <v>45393.772916667003</v>
      </c>
      <c r="J505" s="6">
        <f>_xlfn.XLOOKUP(C505,'2025'!C:C,'2025'!A:A,"")</f>
        <v>45757.779166667002</v>
      </c>
      <c r="K505" s="6">
        <f>_xlfn.XLOOKUP(C505,'2025'!C:C,'2025'!B:B,"")</f>
        <v>45757.779166667002</v>
      </c>
      <c r="L505" s="19">
        <f t="shared" si="29"/>
        <v>45757.779166667002</v>
      </c>
      <c r="M505" s="16" cm="1">
        <f t="array" ref="M505">IFERROR(_xlfn.LET(
_xlpm.x,TRIM(C505),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05" s="16" t="b">
        <f t="shared" si="30"/>
        <v>0</v>
      </c>
    </row>
    <row r="506" spans="1:14" x14ac:dyDescent="0.25">
      <c r="A506" s="5" t="s">
        <v>368</v>
      </c>
      <c r="B506" s="16">
        <v>114</v>
      </c>
      <c r="C506" s="16" t="str">
        <v>Harwood - HAR 319 321 323 325 - 321</v>
      </c>
      <c r="D506" s="6">
        <f>_xlfn.XLOOKUP(C506,'2023'!C:C,'2023'!A:A,"")</f>
        <v>45029.837500000001</v>
      </c>
      <c r="E506" s="6">
        <f>_xlfn.XLOOKUP(C506,'2023'!C:C,'2023'!B:B,"")</f>
        <v>45027.716666667002</v>
      </c>
      <c r="F506" s="19">
        <f t="shared" si="31"/>
        <v>45027.716666667002</v>
      </c>
      <c r="G506" s="6">
        <f>_xlfn.XLOOKUP(C506,'2024'!C:C,'2024'!A:A,"")</f>
        <v>45393.8125</v>
      </c>
      <c r="H506" s="6" t="str">
        <f>_xlfn.XLOOKUP(C507,'2024'!C:C,'2024'!B:B,"")</f>
        <v>No Selection Time Issued</v>
      </c>
      <c r="I506" s="19">
        <f t="shared" si="28"/>
        <v>45393.8125</v>
      </c>
      <c r="J506" s="6">
        <f>_xlfn.XLOOKUP(C506,'2025'!C:C,'2025'!A:A,"")</f>
        <v>45757.772916667003</v>
      </c>
      <c r="K506" s="6" t="str">
        <f>_xlfn.XLOOKUP(C506,'2025'!C:C,'2025'!B:B,"")</f>
        <v>No Selection Time Issued</v>
      </c>
      <c r="L506" s="19">
        <f t="shared" si="29"/>
        <v>45757.772916667003</v>
      </c>
      <c r="M506" s="16" cm="1">
        <f t="array" ref="M506">IFERROR(_xlfn.LET(
_xlpm.x,TRIM(C506),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6" s="16" t="b">
        <f t="shared" si="30"/>
        <v>0</v>
      </c>
    </row>
    <row r="507" spans="1:14" x14ac:dyDescent="0.25">
      <c r="A507" s="5" t="s">
        <v>368</v>
      </c>
      <c r="B507" s="16">
        <v>131</v>
      </c>
      <c r="C507" s="16" t="str">
        <v>Harwood - HAR 319 321 323 325 - 323</v>
      </c>
      <c r="D507" s="6">
        <f>_xlfn.XLOOKUP(C507,'2023'!C:C,'2023'!A:A,"")</f>
        <v>45029.708333333001</v>
      </c>
      <c r="E507" s="6" t="str">
        <f>_xlfn.XLOOKUP(C507,'2023'!C:C,'2023'!B:B,"")</f>
        <v>No Selection Time Issued</v>
      </c>
      <c r="F507" s="19">
        <f t="shared" si="31"/>
        <v>45029.708333333001</v>
      </c>
      <c r="G507" s="6">
        <f>_xlfn.XLOOKUP(C507,'2024'!C:C,'2024'!A:A,"")</f>
        <v>45393.837500000001</v>
      </c>
      <c r="H507" s="6" t="str">
        <f>_xlfn.XLOOKUP(C508,'2024'!C:C,'2024'!B:B,"")</f>
        <v>No Selection Time Issued</v>
      </c>
      <c r="I507" s="19">
        <f t="shared" si="28"/>
        <v>45393.837500000001</v>
      </c>
      <c r="J507" s="6">
        <f>_xlfn.XLOOKUP(C507,'2025'!C:C,'2025'!A:A,"")</f>
        <v>45757.775000000001</v>
      </c>
      <c r="K507" s="6" t="str">
        <f>_xlfn.XLOOKUP(C507,'2025'!C:C,'2025'!B:B,"")</f>
        <v>No Selection Time Issued</v>
      </c>
      <c r="L507" s="19">
        <f t="shared" si="29"/>
        <v>45757.775000000001</v>
      </c>
      <c r="M507" s="16" cm="1">
        <f t="array" ref="M507">IFERROR(_xlfn.LET(
_xlpm.x,TRIM(C507),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7" s="16" t="b">
        <f t="shared" si="30"/>
        <v>0</v>
      </c>
    </row>
    <row r="508" spans="1:14" x14ac:dyDescent="0.25">
      <c r="A508" s="5" t="s">
        <v>368</v>
      </c>
      <c r="B508" s="16">
        <v>123</v>
      </c>
      <c r="C508" s="16" t="str">
        <v>Harwood - HAR 319 321 323 325 - 325</v>
      </c>
      <c r="D508" s="6">
        <f>_xlfn.XLOOKUP(C508,'2023'!C:C,'2023'!A:A,"")</f>
        <v>45029.854166666999</v>
      </c>
      <c r="E508" s="6">
        <f>_xlfn.XLOOKUP(C508,'2023'!C:C,'2023'!B:B,"")</f>
        <v>45027.720833332998</v>
      </c>
      <c r="F508" s="19">
        <f t="shared" si="31"/>
        <v>45027.720833332998</v>
      </c>
      <c r="G508" s="6">
        <f>_xlfn.XLOOKUP(C508,'2024'!C:C,'2024'!A:A,"")</f>
        <v>45393.708333333001</v>
      </c>
      <c r="H508" s="6" t="str">
        <f>_xlfn.XLOOKUP(C509,'2024'!C:C,'2024'!B:B,"")</f>
        <v>No Selection Time Issued</v>
      </c>
      <c r="I508" s="19">
        <f t="shared" si="28"/>
        <v>45393.708333333001</v>
      </c>
      <c r="J508" s="6">
        <f>_xlfn.XLOOKUP(C508,'2025'!C:C,'2025'!A:A,"")</f>
        <v>45757.777083333</v>
      </c>
      <c r="K508" s="6" t="str">
        <f>_xlfn.XLOOKUP(C508,'2025'!C:C,'2025'!B:B,"")</f>
        <v>No Selection Time Issued</v>
      </c>
      <c r="L508" s="19">
        <f t="shared" si="29"/>
        <v>45757.777083333</v>
      </c>
      <c r="M508" s="16" cm="1">
        <f t="array" ref="M508">IFERROR(_xlfn.LET(
_xlpm.x,TRIM(C508),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8" s="16" t="b">
        <f t="shared" si="30"/>
        <v>0</v>
      </c>
    </row>
    <row r="509" spans="1:14" x14ac:dyDescent="0.25">
      <c r="A509" s="5" t="s">
        <v>4</v>
      </c>
      <c r="B509" s="16">
        <v>150</v>
      </c>
      <c r="C509" s="16" t="str">
        <v>Harwood - HAR 342 344 345 347 - 342</v>
      </c>
      <c r="D509" s="6">
        <f>_xlfn.XLOOKUP(C509,'2023'!C:C,'2023'!A:A,"")</f>
        <v>45029.708333333001</v>
      </c>
      <c r="E509" s="6">
        <f>_xlfn.XLOOKUP(C509,'2023'!C:C,'2023'!B:B,"")</f>
        <v>45027.879166667</v>
      </c>
      <c r="F509" s="19">
        <f t="shared" si="31"/>
        <v>45027.879166667</v>
      </c>
      <c r="G509" s="6">
        <f>_xlfn.XLOOKUP(C509,'2024'!C:C,'2024'!A:A,"")</f>
        <v>45393.833333333001</v>
      </c>
      <c r="H509" s="6" t="str">
        <f>_xlfn.XLOOKUP(C510,'2024'!C:C,'2024'!B:B,"")</f>
        <v>No Selection Time Issued</v>
      </c>
      <c r="I509" s="19">
        <f t="shared" si="28"/>
        <v>45393.833333333001</v>
      </c>
      <c r="J509" s="6">
        <f>_xlfn.XLOOKUP(C509,'2025'!C:C,'2025'!A:A,"")</f>
        <v>45757.743750000001</v>
      </c>
      <c r="K509" s="6" t="str">
        <f>_xlfn.XLOOKUP(C509,'2025'!C:C,'2025'!B:B,"")</f>
        <v>No Selection Time Issued</v>
      </c>
      <c r="L509" s="19">
        <f t="shared" si="29"/>
        <v>45757.743750000001</v>
      </c>
      <c r="M509" s="16" cm="1">
        <f t="array" ref="M509">IFERROR(_xlfn.LET(
_xlpm.x,TRIM(C509),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09" s="16" t="b">
        <f t="shared" si="30"/>
        <v>0</v>
      </c>
    </row>
    <row r="510" spans="1:14" x14ac:dyDescent="0.25">
      <c r="A510" s="5" t="s">
        <v>4</v>
      </c>
      <c r="B510" s="16">
        <v>142</v>
      </c>
      <c r="C510" s="16" t="str">
        <v>Harwood - HAR 342 344 345 347 - 344</v>
      </c>
      <c r="D510" s="6">
        <f>_xlfn.XLOOKUP(C510,'2023'!C:C,'2023'!A:A,"")</f>
        <v>45029.816666667</v>
      </c>
      <c r="E510" s="6">
        <f>_xlfn.XLOOKUP(C510,'2023'!C:C,'2023'!B:B,"")</f>
        <v>45027.737500000003</v>
      </c>
      <c r="F510" s="19">
        <f t="shared" si="31"/>
        <v>45027.737500000003</v>
      </c>
      <c r="G510" s="6">
        <f>_xlfn.XLOOKUP(C510,'2024'!C:C,'2024'!A:A,"")</f>
        <v>45393.708333333001</v>
      </c>
      <c r="H510" s="6" t="str">
        <f>_xlfn.XLOOKUP(C511,'2024'!C:C,'2024'!B:B,"")</f>
        <v>No Selection Time Issued</v>
      </c>
      <c r="I510" s="19">
        <f t="shared" si="28"/>
        <v>45393.708333333001</v>
      </c>
      <c r="J510" s="6">
        <f>_xlfn.XLOOKUP(C510,'2025'!C:C,'2025'!A:A,"")</f>
        <v>45757.775000000001</v>
      </c>
      <c r="K510" s="6" t="str">
        <f>_xlfn.XLOOKUP(C510,'2025'!C:C,'2025'!B:B,"")</f>
        <v>No Selection Time Issued</v>
      </c>
      <c r="L510" s="19">
        <f t="shared" si="29"/>
        <v>45757.775000000001</v>
      </c>
      <c r="M510" s="16" cm="1">
        <f t="array" ref="M510">IFERROR(_xlfn.LET(
_xlpm.x,TRIM(C510),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0" s="16" t="b">
        <f t="shared" si="30"/>
        <v>0</v>
      </c>
    </row>
    <row r="511" spans="1:14" x14ac:dyDescent="0.25">
      <c r="A511" s="5" t="s">
        <v>4</v>
      </c>
      <c r="B511" s="16">
        <v>112</v>
      </c>
      <c r="C511" s="16" t="str">
        <v>Harwood - HAR 342 344 345 347 - 345</v>
      </c>
      <c r="D511" s="6">
        <f>_xlfn.XLOOKUP(C511,'2023'!C:C,'2023'!A:A,"")</f>
        <v>45029.84375</v>
      </c>
      <c r="E511" s="6">
        <f>_xlfn.XLOOKUP(C511,'2023'!C:C,'2023'!B:B,"")</f>
        <v>45029.708333333001</v>
      </c>
      <c r="F511" s="19">
        <f t="shared" si="31"/>
        <v>45029.708333333001</v>
      </c>
      <c r="G511" s="6">
        <f>_xlfn.XLOOKUP(C511,'2024'!C:C,'2024'!A:A,"")</f>
        <v>45393.733333333003</v>
      </c>
      <c r="H511" s="6" t="str">
        <f>_xlfn.XLOOKUP(C512,'2024'!C:C,'2024'!B:B,"")</f>
        <v>No Selection Time Issued</v>
      </c>
      <c r="I511" s="19">
        <f t="shared" si="28"/>
        <v>45393.733333333003</v>
      </c>
      <c r="J511" s="6">
        <f>_xlfn.XLOOKUP(C511,'2025'!C:C,'2025'!A:A,"")</f>
        <v>45757.785416667</v>
      </c>
      <c r="K511" s="6" t="str">
        <f>_xlfn.XLOOKUP(C511,'2025'!C:C,'2025'!B:B,"")</f>
        <v>No Selection Time Issued</v>
      </c>
      <c r="L511" s="19">
        <f t="shared" si="29"/>
        <v>45757.785416667</v>
      </c>
      <c r="M511" s="16" cm="1">
        <f t="array" ref="M511">IFERROR(_xlfn.LET(
_xlpm.x,TRIM(C511),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1" s="16" t="b">
        <f t="shared" si="30"/>
        <v>0</v>
      </c>
    </row>
    <row r="512" spans="1:14" x14ac:dyDescent="0.25">
      <c r="A512" s="5" t="s">
        <v>4</v>
      </c>
      <c r="B512" s="16">
        <v>189</v>
      </c>
      <c r="C512" s="16" t="str">
        <v>Harwood - HAR 342 344 345 347 - 347</v>
      </c>
      <c r="D512" s="6">
        <f>_xlfn.XLOOKUP(C512,'2023'!C:C,'2023'!A:A,"")</f>
        <v>45029.806250000001</v>
      </c>
      <c r="E512" s="6">
        <f>_xlfn.XLOOKUP(C512,'2023'!C:C,'2023'!B:B,"")</f>
        <v>45027.712500000001</v>
      </c>
      <c r="F512" s="19">
        <f t="shared" si="31"/>
        <v>45027.712500000001</v>
      </c>
      <c r="G512" s="6">
        <f>_xlfn.XLOOKUP(C512,'2024'!C:C,'2024'!A:A,"")</f>
        <v>45393.829166666997</v>
      </c>
      <c r="H512" s="6">
        <f>_xlfn.XLOOKUP(C513,'2024'!C:C,'2024'!B:B,"")</f>
        <v>45391.714583333</v>
      </c>
      <c r="I512" s="19">
        <f t="shared" si="28"/>
        <v>45391.714583333</v>
      </c>
      <c r="J512" s="6" t="str">
        <f>_xlfn.XLOOKUP(C512,'2025'!C:C,'2025'!A:A,"")</f>
        <v/>
      </c>
      <c r="K512" s="6" t="str">
        <f>_xlfn.XLOOKUP(C512,'2025'!C:C,'2025'!B:B,"")</f>
        <v/>
      </c>
      <c r="L512" s="19" t="str">
        <f t="shared" si="29"/>
        <v/>
      </c>
      <c r="M512" s="16" cm="1">
        <f t="array" ref="M512">IFERROR(_xlfn.LET(
_xlpm.x,TRIM(C512),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12" s="16" t="b">
        <f t="shared" si="30"/>
        <v>0</v>
      </c>
    </row>
    <row r="513" spans="1:14" x14ac:dyDescent="0.25">
      <c r="A513" s="5" t="s">
        <v>60</v>
      </c>
      <c r="B513" s="16">
        <v>147</v>
      </c>
      <c r="C513" s="16" t="str">
        <v>Lawry - LWRY A1 - A11</v>
      </c>
      <c r="D513" s="6">
        <f>_xlfn.XLOOKUP(C513,'2023'!C:C,'2023'!A:A,"")</f>
        <v>45028.770833333001</v>
      </c>
      <c r="E513" s="6" t="str">
        <f>_xlfn.XLOOKUP(C513,'2023'!C:C,'2023'!B:B,"")</f>
        <v>No Selection Time Issued</v>
      </c>
      <c r="F513" s="19">
        <f t="shared" si="31"/>
        <v>45028.770833333001</v>
      </c>
      <c r="G513" s="6">
        <f>_xlfn.XLOOKUP(C513,'2024'!C:C,'2024'!A:A,"")</f>
        <v>45391.85</v>
      </c>
      <c r="H513" s="6" t="str">
        <f>_xlfn.XLOOKUP(C514,'2024'!C:C,'2024'!B:B,"")</f>
        <v>No Selection Time Issued</v>
      </c>
      <c r="I513" s="19">
        <f t="shared" si="28"/>
        <v>45391.85</v>
      </c>
      <c r="J513" s="6">
        <f>_xlfn.XLOOKUP(C513,'2025'!C:C,'2025'!A:A,"")</f>
        <v>45755.835416667003</v>
      </c>
      <c r="K513" s="6">
        <f>_xlfn.XLOOKUP(C513,'2025'!C:C,'2025'!B:B,"")</f>
        <v>45755.835416667003</v>
      </c>
      <c r="L513" s="19">
        <f t="shared" si="29"/>
        <v>45755.835416667003</v>
      </c>
      <c r="M513" s="16" cm="1">
        <f t="array" ref="M513">IFERROR(_xlfn.LET(
_xlpm.x,TRIM(C513),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3" s="16" t="b">
        <f t="shared" si="30"/>
        <v>0</v>
      </c>
    </row>
    <row r="514" spans="1:14" x14ac:dyDescent="0.25">
      <c r="A514" s="5" t="s">
        <v>60</v>
      </c>
      <c r="B514" s="16">
        <v>147</v>
      </c>
      <c r="C514" s="16" t="str">
        <v>Lawry - LWRY A1 - A12</v>
      </c>
      <c r="D514" s="6">
        <f>_xlfn.XLOOKUP(C514,'2023'!C:C,'2023'!A:A,"")</f>
        <v>45028.85</v>
      </c>
      <c r="E514" s="6">
        <f>_xlfn.XLOOKUP(C514,'2023'!C:C,'2023'!B:B,"")</f>
        <v>45027.866666667003</v>
      </c>
      <c r="F514" s="19">
        <f t="shared" si="31"/>
        <v>45027.866666667003</v>
      </c>
      <c r="G514" s="6">
        <f>_xlfn.XLOOKUP(C514,'2024'!C:C,'2024'!A:A,"")</f>
        <v>45393.829166666997</v>
      </c>
      <c r="H514" s="6">
        <f>_xlfn.XLOOKUP(C515,'2024'!C:C,'2024'!B:B,"")</f>
        <v>45392.852083332997</v>
      </c>
      <c r="I514" s="19">
        <f t="shared" ref="I514:I577" si="32">_xlfn.LET(
_xlpm.ind,G514,
_xlpm.grp,H514,
IF(AND(NOT(ISNUMBER(_xlpm.ind)),NOT(ISNUMBER(_xlpm.grp))),"",
MIN(IF(ISNUMBER(_xlpm.ind),_xlpm.ind,1E+99),IF(ISNUMBER(_xlpm.grp),_xlpm.grp,1E+99))
)
)</f>
        <v>45392.852083332997</v>
      </c>
      <c r="J514" s="6">
        <f>_xlfn.XLOOKUP(C514,'2025'!C:C,'2025'!A:A,"")</f>
        <v>45757.716666667002</v>
      </c>
      <c r="K514" s="6">
        <f>_xlfn.XLOOKUP(C514,'2025'!C:C,'2025'!B:B,"")</f>
        <v>45755.835416667003</v>
      </c>
      <c r="L514" s="19">
        <f t="shared" ref="L514:L577" si="33">_xlfn.LET(_xlpm.ind,J514,_xlpm.grp,K514,IF(AND(NOT(ISNUMBER(_xlpm.ind)),NOT(ISNUMBER(_xlpm.grp))),"",MIN(IF(ISNUMBER(_xlpm.ind),_xlpm.ind,1E+99),IF(ISNUMBER(_xlpm.grp),_xlpm.grp,1E+99))))</f>
        <v>45755.835416667003</v>
      </c>
      <c r="M514" s="16" cm="1">
        <f t="array" ref="M514">IFERROR(_xlfn.LET(
_xlpm.x,TRIM(C514),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4" s="16" t="b">
        <f t="shared" ref="N514:N577" si="34">OR(_xlfn.TEXTBEFORE(C514," - ")="Blaisdell",_xlfn.TEXTBEFORE(C514," - ")="Mudd",_xlfn.TEXTBEFORE(C514," - ")="Dialynas",_xlfn.TEXTBEFORE(C514," - ")="Sontag")</f>
        <v>0</v>
      </c>
    </row>
    <row r="515" spans="1:14" x14ac:dyDescent="0.25">
      <c r="A515" s="5" t="s">
        <v>60</v>
      </c>
      <c r="B515" s="16">
        <v>140</v>
      </c>
      <c r="C515" s="16" t="str">
        <v>Lawry - LWRY A1 - A13</v>
      </c>
      <c r="D515" s="6">
        <f>_xlfn.XLOOKUP(C515,'2023'!C:C,'2023'!A:A,"")</f>
        <v>45028.71875</v>
      </c>
      <c r="E515" s="6" t="str">
        <f>_xlfn.XLOOKUP(C515,'2023'!C:C,'2023'!B:B,"")</f>
        <v>No Selection Time Issued</v>
      </c>
      <c r="F515" s="19">
        <f t="shared" ref="F515:F578" si="35">_xlfn.LET(
_xlpm.ind,D515,
_xlpm.grp,E515,
IF(AND(NOT(ISNUMBER(_xlpm.ind)),NOT(ISNUMBER(_xlpm.grp))),"",
MIN(IF(ISNUMBER(_xlpm.ind),_xlpm.ind,1E+99),IF(ISNUMBER(_xlpm.grp),_xlpm.grp,1E+99))
)
)</f>
        <v>45028.71875</v>
      </c>
      <c r="G515" s="6">
        <f>_xlfn.XLOOKUP(C515,'2024'!C:C,'2024'!A:A,"")</f>
        <v>45392.84375</v>
      </c>
      <c r="H515" s="6" t="str">
        <f>_xlfn.XLOOKUP(C516,'2024'!C:C,'2024'!B:B,"")</f>
        <v>No Selection Time Issued</v>
      </c>
      <c r="I515" s="19">
        <f t="shared" si="32"/>
        <v>45392.84375</v>
      </c>
      <c r="J515" s="6">
        <f>_xlfn.XLOOKUP(C515,'2025'!C:C,'2025'!A:A,"")</f>
        <v>45756.789583332997</v>
      </c>
      <c r="K515" s="6">
        <f>_xlfn.XLOOKUP(C515,'2025'!C:C,'2025'!B:B,"")</f>
        <v>45755.835416667003</v>
      </c>
      <c r="L515" s="19">
        <f t="shared" si="33"/>
        <v>45755.835416667003</v>
      </c>
      <c r="M515" s="16" cm="1">
        <f t="array" ref="M515">IFERROR(_xlfn.LET(
_xlpm.x,TRIM(C515),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5" s="16" t="b">
        <f t="shared" si="34"/>
        <v>0</v>
      </c>
    </row>
    <row r="516" spans="1:14" x14ac:dyDescent="0.25">
      <c r="A516" s="5" t="s">
        <v>356</v>
      </c>
      <c r="B516" s="16">
        <v>140</v>
      </c>
      <c r="C516" s="16" t="str">
        <v>Lawry - LWRY A1 - A14</v>
      </c>
      <c r="D516" s="6">
        <f>_xlfn.XLOOKUP(C516,'2023'!C:C,'2023'!A:A,"")</f>
        <v>45027.772916667003</v>
      </c>
      <c r="E516" s="6" t="str">
        <f>_xlfn.XLOOKUP(C516,'2023'!C:C,'2023'!B:B,"")</f>
        <v>No Selection Time Issued</v>
      </c>
      <c r="F516" s="19">
        <f t="shared" si="35"/>
        <v>45027.772916667003</v>
      </c>
      <c r="G516" s="6">
        <f>_xlfn.XLOOKUP(C516,'2024'!C:C,'2024'!A:A,"")</f>
        <v>45393.722916667</v>
      </c>
      <c r="H516" s="6">
        <f>_xlfn.XLOOKUP(C517,'2024'!C:C,'2024'!B:B,"")</f>
        <v>45391.739583333001</v>
      </c>
      <c r="I516" s="19">
        <f t="shared" si="32"/>
        <v>45391.739583333001</v>
      </c>
      <c r="J516" s="6">
        <f>_xlfn.XLOOKUP(C516,'2025'!C:C,'2025'!A:A,"")</f>
        <v>45757.837500000001</v>
      </c>
      <c r="K516" s="6">
        <f>_xlfn.XLOOKUP(C516,'2025'!C:C,'2025'!B:B,"")</f>
        <v>45755.835416667003</v>
      </c>
      <c r="L516" s="19">
        <f t="shared" si="33"/>
        <v>45755.835416667003</v>
      </c>
      <c r="M516" s="16" cm="1">
        <f t="array" ref="M516">IFERROR(_xlfn.LET(
_xlpm.x,TRIM(C516),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6" s="16" t="b">
        <f t="shared" si="34"/>
        <v>0</v>
      </c>
    </row>
    <row r="517" spans="1:14" x14ac:dyDescent="0.25">
      <c r="A517" s="5" t="s">
        <v>356</v>
      </c>
      <c r="B517" s="16">
        <v>140</v>
      </c>
      <c r="C517" s="16" t="str">
        <v>Lawry - LWRY A1 - A15</v>
      </c>
      <c r="D517" s="6">
        <f>_xlfn.XLOOKUP(C517,'2023'!C:C,'2023'!A:A,"")</f>
        <v>45027.835416667003</v>
      </c>
      <c r="E517" s="6">
        <f>_xlfn.XLOOKUP(C517,'2023'!C:C,'2023'!B:B,"")</f>
        <v>45027.739583333001</v>
      </c>
      <c r="F517" s="19">
        <f t="shared" si="35"/>
        <v>45027.739583333001</v>
      </c>
      <c r="G517" s="6">
        <f>_xlfn.XLOOKUP(C517,'2024'!C:C,'2024'!A:A,"")</f>
        <v>45392.795833333003</v>
      </c>
      <c r="H517" s="6" t="str">
        <f>_xlfn.XLOOKUP(C518,'2024'!C:C,'2024'!B:B,"")</f>
        <v>No Selection Time Issued</v>
      </c>
      <c r="I517" s="19">
        <f t="shared" si="32"/>
        <v>45392.795833333003</v>
      </c>
      <c r="J517" s="6">
        <f>_xlfn.XLOOKUP(C517,'2025'!C:C,'2025'!A:A,"")</f>
        <v>45757.791666666999</v>
      </c>
      <c r="K517" s="6">
        <f>_xlfn.XLOOKUP(C517,'2025'!C:C,'2025'!B:B,"")</f>
        <v>45755.835416667003</v>
      </c>
      <c r="L517" s="19">
        <f t="shared" si="33"/>
        <v>45755.835416667003</v>
      </c>
      <c r="M517" s="16" cm="1">
        <f t="array" ref="M517">IFERROR(_xlfn.LET(
_xlpm.x,TRIM(C517),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7" s="16" t="b">
        <f t="shared" si="34"/>
        <v>0</v>
      </c>
    </row>
    <row r="518" spans="1:14" x14ac:dyDescent="0.25">
      <c r="A518" s="5" t="s">
        <v>356</v>
      </c>
      <c r="B518" s="16">
        <v>140</v>
      </c>
      <c r="C518" s="16" t="str">
        <v>Lawry - LWRY A1 - A16</v>
      </c>
      <c r="D518" s="6">
        <f>_xlfn.XLOOKUP(C518,'2023'!C:C,'2023'!A:A,"")</f>
        <v>45028.822916666999</v>
      </c>
      <c r="E518" s="6">
        <f>_xlfn.XLOOKUP(C518,'2023'!C:C,'2023'!B:B,"")</f>
        <v>45027.775000000001</v>
      </c>
      <c r="F518" s="19">
        <f t="shared" si="35"/>
        <v>45027.775000000001</v>
      </c>
      <c r="G518" s="6">
        <f>_xlfn.XLOOKUP(C518,'2024'!C:C,'2024'!A:A,"")</f>
        <v>45393.779166667002</v>
      </c>
      <c r="H518" s="6">
        <f>_xlfn.XLOOKUP(C519,'2024'!C:C,'2024'!B:B,"")</f>
        <v>45392.733333333003</v>
      </c>
      <c r="I518" s="19">
        <f t="shared" si="32"/>
        <v>45392.733333333003</v>
      </c>
      <c r="J518" s="6">
        <f>_xlfn.XLOOKUP(C518,'2025'!C:C,'2025'!A:A,"")</f>
        <v>45757.710416667003</v>
      </c>
      <c r="K518" s="6">
        <f>_xlfn.XLOOKUP(C518,'2025'!C:C,'2025'!B:B,"")</f>
        <v>45755.835416667003</v>
      </c>
      <c r="L518" s="19">
        <f t="shared" si="33"/>
        <v>45755.835416667003</v>
      </c>
      <c r="M518" s="16" cm="1">
        <f t="array" ref="M518">IFERROR(_xlfn.LET(
_xlpm.x,TRIM(C518),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8" s="16" t="b">
        <f t="shared" si="34"/>
        <v>0</v>
      </c>
    </row>
    <row r="519" spans="1:14" x14ac:dyDescent="0.25">
      <c r="A519" s="5" t="s">
        <v>114</v>
      </c>
      <c r="B519" s="16">
        <v>132</v>
      </c>
      <c r="C519" s="16" t="str">
        <v>Lawry - LWRY A1 - A17</v>
      </c>
      <c r="D519" s="6">
        <f>_xlfn.XLOOKUP(C519,'2023'!C:C,'2023'!A:A,"")</f>
        <v>45028.787499999999</v>
      </c>
      <c r="E519" s="6" t="str">
        <f>_xlfn.XLOOKUP(C519,'2023'!C:C,'2023'!B:B,"")</f>
        <v>No Selection Time Issued</v>
      </c>
      <c r="F519" s="19">
        <f t="shared" si="35"/>
        <v>45028.787499999999</v>
      </c>
      <c r="G519" s="6">
        <f>_xlfn.XLOOKUP(C519,'2024'!C:C,'2024'!A:A,"")</f>
        <v>45392.839583333</v>
      </c>
      <c r="H519" s="6" t="str">
        <f>_xlfn.XLOOKUP(C520,'2024'!C:C,'2024'!B:B,"")</f>
        <v>No Selection Time Issued</v>
      </c>
      <c r="I519" s="19">
        <f t="shared" si="32"/>
        <v>45392.839583333</v>
      </c>
      <c r="J519" s="6">
        <f>_xlfn.XLOOKUP(C519,'2025'!C:C,'2025'!A:A,"")</f>
        <v>45756.818749999999</v>
      </c>
      <c r="K519" s="6">
        <f>_xlfn.XLOOKUP(C519,'2025'!C:C,'2025'!B:B,"")</f>
        <v>45755.835416667003</v>
      </c>
      <c r="L519" s="19">
        <f t="shared" si="33"/>
        <v>45755.835416667003</v>
      </c>
      <c r="M519" s="16" cm="1">
        <f t="array" ref="M519">IFERROR(_xlfn.LET(
_xlpm.x,TRIM(C519),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19" s="16" t="b">
        <f t="shared" si="34"/>
        <v>0</v>
      </c>
    </row>
    <row r="520" spans="1:14" x14ac:dyDescent="0.25">
      <c r="A520" s="5" t="s">
        <v>114</v>
      </c>
      <c r="B520" s="16">
        <v>132</v>
      </c>
      <c r="C520" s="16" t="str">
        <v>Lawry - LWRY A1 - A18</v>
      </c>
      <c r="D520" s="6">
        <f>_xlfn.XLOOKUP(C520,'2023'!C:C,'2023'!A:A,"")</f>
        <v>45027.783333332998</v>
      </c>
      <c r="E520" s="6">
        <f>_xlfn.XLOOKUP(C520,'2023'!C:C,'2023'!B:B,"")</f>
        <v>45027.720833332998</v>
      </c>
      <c r="F520" s="19">
        <f t="shared" si="35"/>
        <v>45027.720833332998</v>
      </c>
      <c r="G520" s="6">
        <f>_xlfn.XLOOKUP(C520,'2024'!C:C,'2024'!A:A,"")</f>
        <v>45393.837500000001</v>
      </c>
      <c r="H520" s="6">
        <f>_xlfn.XLOOKUP(C521,'2024'!C:C,'2024'!B:B,"")</f>
        <v>45393.791666666999</v>
      </c>
      <c r="I520" s="19">
        <f t="shared" si="32"/>
        <v>45393.791666666999</v>
      </c>
      <c r="J520" s="6">
        <f>_xlfn.XLOOKUP(C520,'2025'!C:C,'2025'!A:A,"")</f>
        <v>45757.766666666997</v>
      </c>
      <c r="K520" s="6">
        <f>_xlfn.XLOOKUP(C520,'2025'!C:C,'2025'!B:B,"")</f>
        <v>45755.835416667003</v>
      </c>
      <c r="L520" s="19">
        <f t="shared" si="33"/>
        <v>45755.835416667003</v>
      </c>
      <c r="M520" s="16" cm="1">
        <f t="array" ref="M520">IFERROR(_xlfn.LET(
_xlpm.x,TRIM(C520),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0" s="16" t="b">
        <f t="shared" si="34"/>
        <v>0</v>
      </c>
    </row>
    <row r="521" spans="1:14" x14ac:dyDescent="0.25">
      <c r="A521" s="5" t="s">
        <v>649</v>
      </c>
      <c r="B521" s="16">
        <v>147</v>
      </c>
      <c r="C521" s="16" t="str">
        <v>Lawry - LWRY A2 - A21</v>
      </c>
      <c r="D521" s="6">
        <f>_xlfn.XLOOKUP(C521,'2023'!C:C,'2023'!A:A,"")</f>
        <v>45027.78125</v>
      </c>
      <c r="E521" s="6" t="str">
        <f>_xlfn.XLOOKUP(C521,'2023'!C:C,'2023'!B:B,"")</f>
        <v>No Selection Time Issued</v>
      </c>
      <c r="F521" s="19">
        <f t="shared" si="35"/>
        <v>45027.78125</v>
      </c>
      <c r="G521" s="6">
        <f>_xlfn.XLOOKUP(C521,'2024'!C:C,'2024'!A:A,"")</f>
        <v>45391.841666667002</v>
      </c>
      <c r="H521" s="6">
        <f>_xlfn.XLOOKUP(C522,'2024'!C:C,'2024'!B:B,"")</f>
        <v>45391.714583333</v>
      </c>
      <c r="I521" s="19">
        <f t="shared" si="32"/>
        <v>45391.714583333</v>
      </c>
      <c r="J521" s="6">
        <f>_xlfn.XLOOKUP(C521,'2025'!C:C,'2025'!A:A,"")</f>
        <v>45757.839583333</v>
      </c>
      <c r="K521" s="6">
        <f>_xlfn.XLOOKUP(C521,'2025'!C:C,'2025'!B:B,"")</f>
        <v>45755.802083333001</v>
      </c>
      <c r="L521" s="19">
        <f t="shared" si="33"/>
        <v>45755.802083333001</v>
      </c>
      <c r="M521" s="16" cm="1">
        <f t="array" ref="M521">IFERROR(_xlfn.LET(
_xlpm.x,TRIM(C521),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1" s="16" t="b">
        <f t="shared" si="34"/>
        <v>0</v>
      </c>
    </row>
    <row r="522" spans="1:14" x14ac:dyDescent="0.25">
      <c r="A522" s="5" t="s">
        <v>649</v>
      </c>
      <c r="B522" s="16">
        <v>147</v>
      </c>
      <c r="C522" s="16" t="str">
        <v>Lawry - LWRY A2 - A22</v>
      </c>
      <c r="D522" s="6">
        <f>_xlfn.XLOOKUP(C522,'2023'!C:C,'2023'!A:A,"")</f>
        <v>45027.872916667002</v>
      </c>
      <c r="E522" s="6">
        <f>_xlfn.XLOOKUP(C522,'2023'!C:C,'2023'!B:B,"")</f>
        <v>45027.71875</v>
      </c>
      <c r="F522" s="19">
        <f t="shared" si="35"/>
        <v>45027.71875</v>
      </c>
      <c r="G522" s="6">
        <f>_xlfn.XLOOKUP(C522,'2024'!C:C,'2024'!A:A,"")</f>
        <v>45392.764583333003</v>
      </c>
      <c r="H522" s="6">
        <f>_xlfn.XLOOKUP(C523,'2024'!C:C,'2024'!B:B,"")</f>
        <v>45393.793749999997</v>
      </c>
      <c r="I522" s="19">
        <f t="shared" si="32"/>
        <v>45392.764583333003</v>
      </c>
      <c r="J522" s="6">
        <f>_xlfn.XLOOKUP(C522,'2025'!C:C,'2025'!A:A,"")</f>
        <v>45757.777083333</v>
      </c>
      <c r="K522" s="6">
        <f>_xlfn.XLOOKUP(C522,'2025'!C:C,'2025'!B:B,"")</f>
        <v>45755.802083333001</v>
      </c>
      <c r="L522" s="19">
        <f t="shared" si="33"/>
        <v>45755.802083333001</v>
      </c>
      <c r="M522" s="16" cm="1">
        <f t="array" ref="M522">IFERROR(_xlfn.LET(
_xlpm.x,TRIM(C522),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2" s="16" t="b">
        <f t="shared" si="34"/>
        <v>0</v>
      </c>
    </row>
    <row r="523" spans="1:14" x14ac:dyDescent="0.25">
      <c r="A523" s="5" t="s">
        <v>427</v>
      </c>
      <c r="B523" s="16">
        <v>140</v>
      </c>
      <c r="C523" s="16" t="str">
        <v>Lawry - LWRY A2 - A23</v>
      </c>
      <c r="D523" s="6">
        <f>_xlfn.XLOOKUP(C523,'2023'!C:C,'2023'!A:A,"")</f>
        <v>45027.795833333003</v>
      </c>
      <c r="E523" s="6">
        <f>_xlfn.XLOOKUP(C523,'2023'!C:C,'2023'!B:B,"")</f>
        <v>45029.754166667</v>
      </c>
      <c r="F523" s="19">
        <f t="shared" si="35"/>
        <v>45027.795833333003</v>
      </c>
      <c r="G523" s="6">
        <f>_xlfn.XLOOKUP(C523,'2024'!C:C,'2024'!A:A,"")</f>
        <v>45392.78125</v>
      </c>
      <c r="H523" s="6">
        <f>_xlfn.XLOOKUP(C524,'2024'!C:C,'2024'!B:B,"")</f>
        <v>45392.714583333</v>
      </c>
      <c r="I523" s="19">
        <f t="shared" si="32"/>
        <v>45392.714583333</v>
      </c>
      <c r="J523" s="6">
        <f>_xlfn.XLOOKUP(C523,'2025'!C:C,'2025'!A:A,"")</f>
        <v>45755.802083333001</v>
      </c>
      <c r="K523" s="6">
        <f>_xlfn.XLOOKUP(C523,'2025'!C:C,'2025'!B:B,"")</f>
        <v>45755.802083333001</v>
      </c>
      <c r="L523" s="19">
        <f t="shared" si="33"/>
        <v>45755.802083333001</v>
      </c>
      <c r="M523" s="16" cm="1">
        <f t="array" ref="M523">IFERROR(_xlfn.LET(
_xlpm.x,TRIM(C523),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3" s="16" t="b">
        <f t="shared" si="34"/>
        <v>0</v>
      </c>
    </row>
    <row r="524" spans="1:14" x14ac:dyDescent="0.25">
      <c r="A524" s="5" t="s">
        <v>427</v>
      </c>
      <c r="B524" s="16">
        <v>140</v>
      </c>
      <c r="C524" s="16" t="str">
        <v>Lawry - LWRY A2 - A24</v>
      </c>
      <c r="D524" s="6">
        <f>_xlfn.XLOOKUP(C524,'2023'!C:C,'2023'!A:A,"")</f>
        <v>45027.775000000001</v>
      </c>
      <c r="E524" s="6">
        <f>_xlfn.XLOOKUP(C524,'2023'!C:C,'2023'!B:B,"")</f>
        <v>45027.724999999999</v>
      </c>
      <c r="F524" s="19">
        <f t="shared" si="35"/>
        <v>45027.724999999999</v>
      </c>
      <c r="G524" s="6">
        <f>_xlfn.XLOOKUP(C524,'2024'!C:C,'2024'!A:A,"")</f>
        <v>45391.785416667</v>
      </c>
      <c r="H524" s="6">
        <f>_xlfn.XLOOKUP(C525,'2024'!C:C,'2024'!B:B,"")</f>
        <v>45391.777083333</v>
      </c>
      <c r="I524" s="19">
        <f t="shared" si="32"/>
        <v>45391.777083333</v>
      </c>
      <c r="J524" s="6" t="str">
        <f>_xlfn.XLOOKUP(C524,'2025'!C:C,'2025'!A:A,"")</f>
        <v/>
      </c>
      <c r="K524" s="6" t="str">
        <f>_xlfn.XLOOKUP(C524,'2025'!C:C,'2025'!B:B,"")</f>
        <v/>
      </c>
      <c r="L524" s="19" t="str">
        <f t="shared" si="33"/>
        <v/>
      </c>
      <c r="M524" s="16" cm="1">
        <f t="array" ref="M524">IFERROR(_xlfn.LET(
_xlpm.x,TRIM(C524),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4" s="16" t="b">
        <f t="shared" si="34"/>
        <v>0</v>
      </c>
    </row>
    <row r="525" spans="1:14" x14ac:dyDescent="0.25">
      <c r="A525" s="5" t="s">
        <v>279</v>
      </c>
      <c r="B525" s="16">
        <v>140</v>
      </c>
      <c r="C525" s="16" t="str">
        <v>Lawry - LWRY A2 - A25</v>
      </c>
      <c r="D525" s="6">
        <f>_xlfn.XLOOKUP(C525,'2023'!C:C,'2023'!A:A,"")</f>
        <v>45027.885416666999</v>
      </c>
      <c r="E525" s="6" t="str">
        <f>_xlfn.XLOOKUP(C525,'2023'!C:C,'2023'!B:B,"")</f>
        <v>No Selection Time Issued</v>
      </c>
      <c r="F525" s="19">
        <f t="shared" si="35"/>
        <v>45027.885416666999</v>
      </c>
      <c r="G525" s="6">
        <f>_xlfn.XLOOKUP(C525,'2024'!C:C,'2024'!A:A,"")</f>
        <v>45392.793749999997</v>
      </c>
      <c r="H525" s="6">
        <f>_xlfn.XLOOKUP(C526,'2024'!C:C,'2024'!B:B,"")</f>
        <v>45391.731249999997</v>
      </c>
      <c r="I525" s="19">
        <f t="shared" si="32"/>
        <v>45391.731249999997</v>
      </c>
      <c r="J525" s="6">
        <f>_xlfn.XLOOKUP(C525,'2025'!C:C,'2025'!A:A,"")</f>
        <v>45757.743750000001</v>
      </c>
      <c r="K525" s="6">
        <f>_xlfn.XLOOKUP(C525,'2025'!C:C,'2025'!B:B,"")</f>
        <v>45755.802083333001</v>
      </c>
      <c r="L525" s="19">
        <f t="shared" si="33"/>
        <v>45755.802083333001</v>
      </c>
      <c r="M525" s="16" cm="1">
        <f t="array" ref="M525">IFERROR(_xlfn.LET(
_xlpm.x,TRIM(C525),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5" s="16" t="b">
        <f t="shared" si="34"/>
        <v>0</v>
      </c>
    </row>
    <row r="526" spans="1:14" x14ac:dyDescent="0.25">
      <c r="A526" s="5" t="s">
        <v>279</v>
      </c>
      <c r="B526" s="16">
        <v>140</v>
      </c>
      <c r="C526" s="16" t="str">
        <v>Lawry - LWRY A2 - A26</v>
      </c>
      <c r="D526" s="6">
        <f>_xlfn.XLOOKUP(C526,'2023'!C:C,'2023'!A:A,"")</f>
        <v>45028.845833332998</v>
      </c>
      <c r="E526" s="6">
        <f>_xlfn.XLOOKUP(C526,'2023'!C:C,'2023'!B:B,"")</f>
        <v>45027.75</v>
      </c>
      <c r="F526" s="19">
        <f t="shared" si="35"/>
        <v>45027.75</v>
      </c>
      <c r="G526" s="6">
        <f>_xlfn.XLOOKUP(C526,'2024'!C:C,'2024'!A:A,"")</f>
        <v>45391.902083333</v>
      </c>
      <c r="H526" s="6">
        <f>_xlfn.XLOOKUP(C527,'2024'!C:C,'2024'!B:B,"")</f>
        <v>45392.735416666997</v>
      </c>
      <c r="I526" s="19">
        <f t="shared" si="32"/>
        <v>45391.902083333</v>
      </c>
      <c r="J526" s="6">
        <f>_xlfn.XLOOKUP(C526,'2025'!C:C,'2025'!A:A,"")</f>
        <v>45757.833333333001</v>
      </c>
      <c r="K526" s="6">
        <f>_xlfn.XLOOKUP(C526,'2025'!C:C,'2025'!B:B,"")</f>
        <v>45755.802083333001</v>
      </c>
      <c r="L526" s="19">
        <f t="shared" si="33"/>
        <v>45755.802083333001</v>
      </c>
      <c r="M526" s="16" cm="1">
        <f t="array" ref="M526">IFERROR(_xlfn.LET(
_xlpm.x,TRIM(C526),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6" s="16" t="b">
        <f t="shared" si="34"/>
        <v>0</v>
      </c>
    </row>
    <row r="527" spans="1:14" x14ac:dyDescent="0.25">
      <c r="A527" s="5" t="s">
        <v>175</v>
      </c>
      <c r="B527" s="16">
        <v>132</v>
      </c>
      <c r="C527" s="16" t="str">
        <v>Lawry - LWRY A2 - A27</v>
      </c>
      <c r="D527" s="6">
        <f>_xlfn.XLOOKUP(C527,'2023'!C:C,'2023'!A:A,"")</f>
        <v>45027.868750000001</v>
      </c>
      <c r="E527" s="6" t="str">
        <f>_xlfn.XLOOKUP(C527,'2023'!C:C,'2023'!B:B,"")</f>
        <v>No Selection Time Issued</v>
      </c>
      <c r="F527" s="19">
        <f t="shared" si="35"/>
        <v>45027.868750000001</v>
      </c>
      <c r="G527" s="6">
        <f>_xlfn.XLOOKUP(C527,'2024'!C:C,'2024'!A:A,"")</f>
        <v>45391.818749999999</v>
      </c>
      <c r="H527" s="6">
        <f>_xlfn.XLOOKUP(C528,'2024'!C:C,'2024'!B:B,"")</f>
        <v>45391.722916667</v>
      </c>
      <c r="I527" s="19">
        <f t="shared" si="32"/>
        <v>45391.722916667</v>
      </c>
      <c r="J527" s="6">
        <f>_xlfn.XLOOKUP(C527,'2025'!C:C,'2025'!A:A,"")</f>
        <v>45757.827083333003</v>
      </c>
      <c r="K527" s="6">
        <f>_xlfn.XLOOKUP(C527,'2025'!C:C,'2025'!B:B,"")</f>
        <v>45755.802083333001</v>
      </c>
      <c r="L527" s="19">
        <f t="shared" si="33"/>
        <v>45755.802083333001</v>
      </c>
      <c r="M527" s="16" cm="1">
        <f t="array" ref="M527">IFERROR(_xlfn.LET(
_xlpm.x,TRIM(C527),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7" s="16" t="b">
        <f t="shared" si="34"/>
        <v>0</v>
      </c>
    </row>
    <row r="528" spans="1:14" x14ac:dyDescent="0.25">
      <c r="A528" s="5" t="s">
        <v>175</v>
      </c>
      <c r="B528" s="16">
        <v>132</v>
      </c>
      <c r="C528" s="16" t="str">
        <v>Lawry - LWRY A2 - A28</v>
      </c>
      <c r="D528" s="6">
        <f>_xlfn.XLOOKUP(C528,'2023'!C:C,'2023'!A:A,"")</f>
        <v>45027.9</v>
      </c>
      <c r="E528" s="6">
        <f>_xlfn.XLOOKUP(C528,'2023'!C:C,'2023'!B:B,"")</f>
        <v>45028.729166666999</v>
      </c>
      <c r="F528" s="19">
        <f t="shared" si="35"/>
        <v>45027.9</v>
      </c>
      <c r="G528" s="6">
        <f>_xlfn.XLOOKUP(C528,'2024'!C:C,'2024'!A:A,"")</f>
        <v>45391.731249999997</v>
      </c>
      <c r="H528" s="6">
        <f>_xlfn.XLOOKUP(C529,'2024'!C:C,'2024'!B:B,"")</f>
        <v>45391.722916667</v>
      </c>
      <c r="I528" s="19">
        <f t="shared" si="32"/>
        <v>45391.722916667</v>
      </c>
      <c r="J528" s="6">
        <f>_xlfn.XLOOKUP(C528,'2025'!C:C,'2025'!A:A,"")</f>
        <v>45757.787499999999</v>
      </c>
      <c r="K528" s="6">
        <f>_xlfn.XLOOKUP(C528,'2025'!C:C,'2025'!B:B,"")</f>
        <v>45755.802083333001</v>
      </c>
      <c r="L528" s="19">
        <f t="shared" si="33"/>
        <v>45755.802083333001</v>
      </c>
      <c r="M528" s="16" cm="1">
        <f t="array" ref="M528">IFERROR(_xlfn.LET(
_xlpm.x,TRIM(C528),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8" s="16" t="b">
        <f t="shared" si="34"/>
        <v>0</v>
      </c>
    </row>
    <row r="529" spans="1:14" x14ac:dyDescent="0.25">
      <c r="A529" s="5" t="s">
        <v>8</v>
      </c>
      <c r="B529" s="16">
        <v>147</v>
      </c>
      <c r="C529" s="16" t="str">
        <v>Lawry - LWRY A3 - A31</v>
      </c>
      <c r="D529" s="6" t="str">
        <f>_xlfn.XLOOKUP(C529,'2023'!C:C,'2023'!A:A,"")</f>
        <v/>
      </c>
      <c r="E529" s="6" t="str">
        <f>_xlfn.XLOOKUP(C529,'2023'!C:C,'2023'!B:B,"")</f>
        <v/>
      </c>
      <c r="F529" s="19" t="str">
        <f t="shared" si="35"/>
        <v/>
      </c>
      <c r="G529" s="6">
        <f>_xlfn.XLOOKUP(C529,'2024'!C:C,'2024'!A:A,"")</f>
        <v>45391.739583333001</v>
      </c>
      <c r="H529" s="6">
        <f>_xlfn.XLOOKUP(C530,'2024'!C:C,'2024'!B:B,"")</f>
        <v>45391.712500000001</v>
      </c>
      <c r="I529" s="19">
        <f t="shared" si="32"/>
        <v>45391.712500000001</v>
      </c>
      <c r="J529" s="6">
        <f>_xlfn.XLOOKUP(C529,'2025'!C:C,'2025'!A:A,"")</f>
        <v>45755.827083333003</v>
      </c>
      <c r="K529" s="6">
        <f>_xlfn.XLOOKUP(C529,'2025'!C:C,'2025'!B:B,"")</f>
        <v>45755.739583333001</v>
      </c>
      <c r="L529" s="19">
        <f t="shared" si="33"/>
        <v>45755.739583333001</v>
      </c>
      <c r="M529" s="16" cm="1">
        <f t="array" ref="M529">IFERROR(_xlfn.LET(
_xlpm.x,TRIM(C529),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29" s="16" t="b">
        <f t="shared" si="34"/>
        <v>0</v>
      </c>
    </row>
    <row r="530" spans="1:14" x14ac:dyDescent="0.25">
      <c r="A530" s="5" t="s">
        <v>8</v>
      </c>
      <c r="B530" s="16">
        <v>147</v>
      </c>
      <c r="C530" s="16" t="str">
        <v>Lawry - LWRY A3 - A32</v>
      </c>
      <c r="D530" s="6" t="str">
        <f>_xlfn.XLOOKUP(C530,'2023'!C:C,'2023'!A:A,"")</f>
        <v/>
      </c>
      <c r="E530" s="6" t="str">
        <f>_xlfn.XLOOKUP(C530,'2023'!C:C,'2023'!B:B,"")</f>
        <v/>
      </c>
      <c r="F530" s="19" t="str">
        <f t="shared" si="35"/>
        <v/>
      </c>
      <c r="G530" s="6">
        <f>_xlfn.XLOOKUP(C530,'2024'!C:C,'2024'!A:A,"")</f>
        <v>45391.789583332997</v>
      </c>
      <c r="H530" s="6">
        <f>_xlfn.XLOOKUP(C531,'2024'!C:C,'2024'!B:B,"")</f>
        <v>45393.777083333</v>
      </c>
      <c r="I530" s="19">
        <f t="shared" si="32"/>
        <v>45391.789583332997</v>
      </c>
      <c r="J530" s="6">
        <f>_xlfn.XLOOKUP(C530,'2025'!C:C,'2025'!A:A,"")</f>
        <v>45755.739583333001</v>
      </c>
      <c r="K530" s="6">
        <f>_xlfn.XLOOKUP(C530,'2025'!C:C,'2025'!B:B,"")</f>
        <v>45755.739583333001</v>
      </c>
      <c r="L530" s="19">
        <f t="shared" si="33"/>
        <v>45755.739583333001</v>
      </c>
      <c r="M530" s="16" cm="1">
        <f t="array" ref="M530">IFERROR(_xlfn.LET(
_xlpm.x,TRIM(C530),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0" s="16" t="b">
        <f t="shared" si="34"/>
        <v>0</v>
      </c>
    </row>
    <row r="531" spans="1:14" x14ac:dyDescent="0.25">
      <c r="A531" s="5" t="s">
        <v>495</v>
      </c>
      <c r="B531" s="16">
        <v>140</v>
      </c>
      <c r="C531" s="16" t="str">
        <v>Lawry - LWRY A3 - A33</v>
      </c>
      <c r="D531" s="6" t="str">
        <f>_xlfn.XLOOKUP(C531,'2023'!C:C,'2023'!A:A,"")</f>
        <v/>
      </c>
      <c r="E531" s="6" t="str">
        <f>_xlfn.XLOOKUP(C531,'2023'!C:C,'2023'!B:B,"")</f>
        <v/>
      </c>
      <c r="F531" s="19" t="str">
        <f t="shared" si="35"/>
        <v/>
      </c>
      <c r="G531" s="6">
        <f>_xlfn.XLOOKUP(C531,'2024'!C:C,'2024'!A:A,"")</f>
        <v>45391.785416667</v>
      </c>
      <c r="H531" s="6">
        <f>_xlfn.XLOOKUP(C532,'2024'!C:C,'2024'!B:B,"")</f>
        <v>45391.722916667</v>
      </c>
      <c r="I531" s="19">
        <f t="shared" si="32"/>
        <v>45391.722916667</v>
      </c>
      <c r="J531" s="6">
        <f>_xlfn.XLOOKUP(C531,'2025'!C:C,'2025'!A:A,"")</f>
        <v>45755.802083333001</v>
      </c>
      <c r="K531" s="6">
        <f>_xlfn.XLOOKUP(C531,'2025'!C:C,'2025'!B:B,"")</f>
        <v>45755.739583333001</v>
      </c>
      <c r="L531" s="19">
        <f t="shared" si="33"/>
        <v>45755.739583333001</v>
      </c>
      <c r="M531" s="16" cm="1">
        <f t="array" ref="M531">IFERROR(_xlfn.LET(
_xlpm.x,TRIM(C531),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1" s="16" t="b">
        <f t="shared" si="34"/>
        <v>0</v>
      </c>
    </row>
    <row r="532" spans="1:14" x14ac:dyDescent="0.25">
      <c r="A532" s="5" t="s">
        <v>495</v>
      </c>
      <c r="B532" s="16">
        <v>140</v>
      </c>
      <c r="C532" s="16" t="str">
        <v>Lawry - LWRY A3 - A34</v>
      </c>
      <c r="D532" s="6" t="str">
        <f>_xlfn.XLOOKUP(C532,'2023'!C:C,'2023'!A:A,"")</f>
        <v/>
      </c>
      <c r="E532" s="6" t="str">
        <f>_xlfn.XLOOKUP(C532,'2023'!C:C,'2023'!B:B,"")</f>
        <v/>
      </c>
      <c r="F532" s="19" t="str">
        <f t="shared" si="35"/>
        <v/>
      </c>
      <c r="G532" s="6">
        <f>_xlfn.XLOOKUP(C532,'2024'!C:C,'2024'!A:A,"")</f>
        <v>45391.770833333001</v>
      </c>
      <c r="H532" s="6">
        <f>_xlfn.XLOOKUP(C533,'2024'!C:C,'2024'!B:B,"")</f>
        <v>45391.747916667002</v>
      </c>
      <c r="I532" s="19">
        <f t="shared" si="32"/>
        <v>45391.747916667002</v>
      </c>
      <c r="J532" s="6">
        <f>_xlfn.XLOOKUP(C532,'2025'!C:C,'2025'!A:A,"")</f>
        <v>45756.716666667002</v>
      </c>
      <c r="K532" s="6">
        <f>_xlfn.XLOOKUP(C532,'2025'!C:C,'2025'!B:B,"")</f>
        <v>45755.739583333001</v>
      </c>
      <c r="L532" s="19">
        <f t="shared" si="33"/>
        <v>45755.739583333001</v>
      </c>
      <c r="M532" s="16" cm="1">
        <f t="array" ref="M532">IFERROR(_xlfn.LET(
_xlpm.x,TRIM(C532),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2" s="16" t="b">
        <f t="shared" si="34"/>
        <v>0</v>
      </c>
    </row>
    <row r="533" spans="1:14" x14ac:dyDescent="0.25">
      <c r="A533" s="5" t="s">
        <v>495</v>
      </c>
      <c r="B533" s="16">
        <v>140</v>
      </c>
      <c r="C533" s="16" t="str">
        <v>Lawry - LWRY A3 - A35</v>
      </c>
      <c r="D533" s="6" t="str">
        <f>_xlfn.XLOOKUP(C533,'2023'!C:C,'2023'!A:A,"")</f>
        <v/>
      </c>
      <c r="E533" s="6" t="str">
        <f>_xlfn.XLOOKUP(C533,'2023'!C:C,'2023'!B:B,"")</f>
        <v/>
      </c>
      <c r="F533" s="19" t="str">
        <f t="shared" si="35"/>
        <v/>
      </c>
      <c r="G533" s="6">
        <f>_xlfn.XLOOKUP(C533,'2024'!C:C,'2024'!A:A,"")</f>
        <v>45391.745833333</v>
      </c>
      <c r="H533" s="6">
        <f>_xlfn.XLOOKUP(C534,'2024'!C:C,'2024'!B:B,"")</f>
        <v>45391.783333332998</v>
      </c>
      <c r="I533" s="19">
        <f t="shared" si="32"/>
        <v>45391.745833333</v>
      </c>
      <c r="J533" s="6">
        <f>_xlfn.XLOOKUP(C533,'2025'!C:C,'2025'!A:A,"")</f>
        <v>45755.793749999997</v>
      </c>
      <c r="K533" s="6">
        <f>_xlfn.XLOOKUP(C533,'2025'!C:C,'2025'!B:B,"")</f>
        <v>45755.739583333001</v>
      </c>
      <c r="L533" s="19">
        <f t="shared" si="33"/>
        <v>45755.739583333001</v>
      </c>
      <c r="M533" s="16" cm="1">
        <f t="array" ref="M533">IFERROR(_xlfn.LET(
_xlpm.x,TRIM(C533),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3" s="16" t="b">
        <f t="shared" si="34"/>
        <v>0</v>
      </c>
    </row>
    <row r="534" spans="1:14" x14ac:dyDescent="0.25">
      <c r="A534" s="5" t="s">
        <v>92</v>
      </c>
      <c r="B534" s="16">
        <v>140</v>
      </c>
      <c r="C534" s="16" t="str">
        <v>Lawry - LWRY A3 - A36</v>
      </c>
      <c r="D534" s="6" t="str">
        <f>_xlfn.XLOOKUP(C534,'2023'!C:C,'2023'!A:A,"")</f>
        <v/>
      </c>
      <c r="E534" s="6" t="str">
        <f>_xlfn.XLOOKUP(C534,'2023'!C:C,'2023'!B:B,"")</f>
        <v/>
      </c>
      <c r="F534" s="19" t="str">
        <f t="shared" si="35"/>
        <v/>
      </c>
      <c r="G534" s="6">
        <f>_xlfn.XLOOKUP(C534,'2024'!C:C,'2024'!A:A,"")</f>
        <v>45391.731249999997</v>
      </c>
      <c r="H534" s="6" t="str">
        <f>_xlfn.XLOOKUP(C535,'2024'!C:C,'2024'!B:B,"")</f>
        <v>No Selection Time Issued</v>
      </c>
      <c r="I534" s="19">
        <f t="shared" si="32"/>
        <v>45391.731249999997</v>
      </c>
      <c r="J534" s="6">
        <f>_xlfn.XLOOKUP(C534,'2025'!C:C,'2025'!A:A,"")</f>
        <v>45755.818749999999</v>
      </c>
      <c r="K534" s="6">
        <f>_xlfn.XLOOKUP(C534,'2025'!C:C,'2025'!B:B,"")</f>
        <v>45755.739583333001</v>
      </c>
      <c r="L534" s="19">
        <f t="shared" si="33"/>
        <v>45755.739583333001</v>
      </c>
      <c r="M534" s="16" cm="1">
        <f t="array" ref="M534">IFERROR(_xlfn.LET(
_xlpm.x,TRIM(C534),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4" s="16" t="b">
        <f t="shared" si="34"/>
        <v>0</v>
      </c>
    </row>
    <row r="535" spans="1:14" x14ac:dyDescent="0.25">
      <c r="A535" s="5" t="s">
        <v>92</v>
      </c>
      <c r="B535" s="16">
        <v>132</v>
      </c>
      <c r="C535" s="16" t="str">
        <v>Lawry - LWRY A3 - A37</v>
      </c>
      <c r="D535" s="6" t="str">
        <f>_xlfn.XLOOKUP(C535,'2023'!C:C,'2023'!A:A,"")</f>
        <v/>
      </c>
      <c r="E535" s="6" t="str">
        <f>_xlfn.XLOOKUP(C535,'2023'!C:C,'2023'!B:B,"")</f>
        <v/>
      </c>
      <c r="F535" s="19" t="str">
        <f t="shared" si="35"/>
        <v/>
      </c>
      <c r="G535" s="6">
        <f>_xlfn.XLOOKUP(C535,'2024'!C:C,'2024'!A:A,"")</f>
        <v>45393.783333332998</v>
      </c>
      <c r="H535" s="6">
        <f>_xlfn.XLOOKUP(C536,'2024'!C:C,'2024'!B:B,"")</f>
        <v>45391.85</v>
      </c>
      <c r="I535" s="19">
        <f t="shared" si="32"/>
        <v>45391.85</v>
      </c>
      <c r="J535" s="6">
        <f>_xlfn.XLOOKUP(C535,'2025'!C:C,'2025'!A:A,"")</f>
        <v>45755.895833333001</v>
      </c>
      <c r="K535" s="6">
        <f>_xlfn.XLOOKUP(C535,'2025'!C:C,'2025'!B:B,"")</f>
        <v>45755.739583333001</v>
      </c>
      <c r="L535" s="19">
        <f t="shared" si="33"/>
        <v>45755.739583333001</v>
      </c>
      <c r="M535" s="16" cm="1">
        <f t="array" ref="M535">IFERROR(_xlfn.LET(
_xlpm.x,TRIM(C535),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5" s="16" t="b">
        <f t="shared" si="34"/>
        <v>0</v>
      </c>
    </row>
    <row r="536" spans="1:14" x14ac:dyDescent="0.25">
      <c r="A536" s="5" t="s">
        <v>92</v>
      </c>
      <c r="B536" s="16">
        <v>132</v>
      </c>
      <c r="C536" s="16" t="str">
        <v>Lawry - LWRY A3 - A38</v>
      </c>
      <c r="D536" s="6" t="str">
        <f>_xlfn.XLOOKUP(C536,'2023'!C:C,'2023'!A:A,"")</f>
        <v/>
      </c>
      <c r="E536" s="6" t="str">
        <f>_xlfn.XLOOKUP(C536,'2023'!C:C,'2023'!B:B,"")</f>
        <v/>
      </c>
      <c r="F536" s="19" t="str">
        <f t="shared" si="35"/>
        <v/>
      </c>
      <c r="G536" s="6">
        <f>_xlfn.XLOOKUP(C536,'2024'!C:C,'2024'!A:A,"")</f>
        <v>45391.793749999997</v>
      </c>
      <c r="H536" s="6">
        <f>_xlfn.XLOOKUP(C537,'2024'!C:C,'2024'!B:B,"")</f>
        <v>45391.710416667003</v>
      </c>
      <c r="I536" s="19">
        <f t="shared" si="32"/>
        <v>45391.710416667003</v>
      </c>
      <c r="J536" s="6">
        <f>_xlfn.XLOOKUP(C536,'2025'!C:C,'2025'!A:A,"")</f>
        <v>45755.818749999999</v>
      </c>
      <c r="K536" s="6">
        <f>_xlfn.XLOOKUP(C536,'2025'!C:C,'2025'!B:B,"")</f>
        <v>45755.739583333001</v>
      </c>
      <c r="L536" s="19">
        <f t="shared" si="33"/>
        <v>45755.739583333001</v>
      </c>
      <c r="M536" s="16" cm="1">
        <f t="array" ref="M536">IFERROR(_xlfn.LET(
_xlpm.x,TRIM(C536),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6" s="16" t="b">
        <f t="shared" si="34"/>
        <v>0</v>
      </c>
    </row>
    <row r="537" spans="1:14" x14ac:dyDescent="0.25">
      <c r="A537" s="5" t="s">
        <v>255</v>
      </c>
      <c r="B537" s="16">
        <v>147</v>
      </c>
      <c r="C537" s="16" t="str">
        <v>Lawry - LWRY B2 - B21</v>
      </c>
      <c r="D537" s="6">
        <f>_xlfn.XLOOKUP(C537,'2023'!C:C,'2023'!A:A,"")</f>
        <v>45029.720833332998</v>
      </c>
      <c r="E537" s="6">
        <f>_xlfn.XLOOKUP(C537,'2023'!C:C,'2023'!B:B,"")</f>
        <v>45028.747916667002</v>
      </c>
      <c r="F537" s="19">
        <f t="shared" si="35"/>
        <v>45028.747916667002</v>
      </c>
      <c r="G537" s="6">
        <f>_xlfn.XLOOKUP(C537,'2024'!C:C,'2024'!A:A,"")</f>
        <v>45391.893750000003</v>
      </c>
      <c r="H537" s="6">
        <f>_xlfn.XLOOKUP(C538,'2024'!C:C,'2024'!B:B,"")</f>
        <v>45391.729166666999</v>
      </c>
      <c r="I537" s="19">
        <f t="shared" si="32"/>
        <v>45391.729166666999</v>
      </c>
      <c r="J537" s="6" t="str">
        <f>_xlfn.XLOOKUP(C537,'2025'!C:C,'2025'!A:A,"")</f>
        <v/>
      </c>
      <c r="K537" s="6" t="str">
        <f>_xlfn.XLOOKUP(C537,'2025'!C:C,'2025'!B:B,"")</f>
        <v/>
      </c>
      <c r="L537" s="19" t="str">
        <f t="shared" si="33"/>
        <v/>
      </c>
      <c r="M537" s="16" cm="1">
        <f t="array" ref="M537">IFERROR(_xlfn.LET(
_xlpm.x,TRIM(C537),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7" s="16" t="b">
        <f t="shared" si="34"/>
        <v>0</v>
      </c>
    </row>
    <row r="538" spans="1:14" x14ac:dyDescent="0.25">
      <c r="A538" s="5" t="s">
        <v>255</v>
      </c>
      <c r="B538" s="16">
        <v>147</v>
      </c>
      <c r="C538" s="16" t="str">
        <v>Lawry - LWRY B2 - B22</v>
      </c>
      <c r="D538" s="6">
        <f>_xlfn.XLOOKUP(C538,'2023'!C:C,'2023'!A:A,"")</f>
        <v>45027.733333333003</v>
      </c>
      <c r="E538" s="6">
        <f>_xlfn.XLOOKUP(C538,'2023'!C:C,'2023'!B:B,"")</f>
        <v>45027.775000000001</v>
      </c>
      <c r="F538" s="19">
        <f t="shared" si="35"/>
        <v>45027.733333333003</v>
      </c>
      <c r="G538" s="6">
        <f>_xlfn.XLOOKUP(C538,'2024'!C:C,'2024'!A:A,"")</f>
        <v>45392.862500000003</v>
      </c>
      <c r="H538" s="6">
        <f>_xlfn.XLOOKUP(C539,'2024'!C:C,'2024'!B:B,"")</f>
        <v>45391.735416666997</v>
      </c>
      <c r="I538" s="19">
        <f t="shared" si="32"/>
        <v>45391.735416666997</v>
      </c>
      <c r="J538" s="6" t="str">
        <f>_xlfn.XLOOKUP(C538,'2025'!C:C,'2025'!A:A,"")</f>
        <v/>
      </c>
      <c r="K538" s="6" t="str">
        <f>_xlfn.XLOOKUP(C538,'2025'!C:C,'2025'!B:B,"")</f>
        <v/>
      </c>
      <c r="L538" s="19" t="str">
        <f t="shared" si="33"/>
        <v/>
      </c>
      <c r="M538" s="16" cm="1">
        <f t="array" ref="M538">IFERROR(_xlfn.LET(
_xlpm.x,TRIM(C538),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8" s="16" t="b">
        <f t="shared" si="34"/>
        <v>0</v>
      </c>
    </row>
    <row r="539" spans="1:14" x14ac:dyDescent="0.25">
      <c r="A539" s="5" t="s">
        <v>255</v>
      </c>
      <c r="B539" s="16">
        <v>140</v>
      </c>
      <c r="C539" s="16" t="str">
        <v>Lawry - LWRY B2 - B23</v>
      </c>
      <c r="D539" s="6">
        <f>_xlfn.XLOOKUP(C539,'2023'!C:C,'2023'!A:A,"")</f>
        <v>45027.766666666997</v>
      </c>
      <c r="E539" s="6">
        <f>_xlfn.XLOOKUP(C539,'2023'!C:C,'2023'!B:B,"")</f>
        <v>45027.762499999997</v>
      </c>
      <c r="F539" s="19">
        <f t="shared" si="35"/>
        <v>45027.762499999997</v>
      </c>
      <c r="G539" s="6">
        <f>_xlfn.XLOOKUP(C539,'2024'!C:C,'2024'!A:A,"")</f>
        <v>45391.868750000001</v>
      </c>
      <c r="H539" s="6">
        <f>_xlfn.XLOOKUP(C540,'2024'!C:C,'2024'!B:B,"")</f>
        <v>45391.71875</v>
      </c>
      <c r="I539" s="19">
        <f t="shared" si="32"/>
        <v>45391.71875</v>
      </c>
      <c r="J539" s="6" t="str">
        <f>_xlfn.XLOOKUP(C539,'2025'!C:C,'2025'!A:A,"")</f>
        <v/>
      </c>
      <c r="K539" s="6" t="str">
        <f>_xlfn.XLOOKUP(C539,'2025'!C:C,'2025'!B:B,"")</f>
        <v/>
      </c>
      <c r="L539" s="19" t="str">
        <f t="shared" si="33"/>
        <v/>
      </c>
      <c r="M539" s="16" cm="1">
        <f t="array" ref="M539">IFERROR(_xlfn.LET(
_xlpm.x,TRIM(C539),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39" s="16" t="b">
        <f t="shared" si="34"/>
        <v>0</v>
      </c>
    </row>
    <row r="540" spans="1:14" x14ac:dyDescent="0.25">
      <c r="A540" s="5" t="s">
        <v>530</v>
      </c>
      <c r="B540" s="16">
        <v>140</v>
      </c>
      <c r="C540" s="16" t="str">
        <v>Lawry - LWRY B2 - B24</v>
      </c>
      <c r="D540" s="6">
        <f>_xlfn.XLOOKUP(C540,'2023'!C:C,'2023'!A:A,"")</f>
        <v>45027.814583332998</v>
      </c>
      <c r="E540" s="6">
        <f>_xlfn.XLOOKUP(C540,'2023'!C:C,'2023'!B:B,"")</f>
        <v>45029.747916667002</v>
      </c>
      <c r="F540" s="19">
        <f t="shared" si="35"/>
        <v>45027.814583332998</v>
      </c>
      <c r="G540" s="6">
        <f>_xlfn.XLOOKUP(C540,'2024'!C:C,'2024'!A:A,"")</f>
        <v>45392.814583332998</v>
      </c>
      <c r="H540" s="6">
        <f>_xlfn.XLOOKUP(C541,'2024'!C:C,'2024'!B:B,"")</f>
        <v>45392.714583333</v>
      </c>
      <c r="I540" s="19">
        <f t="shared" si="32"/>
        <v>45392.714583333</v>
      </c>
      <c r="J540" s="6" t="str">
        <f>_xlfn.XLOOKUP(C540,'2025'!C:C,'2025'!A:A,"")</f>
        <v/>
      </c>
      <c r="K540" s="6" t="str">
        <f>_xlfn.XLOOKUP(C540,'2025'!C:C,'2025'!B:B,"")</f>
        <v/>
      </c>
      <c r="L540" s="19" t="str">
        <f t="shared" si="33"/>
        <v/>
      </c>
      <c r="M540" s="16" cm="1">
        <f t="array" ref="M540">IFERROR(_xlfn.LET(
_xlpm.x,TRIM(C540),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0" s="16" t="b">
        <f t="shared" si="34"/>
        <v>0</v>
      </c>
    </row>
    <row r="541" spans="1:14" x14ac:dyDescent="0.25">
      <c r="A541" s="5" t="s">
        <v>530</v>
      </c>
      <c r="B541" s="16">
        <v>140</v>
      </c>
      <c r="C541" s="16" t="str">
        <v>Lawry - LWRY B2 - B25</v>
      </c>
      <c r="D541" s="6">
        <f>_xlfn.XLOOKUP(C541,'2023'!C:C,'2023'!A:A,"")</f>
        <v>45028.739583333001</v>
      </c>
      <c r="E541" s="6">
        <f>_xlfn.XLOOKUP(C541,'2023'!C:C,'2023'!B:B,"")</f>
        <v>45028.852083332997</v>
      </c>
      <c r="F541" s="19">
        <f t="shared" si="35"/>
        <v>45028.739583333001</v>
      </c>
      <c r="G541" s="6">
        <f>_xlfn.XLOOKUP(C541,'2024'!C:C,'2024'!A:A,"")</f>
        <v>45391.797916666997</v>
      </c>
      <c r="H541" s="6" t="str">
        <f>_xlfn.XLOOKUP(C542,'2024'!C:C,'2024'!B:B,"")</f>
        <v>No Selection Time Issued</v>
      </c>
      <c r="I541" s="19">
        <f t="shared" si="32"/>
        <v>45391.797916666997</v>
      </c>
      <c r="J541" s="6" t="str">
        <f>_xlfn.XLOOKUP(C541,'2025'!C:C,'2025'!A:A,"")</f>
        <v/>
      </c>
      <c r="K541" s="6" t="str">
        <f>_xlfn.XLOOKUP(C541,'2025'!C:C,'2025'!B:B,"")</f>
        <v/>
      </c>
      <c r="L541" s="19" t="str">
        <f t="shared" si="33"/>
        <v/>
      </c>
      <c r="M541" s="16" cm="1">
        <f t="array" ref="M541">IFERROR(_xlfn.LET(
_xlpm.x,TRIM(C541),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1" s="16" t="b">
        <f t="shared" si="34"/>
        <v>0</v>
      </c>
    </row>
    <row r="542" spans="1:14" x14ac:dyDescent="0.25">
      <c r="A542" s="5" t="s">
        <v>530</v>
      </c>
      <c r="B542" s="16">
        <v>140</v>
      </c>
      <c r="C542" s="16" t="str">
        <v>Lawry - LWRY B2 - B26</v>
      </c>
      <c r="D542" s="6">
        <f>_xlfn.XLOOKUP(C542,'2023'!C:C,'2023'!A:A,"")</f>
        <v>45029.802083333001</v>
      </c>
      <c r="E542" s="6">
        <f>_xlfn.XLOOKUP(C542,'2023'!C:C,'2023'!B:B,"")</f>
        <v>45027.710416667003</v>
      </c>
      <c r="F542" s="19">
        <f t="shared" si="35"/>
        <v>45027.710416667003</v>
      </c>
      <c r="G542" s="6">
        <f>_xlfn.XLOOKUP(C542,'2024'!C:C,'2024'!A:A,"")</f>
        <v>45393.8125</v>
      </c>
      <c r="H542" s="6">
        <f>_xlfn.XLOOKUP(C543,'2024'!C:C,'2024'!B:B,"")</f>
        <v>45391.712500000001</v>
      </c>
      <c r="I542" s="19">
        <f t="shared" si="32"/>
        <v>45391.712500000001</v>
      </c>
      <c r="J542" s="6" t="str">
        <f>_xlfn.XLOOKUP(C542,'2025'!C:C,'2025'!A:A,"")</f>
        <v/>
      </c>
      <c r="K542" s="6" t="str">
        <f>_xlfn.XLOOKUP(C542,'2025'!C:C,'2025'!B:B,"")</f>
        <v/>
      </c>
      <c r="L542" s="19" t="str">
        <f t="shared" si="33"/>
        <v/>
      </c>
      <c r="M542" s="16" cm="1">
        <f t="array" ref="M542">IFERROR(_xlfn.LET(
_xlpm.x,TRIM(C542),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2" s="16" t="b">
        <f t="shared" si="34"/>
        <v>0</v>
      </c>
    </row>
    <row r="543" spans="1:14" x14ac:dyDescent="0.25">
      <c r="A543" s="5" t="s">
        <v>207</v>
      </c>
      <c r="B543" s="16">
        <v>132</v>
      </c>
      <c r="C543" s="16" t="str">
        <v>Lawry - LWRY B2 - B27</v>
      </c>
      <c r="D543" s="6">
        <f>_xlfn.XLOOKUP(C543,'2023'!C:C,'2023'!A:A,"")</f>
        <v>45029.820833332997</v>
      </c>
      <c r="E543" s="6">
        <f>_xlfn.XLOOKUP(C543,'2023'!C:C,'2023'!B:B,"")</f>
        <v>45029.708333333001</v>
      </c>
      <c r="F543" s="19">
        <f t="shared" si="35"/>
        <v>45029.708333333001</v>
      </c>
      <c r="G543" s="6">
        <f>_xlfn.XLOOKUP(C543,'2024'!C:C,'2024'!A:A,"")</f>
        <v>45391.737500000003</v>
      </c>
      <c r="H543" s="6">
        <f>_xlfn.XLOOKUP(C544,'2024'!C:C,'2024'!B:B,"")</f>
        <v>45391.864583333001</v>
      </c>
      <c r="I543" s="19">
        <f t="shared" si="32"/>
        <v>45391.737500000003</v>
      </c>
      <c r="J543" s="6" t="str">
        <f>_xlfn.XLOOKUP(C543,'2025'!C:C,'2025'!A:A,"")</f>
        <v/>
      </c>
      <c r="K543" s="6" t="str">
        <f>_xlfn.XLOOKUP(C543,'2025'!C:C,'2025'!B:B,"")</f>
        <v/>
      </c>
      <c r="L543" s="19" t="str">
        <f t="shared" si="33"/>
        <v/>
      </c>
      <c r="M543" s="16" cm="1">
        <f t="array" ref="M543">IFERROR(_xlfn.LET(
_xlpm.x,TRIM(C543),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3" s="16" t="b">
        <f t="shared" si="34"/>
        <v>0</v>
      </c>
    </row>
    <row r="544" spans="1:14" x14ac:dyDescent="0.25">
      <c r="A544" s="5" t="s">
        <v>207</v>
      </c>
      <c r="B544" s="16">
        <v>132</v>
      </c>
      <c r="C544" s="16" t="str">
        <v>Lawry - LWRY B2 - B28</v>
      </c>
      <c r="D544" s="6">
        <f>_xlfn.XLOOKUP(C544,'2023'!C:C,'2023'!A:A,"")</f>
        <v>45027.887499999997</v>
      </c>
      <c r="E544" s="6">
        <f>_xlfn.XLOOKUP(C544,'2023'!C:C,'2023'!B:B,"")</f>
        <v>45027.841666667002</v>
      </c>
      <c r="F544" s="19">
        <f t="shared" si="35"/>
        <v>45027.841666667002</v>
      </c>
      <c r="G544" s="6">
        <f>_xlfn.XLOOKUP(C544,'2024'!C:C,'2024'!A:A,"")</f>
        <v>45392.802083333001</v>
      </c>
      <c r="H544" s="6" t="str">
        <f>_xlfn.XLOOKUP(C545,'2024'!C:C,'2024'!B:B,"")</f>
        <v/>
      </c>
      <c r="I544" s="19">
        <f t="shared" si="32"/>
        <v>45392.802083333001</v>
      </c>
      <c r="J544" s="6" t="str">
        <f>_xlfn.XLOOKUP(C544,'2025'!C:C,'2025'!A:A,"")</f>
        <v/>
      </c>
      <c r="K544" s="6" t="str">
        <f>_xlfn.XLOOKUP(C544,'2025'!C:C,'2025'!B:B,"")</f>
        <v/>
      </c>
      <c r="L544" s="19" t="str">
        <f t="shared" si="33"/>
        <v/>
      </c>
      <c r="M544" s="16" cm="1">
        <f t="array" ref="M544">IFERROR(_xlfn.LET(
_xlpm.x,TRIM(C544),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4" s="16" t="b">
        <f t="shared" si="34"/>
        <v>0</v>
      </c>
    </row>
    <row r="545" spans="1:14" x14ac:dyDescent="0.25">
      <c r="A545" s="5" t="s">
        <v>207</v>
      </c>
      <c r="B545" s="16">
        <v>147</v>
      </c>
      <c r="C545" s="16" t="str">
        <v>Lawry - LWRY B3 - B31</v>
      </c>
      <c r="D545" s="6">
        <f>_xlfn.XLOOKUP(C545,'2023'!C:C,'2023'!A:A,"")</f>
        <v>45027.727083332997</v>
      </c>
      <c r="E545" s="6">
        <f>_xlfn.XLOOKUP(C545,'2023'!C:C,'2023'!B:B,"")</f>
        <v>45029.731249999997</v>
      </c>
      <c r="F545" s="19">
        <f t="shared" si="35"/>
        <v>45027.727083332997</v>
      </c>
      <c r="G545" s="6" t="str">
        <f>_xlfn.XLOOKUP(C545,'2024'!C:C,'2024'!A:A,"")</f>
        <v/>
      </c>
      <c r="H545" s="6" t="str">
        <f>_xlfn.XLOOKUP(C546,'2024'!C:C,'2024'!B:B,"")</f>
        <v/>
      </c>
      <c r="I545" s="19" t="str">
        <f t="shared" si="32"/>
        <v/>
      </c>
      <c r="J545" s="6" t="str">
        <f>_xlfn.XLOOKUP(C545,'2025'!C:C,'2025'!A:A,"")</f>
        <v/>
      </c>
      <c r="K545" s="6" t="str">
        <f>_xlfn.XLOOKUP(C545,'2025'!C:C,'2025'!B:B,"")</f>
        <v/>
      </c>
      <c r="L545" s="19" t="str">
        <f t="shared" si="33"/>
        <v/>
      </c>
      <c r="M545" s="16" cm="1">
        <f t="array" ref="M545">IFERROR(_xlfn.LET(
_xlpm.x,TRIM(C545),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5" s="16" t="b">
        <f t="shared" si="34"/>
        <v>0</v>
      </c>
    </row>
    <row r="546" spans="1:14" x14ac:dyDescent="0.25">
      <c r="A546" s="5" t="s">
        <v>462</v>
      </c>
      <c r="B546" s="16">
        <v>147</v>
      </c>
      <c r="C546" s="16" t="str">
        <v>Lawry - LWRY B3 - B32</v>
      </c>
      <c r="D546" s="6">
        <f>_xlfn.XLOOKUP(C546,'2023'!C:C,'2023'!A:A,"")</f>
        <v>45028.777083333</v>
      </c>
      <c r="E546" s="6">
        <f>_xlfn.XLOOKUP(C546,'2023'!C:C,'2023'!B:B,"")</f>
        <v>45027.716666667002</v>
      </c>
      <c r="F546" s="19">
        <f t="shared" si="35"/>
        <v>45027.716666667002</v>
      </c>
      <c r="G546" s="6" t="str">
        <f>_xlfn.XLOOKUP(C546,'2024'!C:C,'2024'!A:A,"")</f>
        <v/>
      </c>
      <c r="H546" s="6" t="str">
        <f>_xlfn.XLOOKUP(C547,'2024'!C:C,'2024'!B:B,"")</f>
        <v/>
      </c>
      <c r="I546" s="19" t="str">
        <f t="shared" si="32"/>
        <v/>
      </c>
      <c r="J546" s="6" t="str">
        <f>_xlfn.XLOOKUP(C546,'2025'!C:C,'2025'!A:A,"")</f>
        <v/>
      </c>
      <c r="K546" s="6" t="str">
        <f>_xlfn.XLOOKUP(C546,'2025'!C:C,'2025'!B:B,"")</f>
        <v/>
      </c>
      <c r="L546" s="19" t="str">
        <f t="shared" si="33"/>
        <v/>
      </c>
      <c r="M546" s="16" cm="1">
        <f t="array" ref="M546">IFERROR(_xlfn.LET(
_xlpm.x,TRIM(C546),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6" s="16" t="b">
        <f t="shared" si="34"/>
        <v>0</v>
      </c>
    </row>
    <row r="547" spans="1:14" x14ac:dyDescent="0.25">
      <c r="A547" s="5" t="s">
        <v>462</v>
      </c>
      <c r="B547" s="16">
        <v>140</v>
      </c>
      <c r="C547" s="16" t="str">
        <v>Lawry - LWRY B3 - B33</v>
      </c>
      <c r="D547" s="6">
        <f>_xlfn.XLOOKUP(C547,'2023'!C:C,'2023'!A:A,"")</f>
        <v>45028.741666667003</v>
      </c>
      <c r="E547" s="6">
        <f>_xlfn.XLOOKUP(C547,'2023'!C:C,'2023'!B:B,"")</f>
        <v>45027.729166666999</v>
      </c>
      <c r="F547" s="19">
        <f t="shared" si="35"/>
        <v>45027.729166666999</v>
      </c>
      <c r="G547" s="6" t="str">
        <f>_xlfn.XLOOKUP(C547,'2024'!C:C,'2024'!A:A,"")</f>
        <v/>
      </c>
      <c r="H547" s="6" t="str">
        <f>_xlfn.XLOOKUP(C548,'2024'!C:C,'2024'!B:B,"")</f>
        <v/>
      </c>
      <c r="I547" s="19" t="str">
        <f t="shared" si="32"/>
        <v/>
      </c>
      <c r="J547" s="6" t="str">
        <f>_xlfn.XLOOKUP(C547,'2025'!C:C,'2025'!A:A,"")</f>
        <v/>
      </c>
      <c r="K547" s="6" t="str">
        <f>_xlfn.XLOOKUP(C547,'2025'!C:C,'2025'!B:B,"")</f>
        <v/>
      </c>
      <c r="L547" s="19" t="str">
        <f t="shared" si="33"/>
        <v/>
      </c>
      <c r="M547" s="16" cm="1">
        <f t="array" ref="M547">IFERROR(_xlfn.LET(
_xlpm.x,TRIM(C547),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7" s="16" t="b">
        <f t="shared" si="34"/>
        <v>0</v>
      </c>
    </row>
    <row r="548" spans="1:14" x14ac:dyDescent="0.25">
      <c r="A548" s="5" t="s">
        <v>195</v>
      </c>
      <c r="B548" s="16">
        <v>140</v>
      </c>
      <c r="C548" s="16" t="str">
        <v>Lawry - LWRY B3 - B34</v>
      </c>
      <c r="D548" s="6">
        <f>_xlfn.XLOOKUP(C548,'2023'!C:C,'2023'!A:A,"")</f>
        <v>45028.71875</v>
      </c>
      <c r="E548" s="6">
        <f>_xlfn.XLOOKUP(C548,'2023'!C:C,'2023'!B:B,"")</f>
        <v>45028.768750000003</v>
      </c>
      <c r="F548" s="19">
        <f t="shared" si="35"/>
        <v>45028.71875</v>
      </c>
      <c r="G548" s="6" t="str">
        <f>_xlfn.XLOOKUP(C548,'2024'!C:C,'2024'!A:A,"")</f>
        <v/>
      </c>
      <c r="H548" s="6" t="str">
        <f>_xlfn.XLOOKUP(C549,'2024'!C:C,'2024'!B:B,"")</f>
        <v/>
      </c>
      <c r="I548" s="19" t="str">
        <f t="shared" si="32"/>
        <v/>
      </c>
      <c r="J548" s="6" t="str">
        <f>_xlfn.XLOOKUP(C548,'2025'!C:C,'2025'!A:A,"")</f>
        <v/>
      </c>
      <c r="K548" s="6" t="str">
        <f>_xlfn.XLOOKUP(C548,'2025'!C:C,'2025'!B:B,"")</f>
        <v/>
      </c>
      <c r="L548" s="19" t="str">
        <f t="shared" si="33"/>
        <v/>
      </c>
      <c r="M548" s="16" cm="1">
        <f t="array" ref="M548">IFERROR(_xlfn.LET(
_xlpm.x,TRIM(C548),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8" s="16" t="b">
        <f t="shared" si="34"/>
        <v>0</v>
      </c>
    </row>
    <row r="549" spans="1:14" x14ac:dyDescent="0.25">
      <c r="A549" s="5" t="s">
        <v>195</v>
      </c>
      <c r="B549" s="16">
        <v>140</v>
      </c>
      <c r="C549" s="16" t="str">
        <v>Lawry - LWRY B3 - B35</v>
      </c>
      <c r="D549" s="6">
        <f>_xlfn.XLOOKUP(C549,'2023'!C:C,'2023'!A:A,"")</f>
        <v>45028.820833332997</v>
      </c>
      <c r="E549" s="6">
        <f>_xlfn.XLOOKUP(C549,'2023'!C:C,'2023'!B:B,"")</f>
        <v>45028.71875</v>
      </c>
      <c r="F549" s="19">
        <f t="shared" si="35"/>
        <v>45028.71875</v>
      </c>
      <c r="G549" s="6" t="str">
        <f>_xlfn.XLOOKUP(C549,'2024'!C:C,'2024'!A:A,"")</f>
        <v/>
      </c>
      <c r="H549" s="6" t="str">
        <f>_xlfn.XLOOKUP(C550,'2024'!C:C,'2024'!B:B,"")</f>
        <v/>
      </c>
      <c r="I549" s="19" t="str">
        <f t="shared" si="32"/>
        <v/>
      </c>
      <c r="J549" s="6" t="str">
        <f>_xlfn.XLOOKUP(C549,'2025'!C:C,'2025'!A:A,"")</f>
        <v/>
      </c>
      <c r="K549" s="6" t="str">
        <f>_xlfn.XLOOKUP(C549,'2025'!C:C,'2025'!B:B,"")</f>
        <v/>
      </c>
      <c r="L549" s="19" t="str">
        <f t="shared" si="33"/>
        <v/>
      </c>
      <c r="M549" s="16" cm="1">
        <f t="array" ref="M549">IFERROR(_xlfn.LET(
_xlpm.x,TRIM(C549),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49" s="16" t="b">
        <f t="shared" si="34"/>
        <v>0</v>
      </c>
    </row>
    <row r="550" spans="1:14" x14ac:dyDescent="0.25">
      <c r="A550" s="5" t="s">
        <v>195</v>
      </c>
      <c r="B550" s="16">
        <v>140</v>
      </c>
      <c r="C550" s="16" t="str">
        <v>Lawry - LWRY B3 - B36</v>
      </c>
      <c r="D550" s="6">
        <f>_xlfn.XLOOKUP(C550,'2023'!C:C,'2023'!A:A,"")</f>
        <v>45029.845833332998</v>
      </c>
      <c r="E550" s="6" t="str">
        <f>_xlfn.XLOOKUP(C550,'2023'!C:C,'2023'!B:B,"")</f>
        <v>No Selection Time Issued</v>
      </c>
      <c r="F550" s="19">
        <f t="shared" si="35"/>
        <v>45029.845833332998</v>
      </c>
      <c r="G550" s="6" t="str">
        <f>_xlfn.XLOOKUP(C550,'2024'!C:C,'2024'!A:A,"")</f>
        <v/>
      </c>
      <c r="H550" s="6" t="str">
        <f>_xlfn.XLOOKUP(C551,'2024'!C:C,'2024'!B:B,"")</f>
        <v/>
      </c>
      <c r="I550" s="19" t="str">
        <f t="shared" si="32"/>
        <v/>
      </c>
      <c r="J550" s="6" t="str">
        <f>_xlfn.XLOOKUP(C550,'2025'!C:C,'2025'!A:A,"")</f>
        <v/>
      </c>
      <c r="K550" s="6" t="str">
        <f>_xlfn.XLOOKUP(C550,'2025'!C:C,'2025'!B:B,"")</f>
        <v/>
      </c>
      <c r="L550" s="19" t="str">
        <f t="shared" si="33"/>
        <v/>
      </c>
      <c r="M550" s="16" cm="1">
        <f t="array" ref="M550">IFERROR(_xlfn.LET(
_xlpm.x,TRIM(C550),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0" s="16" t="b">
        <f t="shared" si="34"/>
        <v>0</v>
      </c>
    </row>
    <row r="551" spans="1:14" x14ac:dyDescent="0.25">
      <c r="A551" s="5" t="s">
        <v>472</v>
      </c>
      <c r="B551" s="16">
        <v>132</v>
      </c>
      <c r="C551" s="16" t="str">
        <v>Lawry - LWRY B3 - B37</v>
      </c>
      <c r="D551" s="6">
        <f>_xlfn.XLOOKUP(C551,'2023'!C:C,'2023'!A:A,"")</f>
        <v>45028.766666666997</v>
      </c>
      <c r="E551" s="6">
        <f>_xlfn.XLOOKUP(C551,'2023'!C:C,'2023'!B:B,"")</f>
        <v>45027.714583333</v>
      </c>
      <c r="F551" s="19">
        <f t="shared" si="35"/>
        <v>45027.714583333</v>
      </c>
      <c r="G551" s="6" t="str">
        <f>_xlfn.XLOOKUP(C551,'2024'!C:C,'2024'!A:A,"")</f>
        <v/>
      </c>
      <c r="H551" s="6" t="str">
        <f>_xlfn.XLOOKUP(C552,'2024'!C:C,'2024'!B:B,"")</f>
        <v/>
      </c>
      <c r="I551" s="19" t="str">
        <f t="shared" si="32"/>
        <v/>
      </c>
      <c r="J551" s="6" t="str">
        <f>_xlfn.XLOOKUP(C551,'2025'!C:C,'2025'!A:A,"")</f>
        <v/>
      </c>
      <c r="K551" s="6" t="str">
        <f>_xlfn.XLOOKUP(C551,'2025'!C:C,'2025'!B:B,"")</f>
        <v/>
      </c>
      <c r="L551" s="19" t="str">
        <f t="shared" si="33"/>
        <v/>
      </c>
      <c r="M551" s="16" cm="1">
        <f t="array" ref="M551">IFERROR(_xlfn.LET(
_xlpm.x,TRIM(C551),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1" s="16" t="b">
        <f t="shared" si="34"/>
        <v>0</v>
      </c>
    </row>
    <row r="552" spans="1:14" x14ac:dyDescent="0.25">
      <c r="A552" s="5" t="s">
        <v>472</v>
      </c>
      <c r="B552" s="16">
        <v>132</v>
      </c>
      <c r="C552" s="16" t="str">
        <v>Lawry - LWRY B3 - B38</v>
      </c>
      <c r="D552" s="6">
        <f>_xlfn.XLOOKUP(C552,'2023'!C:C,'2023'!A:A,"")</f>
        <v>45028.841666667002</v>
      </c>
      <c r="E552" s="6">
        <f>_xlfn.XLOOKUP(C552,'2023'!C:C,'2023'!B:B,"")</f>
        <v>45029.710416667003</v>
      </c>
      <c r="F552" s="19">
        <f t="shared" si="35"/>
        <v>45028.841666667002</v>
      </c>
      <c r="G552" s="6" t="str">
        <f>_xlfn.XLOOKUP(C552,'2024'!C:C,'2024'!A:A,"")</f>
        <v/>
      </c>
      <c r="H552" s="6">
        <f>_xlfn.XLOOKUP(C553,'2024'!C:C,'2024'!B:B,"")</f>
        <v>45392.747916667002</v>
      </c>
      <c r="I552" s="19">
        <f t="shared" si="32"/>
        <v>45392.747916667002</v>
      </c>
      <c r="J552" s="6" t="str">
        <f>_xlfn.XLOOKUP(C552,'2025'!C:C,'2025'!A:A,"")</f>
        <v/>
      </c>
      <c r="K552" s="6" t="str">
        <f>_xlfn.XLOOKUP(C552,'2025'!C:C,'2025'!B:B,"")</f>
        <v/>
      </c>
      <c r="L552" s="19" t="str">
        <f t="shared" si="33"/>
        <v/>
      </c>
      <c r="M552" s="16" cm="1">
        <f t="array" ref="M552">IFERROR(_xlfn.LET(
_xlpm.x,TRIM(C552),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2" s="16" t="b">
        <f t="shared" si="34"/>
        <v>0</v>
      </c>
    </row>
    <row r="553" spans="1:14" x14ac:dyDescent="0.25">
      <c r="A553" s="5" t="s">
        <v>472</v>
      </c>
      <c r="B553" s="16">
        <v>147</v>
      </c>
      <c r="C553" s="16" t="str">
        <v>Lawry - LWRY C1 - C11</v>
      </c>
      <c r="D553" s="6">
        <f>_xlfn.XLOOKUP(C553,'2023'!C:C,'2023'!A:A,"")</f>
        <v>45028.822916666999</v>
      </c>
      <c r="E553" s="6" t="str">
        <f>_xlfn.XLOOKUP(C553,'2023'!C:C,'2023'!B:B,"")</f>
        <v>No Selection Time Issued</v>
      </c>
      <c r="F553" s="19">
        <f t="shared" si="35"/>
        <v>45028.822916666999</v>
      </c>
      <c r="G553" s="6">
        <f>_xlfn.XLOOKUP(C553,'2024'!C:C,'2024'!A:A,"")</f>
        <v>45392.845833332998</v>
      </c>
      <c r="H553" s="6">
        <f>_xlfn.XLOOKUP(C554,'2024'!C:C,'2024'!B:B,"")</f>
        <v>45391.735416666997</v>
      </c>
      <c r="I553" s="19">
        <f t="shared" si="32"/>
        <v>45391.735416666997</v>
      </c>
      <c r="J553" s="6">
        <f>_xlfn.XLOOKUP(C553,'2025'!C:C,'2025'!A:A,"")</f>
        <v>45757.78125</v>
      </c>
      <c r="K553" s="6">
        <f>_xlfn.XLOOKUP(C553,'2025'!C:C,'2025'!B:B,"")</f>
        <v>45755.735416666997</v>
      </c>
      <c r="L553" s="19">
        <f t="shared" si="33"/>
        <v>45755.735416666997</v>
      </c>
      <c r="M553" s="16" cm="1">
        <f t="array" ref="M553">IFERROR(_xlfn.LET(
_xlpm.x,TRIM(C553),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3" s="16" t="b">
        <f t="shared" si="34"/>
        <v>0</v>
      </c>
    </row>
    <row r="554" spans="1:14" x14ac:dyDescent="0.25">
      <c r="A554" s="5" t="s">
        <v>346</v>
      </c>
      <c r="B554" s="16">
        <v>147</v>
      </c>
      <c r="C554" s="16" t="str">
        <v>Lawry - LWRY C1 - C12</v>
      </c>
      <c r="D554" s="6">
        <f>_xlfn.XLOOKUP(C554,'2023'!C:C,'2023'!A:A,"")</f>
        <v>45028.824999999997</v>
      </c>
      <c r="E554" s="6">
        <f>_xlfn.XLOOKUP(C554,'2023'!C:C,'2023'!B:B,"")</f>
        <v>45029.75</v>
      </c>
      <c r="F554" s="19">
        <f t="shared" si="35"/>
        <v>45028.824999999997</v>
      </c>
      <c r="G554" s="6">
        <f>_xlfn.XLOOKUP(C554,'2024'!C:C,'2024'!A:A,"")</f>
        <v>45391.8125</v>
      </c>
      <c r="H554" s="6" t="str">
        <f>_xlfn.XLOOKUP(C555,'2024'!C:C,'2024'!B:B,"")</f>
        <v>No Selection Time Issued</v>
      </c>
      <c r="I554" s="19">
        <f t="shared" si="32"/>
        <v>45391.8125</v>
      </c>
      <c r="J554" s="6">
        <f>_xlfn.XLOOKUP(C554,'2025'!C:C,'2025'!A:A,"")</f>
        <v>45755.735416666997</v>
      </c>
      <c r="K554" s="6">
        <f>_xlfn.XLOOKUP(C554,'2025'!C:C,'2025'!B:B,"")</f>
        <v>45755.735416666997</v>
      </c>
      <c r="L554" s="19">
        <f t="shared" si="33"/>
        <v>45755.735416666997</v>
      </c>
      <c r="M554" s="16" cm="1">
        <f t="array" ref="M554">IFERROR(_xlfn.LET(
_xlpm.x,TRIM(C554),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4" s="16" t="b">
        <f t="shared" si="34"/>
        <v>0</v>
      </c>
    </row>
    <row r="555" spans="1:14" x14ac:dyDescent="0.25">
      <c r="A555" s="5" t="s">
        <v>346</v>
      </c>
      <c r="B555" s="16">
        <v>140</v>
      </c>
      <c r="C555" s="16" t="str">
        <v>Lawry - LWRY C1 - C13</v>
      </c>
      <c r="D555" s="6">
        <f>_xlfn.XLOOKUP(C555,'2023'!C:C,'2023'!A:A,"")</f>
        <v>45027.739583333001</v>
      </c>
      <c r="E555" s="6">
        <f>_xlfn.XLOOKUP(C555,'2023'!C:C,'2023'!B:B,"")</f>
        <v>45028.85</v>
      </c>
      <c r="F555" s="19">
        <f t="shared" si="35"/>
        <v>45027.739583333001</v>
      </c>
      <c r="G555" s="6">
        <f>_xlfn.XLOOKUP(C555,'2024'!C:C,'2024'!A:A,"")</f>
        <v>45393.8</v>
      </c>
      <c r="H555" s="6">
        <f>_xlfn.XLOOKUP(C556,'2024'!C:C,'2024'!B:B,"")</f>
        <v>45391.820833332997</v>
      </c>
      <c r="I555" s="19">
        <f t="shared" si="32"/>
        <v>45391.820833332997</v>
      </c>
      <c r="J555" s="6">
        <f>_xlfn.XLOOKUP(C555,'2025'!C:C,'2025'!A:A,"")</f>
        <v>45756.84375</v>
      </c>
      <c r="K555" s="6">
        <f>_xlfn.XLOOKUP(C555,'2025'!C:C,'2025'!B:B,"")</f>
        <v>45755.735416666997</v>
      </c>
      <c r="L555" s="19">
        <f t="shared" si="33"/>
        <v>45755.735416666997</v>
      </c>
      <c r="M555" s="16" cm="1">
        <f t="array" ref="M555">IFERROR(_xlfn.LET(
_xlpm.x,TRIM(C555),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5" s="16" t="b">
        <f t="shared" si="34"/>
        <v>0</v>
      </c>
    </row>
    <row r="556" spans="1:14" x14ac:dyDescent="0.25">
      <c r="A556" s="5" t="s">
        <v>620</v>
      </c>
      <c r="B556" s="16">
        <v>140</v>
      </c>
      <c r="C556" s="16" t="str">
        <v>Lawry - LWRY C1 - C14</v>
      </c>
      <c r="D556" s="6">
        <f>_xlfn.XLOOKUP(C556,'2023'!C:C,'2023'!A:A,"")</f>
        <v>45028.762499999997</v>
      </c>
      <c r="E556" s="6">
        <f>_xlfn.XLOOKUP(C556,'2023'!C:C,'2023'!B:B,"")</f>
        <v>45029.712500000001</v>
      </c>
      <c r="F556" s="19">
        <f t="shared" si="35"/>
        <v>45028.762499999997</v>
      </c>
      <c r="G556" s="6">
        <f>_xlfn.XLOOKUP(C556,'2024'!C:C,'2024'!A:A,"")</f>
        <v>45391.777083333</v>
      </c>
      <c r="H556" s="6" t="str">
        <f>_xlfn.XLOOKUP(C557,'2024'!C:C,'2024'!B:B,"")</f>
        <v>No Selection Time Issued</v>
      </c>
      <c r="I556" s="19">
        <f t="shared" si="32"/>
        <v>45391.777083333</v>
      </c>
      <c r="J556" s="6">
        <f>_xlfn.XLOOKUP(C556,'2025'!C:C,'2025'!A:A,"")</f>
        <v>45756.766666666997</v>
      </c>
      <c r="K556" s="6">
        <f>_xlfn.XLOOKUP(C556,'2025'!C:C,'2025'!B:B,"")</f>
        <v>45755.735416666997</v>
      </c>
      <c r="L556" s="19">
        <f t="shared" si="33"/>
        <v>45755.735416666997</v>
      </c>
      <c r="M556" s="16" cm="1">
        <f t="array" ref="M556">IFERROR(_xlfn.LET(
_xlpm.x,TRIM(C556),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6" s="16" t="b">
        <f t="shared" si="34"/>
        <v>0</v>
      </c>
    </row>
    <row r="557" spans="1:14" x14ac:dyDescent="0.25">
      <c r="A557" s="5" t="s">
        <v>620</v>
      </c>
      <c r="B557" s="16">
        <v>140</v>
      </c>
      <c r="C557" s="16" t="str">
        <v>Lawry - LWRY C1 - C15</v>
      </c>
      <c r="D557" s="6">
        <f>_xlfn.XLOOKUP(C557,'2023'!C:C,'2023'!A:A,"")</f>
        <v>45027.818749999999</v>
      </c>
      <c r="E557" s="6">
        <f>_xlfn.XLOOKUP(C557,'2023'!C:C,'2023'!B:B,"")</f>
        <v>45027.712500000001</v>
      </c>
      <c r="F557" s="19">
        <f t="shared" si="35"/>
        <v>45027.712500000001</v>
      </c>
      <c r="G557" s="6">
        <f>_xlfn.XLOOKUP(C557,'2024'!C:C,'2024'!A:A,"")</f>
        <v>45393.741666667003</v>
      </c>
      <c r="H557" s="6">
        <f>_xlfn.XLOOKUP(C558,'2024'!C:C,'2024'!B:B,"")</f>
        <v>45391.710416667003</v>
      </c>
      <c r="I557" s="19">
        <f t="shared" si="32"/>
        <v>45391.710416667003</v>
      </c>
      <c r="J557" s="6">
        <f>_xlfn.XLOOKUP(C557,'2025'!C:C,'2025'!A:A,"")</f>
        <v>45757.818749999999</v>
      </c>
      <c r="K557" s="6">
        <f>_xlfn.XLOOKUP(C557,'2025'!C:C,'2025'!B:B,"")</f>
        <v>45755.735416666997</v>
      </c>
      <c r="L557" s="19">
        <f t="shared" si="33"/>
        <v>45755.735416666997</v>
      </c>
      <c r="M557" s="16" cm="1">
        <f t="array" ref="M557">IFERROR(_xlfn.LET(
_xlpm.x,TRIM(C557),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7" s="16" t="b">
        <f t="shared" si="34"/>
        <v>0</v>
      </c>
    </row>
    <row r="558" spans="1:14" x14ac:dyDescent="0.25">
      <c r="A558" s="5" t="s">
        <v>620</v>
      </c>
      <c r="B558" s="16">
        <v>140</v>
      </c>
      <c r="C558" s="16" t="str">
        <v>Lawry - LWRY C1 - C16</v>
      </c>
      <c r="D558" s="6">
        <f>_xlfn.XLOOKUP(C558,'2023'!C:C,'2023'!A:A,"")</f>
        <v>45028.78125</v>
      </c>
      <c r="E558" s="6">
        <f>_xlfn.XLOOKUP(C558,'2023'!C:C,'2023'!B:B,"")</f>
        <v>45027.8125</v>
      </c>
      <c r="F558" s="19">
        <f t="shared" si="35"/>
        <v>45027.8125</v>
      </c>
      <c r="G558" s="6">
        <f>_xlfn.XLOOKUP(C558,'2024'!C:C,'2024'!A:A,"")</f>
        <v>45392.739583333001</v>
      </c>
      <c r="H558" s="6" t="str">
        <f>_xlfn.XLOOKUP(C559,'2024'!C:C,'2024'!B:B,"")</f>
        <v>No Selection Time Issued</v>
      </c>
      <c r="I558" s="19">
        <f t="shared" si="32"/>
        <v>45392.739583333001</v>
      </c>
      <c r="J558" s="6">
        <f>_xlfn.XLOOKUP(C558,'2025'!C:C,'2025'!A:A,"")</f>
        <v>45756.735416666997</v>
      </c>
      <c r="K558" s="6">
        <f>_xlfn.XLOOKUP(C558,'2025'!C:C,'2025'!B:B,"")</f>
        <v>45755.735416666997</v>
      </c>
      <c r="L558" s="19">
        <f t="shared" si="33"/>
        <v>45755.735416666997</v>
      </c>
      <c r="M558" s="16" cm="1">
        <f t="array" ref="M558">IFERROR(_xlfn.LET(
_xlpm.x,TRIM(C558),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8" s="16" t="b">
        <f t="shared" si="34"/>
        <v>0</v>
      </c>
    </row>
    <row r="559" spans="1:14" x14ac:dyDescent="0.25">
      <c r="A559" s="5" t="s">
        <v>12</v>
      </c>
      <c r="B559" s="16">
        <v>132</v>
      </c>
      <c r="C559" s="16" t="str">
        <v>Lawry - LWRY C1 - C17</v>
      </c>
      <c r="D559" s="6">
        <f>_xlfn.XLOOKUP(C559,'2023'!C:C,'2023'!A:A,"")</f>
        <v>45028.797916666997</v>
      </c>
      <c r="E559" s="6">
        <f>_xlfn.XLOOKUP(C559,'2023'!C:C,'2023'!B:B,"")</f>
        <v>45027.731249999997</v>
      </c>
      <c r="F559" s="19">
        <f t="shared" si="35"/>
        <v>45027.731249999997</v>
      </c>
      <c r="G559" s="6">
        <f>_xlfn.XLOOKUP(C559,'2024'!C:C,'2024'!A:A,"")</f>
        <v>45392.841666667002</v>
      </c>
      <c r="H559" s="6">
        <f>_xlfn.XLOOKUP(C560,'2024'!C:C,'2024'!B:B,"")</f>
        <v>45391.747916667002</v>
      </c>
      <c r="I559" s="19">
        <f t="shared" si="32"/>
        <v>45391.747916667002</v>
      </c>
      <c r="J559" s="6">
        <f>_xlfn.XLOOKUP(C559,'2025'!C:C,'2025'!A:A,"")</f>
        <v>45756.727083332997</v>
      </c>
      <c r="K559" s="6">
        <f>_xlfn.XLOOKUP(C559,'2025'!C:C,'2025'!B:B,"")</f>
        <v>45755.735416666997</v>
      </c>
      <c r="L559" s="19">
        <f t="shared" si="33"/>
        <v>45755.735416666997</v>
      </c>
      <c r="M559" s="16" cm="1">
        <f t="array" ref="M559">IFERROR(_xlfn.LET(
_xlpm.x,TRIM(C559),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59" s="16" t="b">
        <f t="shared" si="34"/>
        <v>0</v>
      </c>
    </row>
    <row r="560" spans="1:14" x14ac:dyDescent="0.25">
      <c r="A560" s="5" t="s">
        <v>12</v>
      </c>
      <c r="B560" s="16">
        <v>132</v>
      </c>
      <c r="C560" s="16" t="str">
        <v>Lawry - LWRY C1 - C18</v>
      </c>
      <c r="D560" s="6">
        <f>_xlfn.XLOOKUP(C560,'2023'!C:C,'2023'!A:A,"")</f>
        <v>45028.712500000001</v>
      </c>
      <c r="E560" s="6">
        <f>_xlfn.XLOOKUP(C560,'2023'!C:C,'2023'!B:B,"")</f>
        <v>45028.735416666997</v>
      </c>
      <c r="F560" s="19">
        <f t="shared" si="35"/>
        <v>45028.712500000001</v>
      </c>
      <c r="G560" s="6">
        <f>_xlfn.XLOOKUP(C560,'2024'!C:C,'2024'!A:A,"")</f>
        <v>45391.733333333003</v>
      </c>
      <c r="H560" s="6" t="str">
        <f>_xlfn.XLOOKUP(C561,'2024'!C:C,'2024'!B:B,"")</f>
        <v>No Selection Time Issued</v>
      </c>
      <c r="I560" s="19">
        <f t="shared" si="32"/>
        <v>45391.733333333003</v>
      </c>
      <c r="J560" s="6">
        <f>_xlfn.XLOOKUP(C560,'2025'!C:C,'2025'!A:A,"")</f>
        <v>45756.779166667002</v>
      </c>
      <c r="K560" s="6">
        <f>_xlfn.XLOOKUP(C560,'2025'!C:C,'2025'!B:B,"")</f>
        <v>45755.735416666997</v>
      </c>
      <c r="L560" s="19">
        <f t="shared" si="33"/>
        <v>45755.735416666997</v>
      </c>
      <c r="M560" s="16" cm="1">
        <f t="array" ref="M560">IFERROR(_xlfn.LET(
_xlpm.x,TRIM(C560),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0" s="16" t="b">
        <f t="shared" si="34"/>
        <v>0</v>
      </c>
    </row>
    <row r="561" spans="1:14" x14ac:dyDescent="0.25">
      <c r="A561" s="5" t="s">
        <v>12</v>
      </c>
      <c r="B561" s="16">
        <v>147</v>
      </c>
      <c r="C561" s="16" t="str">
        <v>Lawry - LWRY C2 - C21</v>
      </c>
      <c r="D561" s="6">
        <f>_xlfn.XLOOKUP(C561,'2023'!C:C,'2023'!A:A,"")</f>
        <v>45027.802083333001</v>
      </c>
      <c r="E561" s="6">
        <f>_xlfn.XLOOKUP(C561,'2023'!C:C,'2023'!B:B,"")</f>
        <v>45027.716666667002</v>
      </c>
      <c r="F561" s="19">
        <f t="shared" si="35"/>
        <v>45027.716666667002</v>
      </c>
      <c r="G561" s="6">
        <f>_xlfn.XLOOKUP(C561,'2024'!C:C,'2024'!A:A,"")</f>
        <v>45392.760416666999</v>
      </c>
      <c r="H561" s="6">
        <f>_xlfn.XLOOKUP(C562,'2024'!C:C,'2024'!B:B,"")</f>
        <v>45392.800000000003</v>
      </c>
      <c r="I561" s="19">
        <f t="shared" si="32"/>
        <v>45392.760416666999</v>
      </c>
      <c r="J561" s="6">
        <f>_xlfn.XLOOKUP(C561,'2025'!C:C,'2025'!A:A,"")</f>
        <v>45755.741666667003</v>
      </c>
      <c r="K561" s="6">
        <f>_xlfn.XLOOKUP(C561,'2025'!C:C,'2025'!B:B,"")</f>
        <v>45755.741666667003</v>
      </c>
      <c r="L561" s="19">
        <f t="shared" si="33"/>
        <v>45755.741666667003</v>
      </c>
      <c r="M561" s="16" cm="1">
        <f t="array" ref="M561">IFERROR(_xlfn.LET(
_xlpm.x,TRIM(C561),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1" s="16" t="b">
        <f t="shared" si="34"/>
        <v>0</v>
      </c>
    </row>
    <row r="562" spans="1:14" x14ac:dyDescent="0.25">
      <c r="A562" s="5" t="s">
        <v>12</v>
      </c>
      <c r="B562" s="16">
        <v>147</v>
      </c>
      <c r="C562" s="16" t="str">
        <v>Lawry - LWRY C2 - C22</v>
      </c>
      <c r="D562" s="6">
        <f>_xlfn.XLOOKUP(C562,'2023'!C:C,'2023'!A:A,"")</f>
        <v>45027.793749999997</v>
      </c>
      <c r="E562" s="6" t="str">
        <f>_xlfn.XLOOKUP(C562,'2023'!C:C,'2023'!B:B,"")</f>
        <v>No Selection Time Issued</v>
      </c>
      <c r="F562" s="19">
        <f t="shared" si="35"/>
        <v>45027.793749999997</v>
      </c>
      <c r="G562" s="6">
        <f>_xlfn.XLOOKUP(C562,'2024'!C:C,'2024'!A:A,"")</f>
        <v>45392.860416666997</v>
      </c>
      <c r="H562" s="6">
        <f>_xlfn.XLOOKUP(C563,'2024'!C:C,'2024'!B:B,"")</f>
        <v>45393.802083333001</v>
      </c>
      <c r="I562" s="19">
        <f t="shared" si="32"/>
        <v>45392.860416666997</v>
      </c>
      <c r="J562" s="6">
        <f>_xlfn.XLOOKUP(C562,'2025'!C:C,'2025'!A:A,"")</f>
        <v>45757.78125</v>
      </c>
      <c r="K562" s="6">
        <f>_xlfn.XLOOKUP(C562,'2025'!C:C,'2025'!B:B,"")</f>
        <v>45755.741666667003</v>
      </c>
      <c r="L562" s="19">
        <f t="shared" si="33"/>
        <v>45755.741666667003</v>
      </c>
      <c r="M562" s="16" cm="1">
        <f t="array" ref="M562">IFERROR(_xlfn.LET(
_xlpm.x,TRIM(C562),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2" s="16" t="b">
        <f t="shared" si="34"/>
        <v>0</v>
      </c>
    </row>
    <row r="563" spans="1:14" x14ac:dyDescent="0.25">
      <c r="A563" s="5" t="s">
        <v>12</v>
      </c>
      <c r="B563" s="16">
        <v>140</v>
      </c>
      <c r="C563" s="16" t="str">
        <v>Lawry - LWRY C2 - C23</v>
      </c>
      <c r="D563" s="6">
        <f>_xlfn.XLOOKUP(C563,'2023'!C:C,'2023'!A:A,"")</f>
        <v>45027.895833333001</v>
      </c>
      <c r="E563" s="6" t="str">
        <f>_xlfn.XLOOKUP(C563,'2023'!C:C,'2023'!B:B,"")</f>
        <v>No Selection Time Issued</v>
      </c>
      <c r="F563" s="19">
        <f t="shared" si="35"/>
        <v>45027.895833333001</v>
      </c>
      <c r="G563" s="6">
        <f>_xlfn.XLOOKUP(C563,'2024'!C:C,'2024'!A:A,"")</f>
        <v>45392.770833333001</v>
      </c>
      <c r="H563" s="6">
        <f>_xlfn.XLOOKUP(C564,'2024'!C:C,'2024'!B:B,"")</f>
        <v>45393.708333333001</v>
      </c>
      <c r="I563" s="19">
        <f t="shared" si="32"/>
        <v>45392.770833333001</v>
      </c>
      <c r="J563" s="6">
        <f>_xlfn.XLOOKUP(C563,'2025'!C:C,'2025'!A:A,"")</f>
        <v>45757.845833332998</v>
      </c>
      <c r="K563" s="6">
        <f>_xlfn.XLOOKUP(C563,'2025'!C:C,'2025'!B:B,"")</f>
        <v>45755.741666667003</v>
      </c>
      <c r="L563" s="19">
        <f t="shared" si="33"/>
        <v>45755.741666667003</v>
      </c>
      <c r="M563" s="16" cm="1">
        <f t="array" ref="M563">IFERROR(_xlfn.LET(
_xlpm.x,TRIM(C563),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3" s="16" t="b">
        <f t="shared" si="34"/>
        <v>0</v>
      </c>
    </row>
    <row r="564" spans="1:14" x14ac:dyDescent="0.25">
      <c r="A564" s="5" t="s">
        <v>12</v>
      </c>
      <c r="B564" s="16">
        <v>140</v>
      </c>
      <c r="C564" s="16" t="str">
        <v>Lawry - LWRY C2 - C24</v>
      </c>
      <c r="D564" s="6">
        <f>_xlfn.XLOOKUP(C564,'2023'!C:C,'2023'!A:A,"")</f>
        <v>45027.772916667003</v>
      </c>
      <c r="E564" s="6">
        <f>_xlfn.XLOOKUP(C564,'2023'!C:C,'2023'!B:B,"")</f>
        <v>45027.727083332997</v>
      </c>
      <c r="F564" s="19">
        <f t="shared" si="35"/>
        <v>45027.727083332997</v>
      </c>
      <c r="G564" s="6">
        <f>_xlfn.XLOOKUP(C564,'2024'!C:C,'2024'!A:A,"")</f>
        <v>45392.820833332997</v>
      </c>
      <c r="H564" s="6">
        <f>_xlfn.XLOOKUP(C565,'2024'!C:C,'2024'!B:B,"")</f>
        <v>45392.716666667002</v>
      </c>
      <c r="I564" s="19">
        <f t="shared" si="32"/>
        <v>45392.716666667002</v>
      </c>
      <c r="J564" s="6">
        <f>_xlfn.XLOOKUP(C564,'2025'!C:C,'2025'!A:A,"")</f>
        <v>45757.847916667</v>
      </c>
      <c r="K564" s="6">
        <f>_xlfn.XLOOKUP(C564,'2025'!C:C,'2025'!B:B,"")</f>
        <v>45755.741666667003</v>
      </c>
      <c r="L564" s="19">
        <f t="shared" si="33"/>
        <v>45755.741666667003</v>
      </c>
      <c r="M564" s="16" cm="1">
        <f t="array" ref="M564">IFERROR(_xlfn.LET(
_xlpm.x,TRIM(C564),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4" s="16" t="b">
        <f t="shared" si="34"/>
        <v>0</v>
      </c>
    </row>
    <row r="565" spans="1:14" x14ac:dyDescent="0.25">
      <c r="A565" s="5" t="s">
        <v>76</v>
      </c>
      <c r="B565" s="16">
        <v>140</v>
      </c>
      <c r="C565" s="16" t="str">
        <v>Lawry - LWRY C2 - C25</v>
      </c>
      <c r="D565" s="6">
        <f>_xlfn.XLOOKUP(C565,'2023'!C:C,'2023'!A:A,"")</f>
        <v>45027.731249999997</v>
      </c>
      <c r="E565" s="6">
        <f>_xlfn.XLOOKUP(C565,'2023'!C:C,'2023'!B:B,"")</f>
        <v>45029.710416667003</v>
      </c>
      <c r="F565" s="19">
        <f t="shared" si="35"/>
        <v>45027.731249999997</v>
      </c>
      <c r="G565" s="6">
        <f>_xlfn.XLOOKUP(C565,'2024'!C:C,'2024'!A:A,"")</f>
        <v>45392.770833333001</v>
      </c>
      <c r="H565" s="6">
        <f>_xlfn.XLOOKUP(C566,'2024'!C:C,'2024'!B:B,"")</f>
        <v>45393.747916667002</v>
      </c>
      <c r="I565" s="19">
        <f t="shared" si="32"/>
        <v>45392.770833333001</v>
      </c>
      <c r="J565" s="6">
        <f>_xlfn.XLOOKUP(C565,'2025'!C:C,'2025'!A:A,"")</f>
        <v>45756.820833332997</v>
      </c>
      <c r="K565" s="6">
        <f>_xlfn.XLOOKUP(C565,'2025'!C:C,'2025'!B:B,"")</f>
        <v>45755.741666667003</v>
      </c>
      <c r="L565" s="19">
        <f t="shared" si="33"/>
        <v>45755.741666667003</v>
      </c>
      <c r="M565" s="16" cm="1">
        <f t="array" ref="M565">IFERROR(_xlfn.LET(
_xlpm.x,TRIM(C565),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5" s="16" t="b">
        <f t="shared" si="34"/>
        <v>0</v>
      </c>
    </row>
    <row r="566" spans="1:14" x14ac:dyDescent="0.25">
      <c r="A566" s="5" t="s">
        <v>76</v>
      </c>
      <c r="B566" s="16">
        <v>140</v>
      </c>
      <c r="C566" s="16" t="str">
        <v>Lawry - LWRY C2 - C26</v>
      </c>
      <c r="D566" s="6">
        <f>_xlfn.XLOOKUP(C566,'2023'!C:C,'2023'!A:A,"")</f>
        <v>45027.902083333</v>
      </c>
      <c r="E566" s="6" t="str">
        <f>_xlfn.XLOOKUP(C566,'2023'!C:C,'2023'!B:B,"")</f>
        <v>No Selection Time Issued</v>
      </c>
      <c r="F566" s="19">
        <f t="shared" si="35"/>
        <v>45027.902083333</v>
      </c>
      <c r="G566" s="6">
        <f>_xlfn.XLOOKUP(C566,'2024'!C:C,'2024'!A:A,"")</f>
        <v>45392.829166666997</v>
      </c>
      <c r="H566" s="6" t="str">
        <f>_xlfn.XLOOKUP(C567,'2024'!C:C,'2024'!B:B,"")</f>
        <v>No Selection Time Issued</v>
      </c>
      <c r="I566" s="19">
        <f t="shared" si="32"/>
        <v>45392.829166666997</v>
      </c>
      <c r="J566" s="6">
        <f>_xlfn.XLOOKUP(C566,'2025'!C:C,'2025'!A:A,"")</f>
        <v>45756.743750000001</v>
      </c>
      <c r="K566" s="6">
        <f>_xlfn.XLOOKUP(C566,'2025'!C:C,'2025'!B:B,"")</f>
        <v>45755.741666667003</v>
      </c>
      <c r="L566" s="19">
        <f t="shared" si="33"/>
        <v>45755.741666667003</v>
      </c>
      <c r="M566" s="16" cm="1">
        <f t="array" ref="M566">IFERROR(_xlfn.LET(
_xlpm.x,TRIM(C566),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6" s="16" t="b">
        <f t="shared" si="34"/>
        <v>0</v>
      </c>
    </row>
    <row r="567" spans="1:14" x14ac:dyDescent="0.25">
      <c r="A567" s="5" t="s">
        <v>380</v>
      </c>
      <c r="B567" s="16">
        <v>132</v>
      </c>
      <c r="C567" s="16" t="str">
        <v>Lawry - LWRY C2 - C27</v>
      </c>
      <c r="D567" s="6">
        <f>_xlfn.XLOOKUP(C567,'2023'!C:C,'2023'!A:A,"")</f>
        <v>45027.90625</v>
      </c>
      <c r="E567" s="6">
        <f>_xlfn.XLOOKUP(C567,'2023'!C:C,'2023'!B:B,"")</f>
        <v>45027.720833332998</v>
      </c>
      <c r="F567" s="19">
        <f t="shared" si="35"/>
        <v>45027.720833332998</v>
      </c>
      <c r="G567" s="6">
        <f>_xlfn.XLOOKUP(C567,'2024'!C:C,'2024'!A:A,"")</f>
        <v>45392.822916666999</v>
      </c>
      <c r="H567" s="6">
        <f>_xlfn.XLOOKUP(C568,'2024'!C:C,'2024'!B:B,"")</f>
        <v>45392.800000000003</v>
      </c>
      <c r="I567" s="19">
        <f t="shared" si="32"/>
        <v>45392.800000000003</v>
      </c>
      <c r="J567" s="6">
        <f>_xlfn.XLOOKUP(C567,'2025'!C:C,'2025'!A:A,"")</f>
        <v>45756.791666666999</v>
      </c>
      <c r="K567" s="6">
        <f>_xlfn.XLOOKUP(C567,'2025'!C:C,'2025'!B:B,"")</f>
        <v>45755.741666667003</v>
      </c>
      <c r="L567" s="19">
        <f t="shared" si="33"/>
        <v>45755.741666667003</v>
      </c>
      <c r="M567" s="16" cm="1">
        <f t="array" ref="M567">IFERROR(_xlfn.LET(
_xlpm.x,TRIM(C567),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7" s="16" t="b">
        <f t="shared" si="34"/>
        <v>0</v>
      </c>
    </row>
    <row r="568" spans="1:14" x14ac:dyDescent="0.25">
      <c r="A568" s="5" t="s">
        <v>380</v>
      </c>
      <c r="B568" s="16">
        <v>132</v>
      </c>
      <c r="C568" s="16" t="str">
        <v>Lawry - LWRY C2 - C28</v>
      </c>
      <c r="D568" s="6">
        <f>_xlfn.XLOOKUP(C568,'2023'!C:C,'2023'!A:A,"")</f>
        <v>45027.78125</v>
      </c>
      <c r="E568" s="6">
        <f>_xlfn.XLOOKUP(C568,'2023'!C:C,'2023'!B:B,"")</f>
        <v>45028.766666666997</v>
      </c>
      <c r="F568" s="19">
        <f t="shared" si="35"/>
        <v>45027.78125</v>
      </c>
      <c r="G568" s="6">
        <f>_xlfn.XLOOKUP(C568,'2024'!C:C,'2024'!A:A,"")</f>
        <v>45391.729166666999</v>
      </c>
      <c r="H568" s="6">
        <f>_xlfn.XLOOKUP(C569,'2024'!C:C,'2024'!B:B,"")</f>
        <v>45392.745833333</v>
      </c>
      <c r="I568" s="19">
        <f t="shared" si="32"/>
        <v>45391.729166666999</v>
      </c>
      <c r="J568" s="6">
        <f>_xlfn.XLOOKUP(C568,'2025'!C:C,'2025'!A:A,"")</f>
        <v>45757.837500000001</v>
      </c>
      <c r="K568" s="6">
        <f>_xlfn.XLOOKUP(C568,'2025'!C:C,'2025'!B:B,"")</f>
        <v>45755.741666667003</v>
      </c>
      <c r="L568" s="19">
        <f t="shared" si="33"/>
        <v>45755.741666667003</v>
      </c>
      <c r="M568" s="16" cm="1">
        <f t="array" ref="M568">IFERROR(_xlfn.LET(
_xlpm.x,TRIM(C568),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8" s="16" t="b">
        <f t="shared" si="34"/>
        <v>0</v>
      </c>
    </row>
    <row r="569" spans="1:14" x14ac:dyDescent="0.25">
      <c r="A569" s="5" t="s">
        <v>380</v>
      </c>
      <c r="B569" s="16">
        <v>147</v>
      </c>
      <c r="C569" s="16" t="str">
        <v>Lawry - LWRY C3 - C31</v>
      </c>
      <c r="D569" s="6" t="str">
        <f>_xlfn.XLOOKUP(C569,'2023'!C:C,'2023'!A:A,"")</f>
        <v/>
      </c>
      <c r="E569" s="6" t="str">
        <f>_xlfn.XLOOKUP(C569,'2023'!C:C,'2023'!B:B,"")</f>
        <v/>
      </c>
      <c r="F569" s="19" t="str">
        <f t="shared" si="35"/>
        <v/>
      </c>
      <c r="G569" s="6">
        <f>_xlfn.XLOOKUP(C569,'2024'!C:C,'2024'!A:A,"")</f>
        <v>45391.802083333001</v>
      </c>
      <c r="H569" s="6">
        <f>_xlfn.XLOOKUP(C570,'2024'!C:C,'2024'!B:B,"")</f>
        <v>45392.743750000001</v>
      </c>
      <c r="I569" s="19">
        <f t="shared" si="32"/>
        <v>45391.802083333001</v>
      </c>
      <c r="J569" s="6">
        <f>_xlfn.XLOOKUP(C569,'2025'!C:C,'2025'!A:A,"")</f>
        <v>45757.820833332997</v>
      </c>
      <c r="K569" s="6">
        <f>_xlfn.XLOOKUP(C569,'2025'!C:C,'2025'!B:B,"")</f>
        <v>45755.739583333001</v>
      </c>
      <c r="L569" s="19">
        <f t="shared" si="33"/>
        <v>45755.739583333001</v>
      </c>
      <c r="M569" s="16" cm="1">
        <f t="array" ref="M569">IFERROR(_xlfn.LET(
_xlpm.x,TRIM(C569),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69" s="16" t="b">
        <f t="shared" si="34"/>
        <v>0</v>
      </c>
    </row>
    <row r="570" spans="1:14" x14ac:dyDescent="0.25">
      <c r="A570" s="5" t="s">
        <v>179</v>
      </c>
      <c r="B570" s="16">
        <v>147</v>
      </c>
      <c r="C570" s="16" t="str">
        <v>Lawry - LWRY C3 - C32</v>
      </c>
      <c r="D570" s="6" t="str">
        <f>_xlfn.XLOOKUP(C570,'2023'!C:C,'2023'!A:A,"")</f>
        <v/>
      </c>
      <c r="E570" s="6" t="str">
        <f>_xlfn.XLOOKUP(C570,'2023'!C:C,'2023'!B:B,"")</f>
        <v/>
      </c>
      <c r="F570" s="19" t="str">
        <f t="shared" si="35"/>
        <v/>
      </c>
      <c r="G570" s="6">
        <f>_xlfn.XLOOKUP(C570,'2024'!C:C,'2024'!A:A,"")</f>
        <v>45391.766666666997</v>
      </c>
      <c r="H570" s="6">
        <f>_xlfn.XLOOKUP(C571,'2024'!C:C,'2024'!B:B,"")</f>
        <v>45392.714583333</v>
      </c>
      <c r="I570" s="19">
        <f t="shared" si="32"/>
        <v>45391.766666666997</v>
      </c>
      <c r="J570" s="6">
        <f>_xlfn.XLOOKUP(C570,'2025'!C:C,'2025'!A:A,"")</f>
        <v>45756.845833332998</v>
      </c>
      <c r="K570" s="6">
        <f>_xlfn.XLOOKUP(C570,'2025'!C:C,'2025'!B:B,"")</f>
        <v>45755.739583333001</v>
      </c>
      <c r="L570" s="19">
        <f t="shared" si="33"/>
        <v>45755.739583333001</v>
      </c>
      <c r="M570" s="16" cm="1">
        <f t="array" ref="M570">IFERROR(_xlfn.LET(
_xlpm.x,TRIM(C570),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0" s="16" t="b">
        <f t="shared" si="34"/>
        <v>0</v>
      </c>
    </row>
    <row r="571" spans="1:14" x14ac:dyDescent="0.25">
      <c r="A571" s="5" t="s">
        <v>179</v>
      </c>
      <c r="B571" s="16">
        <v>140</v>
      </c>
      <c r="C571" s="16" t="str">
        <v>Lawry - LWRY C3 - C33</v>
      </c>
      <c r="D571" s="6" t="str">
        <f>_xlfn.XLOOKUP(C571,'2023'!C:C,'2023'!A:A,"")</f>
        <v/>
      </c>
      <c r="E571" s="6" t="str">
        <f>_xlfn.XLOOKUP(C571,'2023'!C:C,'2023'!B:B,"")</f>
        <v/>
      </c>
      <c r="F571" s="19" t="str">
        <f t="shared" si="35"/>
        <v/>
      </c>
      <c r="G571" s="6">
        <f>_xlfn.XLOOKUP(C571,'2024'!C:C,'2024'!A:A,"")</f>
        <v>45391.729166666999</v>
      </c>
      <c r="H571" s="6">
        <f>_xlfn.XLOOKUP(C572,'2024'!C:C,'2024'!B:B,"")</f>
        <v>45393.708333333001</v>
      </c>
      <c r="I571" s="19">
        <f t="shared" si="32"/>
        <v>45391.729166666999</v>
      </c>
      <c r="J571" s="6">
        <f>_xlfn.XLOOKUP(C571,'2025'!C:C,'2025'!A:A,"")</f>
        <v>45756.716666667002</v>
      </c>
      <c r="K571" s="6">
        <f>_xlfn.XLOOKUP(C571,'2025'!C:C,'2025'!B:B,"")</f>
        <v>45755.739583333001</v>
      </c>
      <c r="L571" s="19">
        <f t="shared" si="33"/>
        <v>45755.739583333001</v>
      </c>
      <c r="M571" s="16" cm="1">
        <f t="array" ref="M571">IFERROR(_xlfn.LET(
_xlpm.x,TRIM(C571),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1" s="16" t="b">
        <f t="shared" si="34"/>
        <v>0</v>
      </c>
    </row>
    <row r="572" spans="1:14" x14ac:dyDescent="0.25">
      <c r="A572" s="5" t="s">
        <v>179</v>
      </c>
      <c r="B572" s="16">
        <v>140</v>
      </c>
      <c r="C572" s="16" t="str">
        <v>Lawry - LWRY C3 - C34</v>
      </c>
      <c r="D572" s="6" t="str">
        <f>_xlfn.XLOOKUP(C572,'2023'!C:C,'2023'!A:A,"")</f>
        <v/>
      </c>
      <c r="E572" s="6" t="str">
        <f>_xlfn.XLOOKUP(C572,'2023'!C:C,'2023'!B:B,"")</f>
        <v/>
      </c>
      <c r="F572" s="19" t="str">
        <f t="shared" si="35"/>
        <v/>
      </c>
      <c r="G572" s="6">
        <f>_xlfn.XLOOKUP(C572,'2024'!C:C,'2024'!A:A,"")</f>
        <v>45391.904861110997</v>
      </c>
      <c r="H572" s="6">
        <f>_xlfn.XLOOKUP(C573,'2024'!C:C,'2024'!B:B,"")</f>
        <v>45391.720833332998</v>
      </c>
      <c r="I572" s="19">
        <f t="shared" si="32"/>
        <v>45391.720833332998</v>
      </c>
      <c r="J572" s="6">
        <f>_xlfn.XLOOKUP(C572,'2025'!C:C,'2025'!A:A,"")</f>
        <v>45755.739583333001</v>
      </c>
      <c r="K572" s="6">
        <f>_xlfn.XLOOKUP(C572,'2025'!C:C,'2025'!B:B,"")</f>
        <v>45755.739583333001</v>
      </c>
      <c r="L572" s="19">
        <f t="shared" si="33"/>
        <v>45755.739583333001</v>
      </c>
      <c r="M572" s="16" cm="1">
        <f t="array" ref="M572">IFERROR(_xlfn.LET(
_xlpm.x,TRIM(C572),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2" s="16" t="b">
        <f t="shared" si="34"/>
        <v>0</v>
      </c>
    </row>
    <row r="573" spans="1:14" x14ac:dyDescent="0.25">
      <c r="A573" s="5" t="s">
        <v>162</v>
      </c>
      <c r="B573" s="16">
        <v>140</v>
      </c>
      <c r="C573" s="16" t="str">
        <v>Lawry - LWRY C3 - C35</v>
      </c>
      <c r="D573" s="6" t="str">
        <f>_xlfn.XLOOKUP(C573,'2023'!C:C,'2023'!A:A,"")</f>
        <v/>
      </c>
      <c r="E573" s="6" t="str">
        <f>_xlfn.XLOOKUP(C573,'2023'!C:C,'2023'!B:B,"")</f>
        <v/>
      </c>
      <c r="F573" s="19" t="str">
        <f t="shared" si="35"/>
        <v/>
      </c>
      <c r="G573" s="6">
        <f>_xlfn.XLOOKUP(C573,'2024'!C:C,'2024'!A:A,"")</f>
        <v>45391.797916666997</v>
      </c>
      <c r="H573" s="6">
        <f>_xlfn.XLOOKUP(C574,'2024'!C:C,'2024'!B:B,"")</f>
        <v>45391.737500000003</v>
      </c>
      <c r="I573" s="19">
        <f t="shared" si="32"/>
        <v>45391.737500000003</v>
      </c>
      <c r="J573" s="6">
        <f>_xlfn.XLOOKUP(C573,'2025'!C:C,'2025'!A:A,"")</f>
        <v>45756.816666667</v>
      </c>
      <c r="K573" s="6">
        <f>_xlfn.XLOOKUP(C573,'2025'!C:C,'2025'!B:B,"")</f>
        <v>45755.739583333001</v>
      </c>
      <c r="L573" s="19">
        <f t="shared" si="33"/>
        <v>45755.739583333001</v>
      </c>
      <c r="M573" s="16" cm="1">
        <f t="array" ref="M573">IFERROR(_xlfn.LET(
_xlpm.x,TRIM(C573),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3" s="16" t="b">
        <f t="shared" si="34"/>
        <v>0</v>
      </c>
    </row>
    <row r="574" spans="1:14" x14ac:dyDescent="0.25">
      <c r="A574" s="5" t="s">
        <v>162</v>
      </c>
      <c r="B574" s="16">
        <v>140</v>
      </c>
      <c r="C574" s="16" t="str">
        <v>Lawry - LWRY C3 - C36</v>
      </c>
      <c r="D574" s="6" t="str">
        <f>_xlfn.XLOOKUP(C574,'2023'!C:C,'2023'!A:A,"")</f>
        <v/>
      </c>
      <c r="E574" s="6" t="str">
        <f>_xlfn.XLOOKUP(C574,'2023'!C:C,'2023'!B:B,"")</f>
        <v/>
      </c>
      <c r="F574" s="19" t="str">
        <f t="shared" si="35"/>
        <v/>
      </c>
      <c r="G574" s="6">
        <f>_xlfn.XLOOKUP(C574,'2024'!C:C,'2024'!A:A,"")</f>
        <v>45391.833333333001</v>
      </c>
      <c r="H574" s="6">
        <f>_xlfn.XLOOKUP(C575,'2024'!C:C,'2024'!B:B,"")</f>
        <v>45391.737500000003</v>
      </c>
      <c r="I574" s="19">
        <f t="shared" si="32"/>
        <v>45391.737500000003</v>
      </c>
      <c r="J574" s="6">
        <f>_xlfn.XLOOKUP(C574,'2025'!C:C,'2025'!A:A,"")</f>
        <v>45755.868750000001</v>
      </c>
      <c r="K574" s="6">
        <f>_xlfn.XLOOKUP(C574,'2025'!C:C,'2025'!B:B,"")</f>
        <v>45755.739583333001</v>
      </c>
      <c r="L574" s="19">
        <f t="shared" si="33"/>
        <v>45755.739583333001</v>
      </c>
      <c r="M574" s="16" cm="1">
        <f t="array" ref="M574">IFERROR(_xlfn.LET(
_xlpm.x,TRIM(C574),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4" s="16" t="b">
        <f t="shared" si="34"/>
        <v>0</v>
      </c>
    </row>
    <row r="575" spans="1:14" x14ac:dyDescent="0.25">
      <c r="A575" s="5" t="s">
        <v>162</v>
      </c>
      <c r="B575" s="16">
        <v>132</v>
      </c>
      <c r="C575" s="16" t="str">
        <v>Lawry - LWRY C3 - C37</v>
      </c>
      <c r="D575" s="6" t="str">
        <f>_xlfn.XLOOKUP(C575,'2023'!C:C,'2023'!A:A,"")</f>
        <v/>
      </c>
      <c r="E575" s="6" t="str">
        <f>_xlfn.XLOOKUP(C575,'2023'!C:C,'2023'!B:B,"")</f>
        <v/>
      </c>
      <c r="F575" s="19" t="str">
        <f t="shared" si="35"/>
        <v/>
      </c>
      <c r="G575" s="6">
        <f>_xlfn.XLOOKUP(C575,'2024'!C:C,'2024'!A:A,"")</f>
        <v>45391.793749999997</v>
      </c>
      <c r="H575" s="6">
        <f>_xlfn.XLOOKUP(C576,'2024'!C:C,'2024'!B:B,"")</f>
        <v>45393.708333333001</v>
      </c>
      <c r="I575" s="19">
        <f t="shared" si="32"/>
        <v>45391.793749999997</v>
      </c>
      <c r="J575" s="6">
        <f>_xlfn.XLOOKUP(C575,'2025'!C:C,'2025'!A:A,"")</f>
        <v>45757.8125</v>
      </c>
      <c r="K575" s="6">
        <f>_xlfn.XLOOKUP(C575,'2025'!C:C,'2025'!B:B,"")</f>
        <v>45755.739583333001</v>
      </c>
      <c r="L575" s="19">
        <f t="shared" si="33"/>
        <v>45755.739583333001</v>
      </c>
      <c r="M575" s="16" cm="1">
        <f t="array" ref="M575">IFERROR(_xlfn.LET(
_xlpm.x,TRIM(C575),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5" s="16" t="b">
        <f t="shared" si="34"/>
        <v>0</v>
      </c>
    </row>
    <row r="576" spans="1:14" x14ac:dyDescent="0.25">
      <c r="A576" s="5" t="s">
        <v>340</v>
      </c>
      <c r="B576" s="16">
        <v>132</v>
      </c>
      <c r="C576" s="16" t="str">
        <v>Lawry - LWRY C3 - C38</v>
      </c>
      <c r="D576" s="6" t="str">
        <f>_xlfn.XLOOKUP(C576,'2023'!C:C,'2023'!A:A,"")</f>
        <v/>
      </c>
      <c r="E576" s="6" t="str">
        <f>_xlfn.XLOOKUP(C576,'2023'!C:C,'2023'!B:B,"")</f>
        <v/>
      </c>
      <c r="F576" s="19" t="str">
        <f t="shared" si="35"/>
        <v/>
      </c>
      <c r="G576" s="6">
        <f>_xlfn.XLOOKUP(C576,'2024'!C:C,'2024'!A:A,"")</f>
        <v>45392.777083333</v>
      </c>
      <c r="H576" s="6" t="str">
        <f>_xlfn.XLOOKUP(C577,'2024'!C:C,'2024'!B:B,"")</f>
        <v>No Selection Time Issued</v>
      </c>
      <c r="I576" s="19">
        <f t="shared" si="32"/>
        <v>45392.777083333</v>
      </c>
      <c r="J576" s="6">
        <f>_xlfn.XLOOKUP(C576,'2025'!C:C,'2025'!A:A,"")</f>
        <v>45755.787499999999</v>
      </c>
      <c r="K576" s="6">
        <f>_xlfn.XLOOKUP(C576,'2025'!C:C,'2025'!B:B,"")</f>
        <v>45755.739583333001</v>
      </c>
      <c r="L576" s="19">
        <f t="shared" si="33"/>
        <v>45755.739583333001</v>
      </c>
      <c r="M576" s="16" cm="1">
        <f t="array" ref="M576">IFERROR(_xlfn.LET(
_xlpm.x,TRIM(C576),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76" s="16" t="b">
        <f t="shared" si="34"/>
        <v>0</v>
      </c>
    </row>
    <row r="577" spans="1:14" x14ac:dyDescent="0.25">
      <c r="A577" s="5" t="s">
        <v>340</v>
      </c>
      <c r="B577" s="16">
        <v>233</v>
      </c>
      <c r="C577" s="16" t="str">
        <v>Mudd - 51</v>
      </c>
      <c r="D577" s="6">
        <f>_xlfn.XLOOKUP(C577,'2023'!C:C,'2023'!A:A,"")</f>
        <v>45029.814583332998</v>
      </c>
      <c r="E577" s="6">
        <f>_xlfn.XLOOKUP(C577,'2023'!C:C,'2023'!B:B,"")</f>
        <v>45028.831250000003</v>
      </c>
      <c r="F577" s="19">
        <f t="shared" si="35"/>
        <v>45028.831250000003</v>
      </c>
      <c r="G577" s="6">
        <f>_xlfn.XLOOKUP(C577,'2024'!C:C,'2024'!A:A,"")</f>
        <v>45393.816666667</v>
      </c>
      <c r="H577" s="6">
        <f>_xlfn.XLOOKUP(C578,'2024'!C:C,'2024'!B:B,"")</f>
        <v>45391.714583333</v>
      </c>
      <c r="I577" s="19">
        <f t="shared" si="32"/>
        <v>45391.714583333</v>
      </c>
      <c r="J577" s="6" t="str">
        <f>_xlfn.XLOOKUP(C577,'2025'!C:C,'2025'!A:A,"")</f>
        <v/>
      </c>
      <c r="K577" s="6" t="str">
        <f>_xlfn.XLOOKUP(C577,'2025'!C:C,'2025'!B:B,"")</f>
        <v/>
      </c>
      <c r="L577" s="19" t="str">
        <f t="shared" si="33"/>
        <v/>
      </c>
      <c r="M577" s="16" cm="1">
        <f t="array" ref="M577">IFERROR(_xlfn.LET(
_xlpm.x,TRIM(C577),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77" s="16" t="b">
        <f t="shared" si="34"/>
        <v>1</v>
      </c>
    </row>
    <row r="578" spans="1:14" x14ac:dyDescent="0.25">
      <c r="A578" s="5" t="s">
        <v>412</v>
      </c>
      <c r="B578" s="16">
        <v>6</v>
      </c>
      <c r="C578" s="16" t="str">
        <v>Mudd - 53</v>
      </c>
      <c r="D578" s="6">
        <f>_xlfn.XLOOKUP(C578,'2023'!C:C,'2023'!A:A,"")</f>
        <v>45029.822916666999</v>
      </c>
      <c r="E578" s="6">
        <f>_xlfn.XLOOKUP(C578,'2023'!C:C,'2023'!B:B,"")</f>
        <v>45028.722916667</v>
      </c>
      <c r="F578" s="19">
        <f t="shared" si="35"/>
        <v>45028.722916667</v>
      </c>
      <c r="G578" s="6">
        <f>_xlfn.XLOOKUP(C578,'2024'!C:C,'2024'!A:A,"")</f>
        <v>45393.816666667</v>
      </c>
      <c r="H578" s="6" t="str">
        <f>_xlfn.XLOOKUP(C579,'2024'!C:C,'2024'!B:B,"")</f>
        <v/>
      </c>
      <c r="I578" s="19">
        <f t="shared" ref="I578:I641" si="36">_xlfn.LET(
_xlpm.ind,G578,
_xlpm.grp,H578,
IF(AND(NOT(ISNUMBER(_xlpm.ind)),NOT(ISNUMBER(_xlpm.grp))),"",
MIN(IF(ISNUMBER(_xlpm.ind),_xlpm.ind,1E+99),IF(ISNUMBER(_xlpm.grp),_xlpm.grp,1E+99))
)
)</f>
        <v>45393.816666667</v>
      </c>
      <c r="J578" s="6" t="str">
        <f>_xlfn.XLOOKUP(C578,'2025'!C:C,'2025'!A:A,"")</f>
        <v/>
      </c>
      <c r="K578" s="6" t="str">
        <f>_xlfn.XLOOKUP(C578,'2025'!C:C,'2025'!B:B,"")</f>
        <v/>
      </c>
      <c r="L578" s="19" t="str">
        <f t="shared" ref="L578:L641" si="37">_xlfn.LET(_xlpm.ind,J578,_xlpm.grp,K578,IF(AND(NOT(ISNUMBER(_xlpm.ind)),NOT(ISNUMBER(_xlpm.grp))),"",MIN(IF(ISNUMBER(_xlpm.ind),_xlpm.ind,1E+99),IF(ISNUMBER(_xlpm.grp),_xlpm.grp,1E+99))))</f>
        <v/>
      </c>
      <c r="M578" s="16" cm="1">
        <f t="array" ref="M578">IFERROR(_xlfn.LET(
_xlpm.x,TRIM(C578),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78" s="16" t="b">
        <f t="shared" ref="N578:N641" si="38">OR(_xlfn.TEXTBEFORE(C578," - ")="Blaisdell",_xlfn.TEXTBEFORE(C578," - ")="Mudd",_xlfn.TEXTBEFORE(C578," - ")="Dialynas",_xlfn.TEXTBEFORE(C578," - ")="Sontag")</f>
        <v>1</v>
      </c>
    </row>
    <row r="579" spans="1:14" x14ac:dyDescent="0.25">
      <c r="A579" s="5" t="s">
        <v>412</v>
      </c>
      <c r="B579" s="16">
        <v>223</v>
      </c>
      <c r="C579" s="16" t="str">
        <v>Mudd - 57</v>
      </c>
      <c r="D579" s="6">
        <f>_xlfn.XLOOKUP(C579,'2023'!C:C,'2023'!A:A,"")</f>
        <v>45029.75</v>
      </c>
      <c r="E579" s="6">
        <f>_xlfn.XLOOKUP(C579,'2023'!C:C,'2023'!B:B,"")</f>
        <v>45027.841666667002</v>
      </c>
      <c r="F579" s="19">
        <f t="shared" ref="F579:F642" si="39">_xlfn.LET(
_xlpm.ind,D579,
_xlpm.grp,E579,
IF(AND(NOT(ISNUMBER(_xlpm.ind)),NOT(ISNUMBER(_xlpm.grp))),"",
MIN(IF(ISNUMBER(_xlpm.ind),_xlpm.ind,1E+99),IF(ISNUMBER(_xlpm.grp),_xlpm.grp,1E+99))
)
)</f>
        <v>45027.841666667002</v>
      </c>
      <c r="G579" s="6" t="str">
        <f>_xlfn.XLOOKUP(C579,'2024'!C:C,'2024'!A:A,"")</f>
        <v/>
      </c>
      <c r="H579" s="6" t="str">
        <f>_xlfn.XLOOKUP(C580,'2024'!C:C,'2024'!B:B,"")</f>
        <v/>
      </c>
      <c r="I579" s="19" t="str">
        <f t="shared" si="36"/>
        <v/>
      </c>
      <c r="J579" s="6" t="str">
        <f>_xlfn.XLOOKUP(C579,'2025'!C:C,'2025'!A:A,"")</f>
        <v/>
      </c>
      <c r="K579" s="6" t="str">
        <f>_xlfn.XLOOKUP(C579,'2025'!C:C,'2025'!B:B,"")</f>
        <v/>
      </c>
      <c r="L579" s="19" t="str">
        <f t="shared" si="37"/>
        <v/>
      </c>
      <c r="M579" s="16" cm="1">
        <f t="array" ref="M579">IFERROR(_xlfn.LET(
_xlpm.x,TRIM(C579),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79" s="16" t="b">
        <f t="shared" si="38"/>
        <v>1</v>
      </c>
    </row>
    <row r="580" spans="1:14" x14ac:dyDescent="0.25">
      <c r="A580" s="5" t="s">
        <v>453</v>
      </c>
      <c r="B580" s="16">
        <v>204</v>
      </c>
      <c r="C580" s="16" t="str">
        <v>Mudd - 59</v>
      </c>
      <c r="D580" s="6">
        <f>_xlfn.XLOOKUP(C580,'2023'!C:C,'2023'!A:A,"")</f>
        <v>45029.78125</v>
      </c>
      <c r="E580" s="6">
        <f>_xlfn.XLOOKUP(C580,'2023'!C:C,'2023'!B:B,"")</f>
        <v>45028.714583333</v>
      </c>
      <c r="F580" s="19">
        <f t="shared" si="39"/>
        <v>45028.714583333</v>
      </c>
      <c r="G580" s="6" t="str">
        <f>_xlfn.XLOOKUP(C580,'2024'!C:C,'2024'!A:A,"")</f>
        <v/>
      </c>
      <c r="H580" s="6" t="str">
        <f>_xlfn.XLOOKUP(C581,'2024'!C:C,'2024'!B:B,"")</f>
        <v/>
      </c>
      <c r="I580" s="19" t="str">
        <f t="shared" si="36"/>
        <v/>
      </c>
      <c r="J580" s="6" t="str">
        <f>_xlfn.XLOOKUP(C580,'2025'!C:C,'2025'!A:A,"")</f>
        <v/>
      </c>
      <c r="K580" s="6" t="str">
        <f>_xlfn.XLOOKUP(C580,'2025'!C:C,'2025'!B:B,"")</f>
        <v/>
      </c>
      <c r="L580" s="19" t="str">
        <f t="shared" si="37"/>
        <v/>
      </c>
      <c r="M580" s="16" cm="1">
        <f t="array" ref="M580">IFERROR(_xlfn.LET(
_xlpm.x,TRIM(C580),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0" s="16" t="b">
        <f t="shared" si="38"/>
        <v>1</v>
      </c>
    </row>
    <row r="581" spans="1:14" x14ac:dyDescent="0.25">
      <c r="A581" s="5" t="s">
        <v>453</v>
      </c>
      <c r="B581" s="16">
        <v>2221</v>
      </c>
      <c r="C581" s="16" t="str">
        <v>Mudd - 61</v>
      </c>
      <c r="D581" s="6">
        <f>_xlfn.XLOOKUP(C581,'2023'!C:C,'2023'!A:A,"")</f>
        <v>45029.737500000003</v>
      </c>
      <c r="E581" s="6">
        <f>_xlfn.XLOOKUP(C581,'2023'!C:C,'2023'!B:B,"")</f>
        <v>45027.71875</v>
      </c>
      <c r="F581" s="19">
        <f t="shared" si="39"/>
        <v>45027.71875</v>
      </c>
      <c r="G581" s="6" t="str">
        <f>_xlfn.XLOOKUP(C581,'2024'!C:C,'2024'!A:A,"")</f>
        <v/>
      </c>
      <c r="H581" s="6" t="str">
        <f>_xlfn.XLOOKUP(C582,'2024'!C:C,'2024'!B:B,"")</f>
        <v/>
      </c>
      <c r="I581" s="19" t="str">
        <f t="shared" si="36"/>
        <v/>
      </c>
      <c r="J581" s="6" t="str">
        <f>_xlfn.XLOOKUP(C581,'2025'!C:C,'2025'!A:A,"")</f>
        <v/>
      </c>
      <c r="K581" s="6" t="str">
        <f>_xlfn.XLOOKUP(C581,'2025'!C:C,'2025'!B:B,"")</f>
        <v/>
      </c>
      <c r="L581" s="19" t="str">
        <f t="shared" si="37"/>
        <v/>
      </c>
      <c r="M581" s="16" cm="1">
        <f t="array" ref="M581">IFERROR(_xlfn.LET(
_xlpm.x,TRIM(C581),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1" s="16" t="b">
        <f t="shared" si="38"/>
        <v>1</v>
      </c>
    </row>
    <row r="582" spans="1:14" x14ac:dyDescent="0.25">
      <c r="A582" s="5" t="s">
        <v>506</v>
      </c>
      <c r="B582" s="16">
        <v>257</v>
      </c>
      <c r="C582" s="16" t="str">
        <v>Mudd - 62</v>
      </c>
      <c r="D582" s="6">
        <f>_xlfn.XLOOKUP(C582,'2023'!C:C,'2023'!A:A,"")</f>
        <v>45029.75</v>
      </c>
      <c r="E582" s="6">
        <f>_xlfn.XLOOKUP(C582,'2023'!C:C,'2023'!B:B,"")</f>
        <v>45028.729166666999</v>
      </c>
      <c r="F582" s="19">
        <f t="shared" si="39"/>
        <v>45028.729166666999</v>
      </c>
      <c r="G582" s="6" t="str">
        <f>_xlfn.XLOOKUP(C582,'2024'!C:C,'2024'!A:A,"")</f>
        <v/>
      </c>
      <c r="H582" s="6" t="str">
        <f>_xlfn.XLOOKUP(C583,'2024'!C:C,'2024'!B:B,"")</f>
        <v/>
      </c>
      <c r="I582" s="19" t="str">
        <f t="shared" si="36"/>
        <v/>
      </c>
      <c r="J582" s="6" t="str">
        <f>_xlfn.XLOOKUP(C582,'2025'!C:C,'2025'!A:A,"")</f>
        <v/>
      </c>
      <c r="K582" s="6" t="str">
        <f>_xlfn.XLOOKUP(C582,'2025'!C:C,'2025'!B:B,"")</f>
        <v/>
      </c>
      <c r="L582" s="19" t="str">
        <f t="shared" si="37"/>
        <v/>
      </c>
      <c r="M582" s="16" cm="1">
        <f t="array" ref="M582">IFERROR(_xlfn.LET(
_xlpm.x,TRIM(C582),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2" s="16" t="b">
        <f t="shared" si="38"/>
        <v>1</v>
      </c>
    </row>
    <row r="583" spans="1:14" x14ac:dyDescent="0.25">
      <c r="A583" s="5" t="s">
        <v>506</v>
      </c>
      <c r="B583" s="16">
        <v>246</v>
      </c>
      <c r="C583" s="16" t="str">
        <v>Mudd - 64</v>
      </c>
      <c r="D583" s="6">
        <f>_xlfn.XLOOKUP(C583,'2023'!C:C,'2023'!A:A,"")</f>
        <v>45029.839583333</v>
      </c>
      <c r="E583" s="6">
        <f>_xlfn.XLOOKUP(C583,'2023'!C:C,'2023'!B:B,"")</f>
        <v>45027.733333333003</v>
      </c>
      <c r="F583" s="19">
        <f t="shared" si="39"/>
        <v>45027.733333333003</v>
      </c>
      <c r="G583" s="6" t="str">
        <f>_xlfn.XLOOKUP(C583,'2024'!C:C,'2024'!A:A,"")</f>
        <v/>
      </c>
      <c r="H583" s="6" t="str">
        <f>_xlfn.XLOOKUP(C584,'2024'!C:C,'2024'!B:B,"")</f>
        <v>No Selection Time Issued</v>
      </c>
      <c r="I583" s="19" t="str">
        <f t="shared" si="36"/>
        <v/>
      </c>
      <c r="J583" s="6" t="str">
        <f>_xlfn.XLOOKUP(C583,'2025'!C:C,'2025'!A:A,"")</f>
        <v/>
      </c>
      <c r="K583" s="6" t="str">
        <f>_xlfn.XLOOKUP(C583,'2025'!C:C,'2025'!B:B,"")</f>
        <v/>
      </c>
      <c r="L583" s="19" t="str">
        <f t="shared" si="37"/>
        <v/>
      </c>
      <c r="M583" s="16" cm="1">
        <f t="array" ref="M583">IFERROR(_xlfn.LET(
_xlpm.x,TRIM(C583),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3" s="16" t="b">
        <f t="shared" si="38"/>
        <v>1</v>
      </c>
    </row>
    <row r="584" spans="1:14" x14ac:dyDescent="0.25">
      <c r="A584" s="5" t="s">
        <v>523</v>
      </c>
      <c r="B584" s="16">
        <v>230</v>
      </c>
      <c r="C584" s="16" t="str">
        <v>Mudd - 65</v>
      </c>
      <c r="D584" s="6">
        <f>_xlfn.XLOOKUP(C584,'2023'!C:C,'2023'!A:A,"")</f>
        <v>45029.743750000001</v>
      </c>
      <c r="E584" s="6">
        <f>_xlfn.XLOOKUP(C584,'2023'!C:C,'2023'!B:B,"")</f>
        <v>45027.731249999997</v>
      </c>
      <c r="F584" s="19">
        <f t="shared" si="39"/>
        <v>45027.731249999997</v>
      </c>
      <c r="G584" s="6">
        <f>_xlfn.XLOOKUP(C584,'2024'!C:C,'2024'!A:A,"")</f>
        <v>45393.789583332997</v>
      </c>
      <c r="H584" s="6" t="str">
        <f>_xlfn.XLOOKUP(C585,'2024'!C:C,'2024'!B:B,"")</f>
        <v>No Selection Time Issued</v>
      </c>
      <c r="I584" s="19">
        <f t="shared" si="36"/>
        <v>45393.789583332997</v>
      </c>
      <c r="J584" s="6" t="str">
        <f>_xlfn.XLOOKUP(C584,'2025'!C:C,'2025'!A:A,"")</f>
        <v/>
      </c>
      <c r="K584" s="6" t="str">
        <f>_xlfn.XLOOKUP(C584,'2025'!C:C,'2025'!B:B,"")</f>
        <v/>
      </c>
      <c r="L584" s="19" t="str">
        <f t="shared" si="37"/>
        <v/>
      </c>
      <c r="M584" s="16" cm="1">
        <f t="array" ref="M584">IFERROR(_xlfn.LET(
_xlpm.x,TRIM(C584),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4" s="16" t="b">
        <f t="shared" si="38"/>
        <v>1</v>
      </c>
    </row>
    <row r="585" spans="1:14" x14ac:dyDescent="0.25">
      <c r="A585" s="5" t="s">
        <v>523</v>
      </c>
      <c r="B585" s="16">
        <v>297</v>
      </c>
      <c r="C585" s="16" t="str">
        <v>Mudd - 66</v>
      </c>
      <c r="D585" s="6">
        <f>_xlfn.XLOOKUP(C585,'2023'!C:C,'2023'!A:A,"")</f>
        <v>45029.75</v>
      </c>
      <c r="E585" s="6">
        <f>_xlfn.XLOOKUP(C585,'2023'!C:C,'2023'!B:B,"")</f>
        <v>45027.708333333001</v>
      </c>
      <c r="F585" s="19">
        <f t="shared" si="39"/>
        <v>45027.708333333001</v>
      </c>
      <c r="G585" s="6">
        <f>_xlfn.XLOOKUP(C585,'2024'!C:C,'2024'!A:A,"")</f>
        <v>45393.743750000001</v>
      </c>
      <c r="H585" s="6" t="str">
        <f>_xlfn.XLOOKUP(C586,'2024'!C:C,'2024'!B:B,"")</f>
        <v>No Selection Time Issued</v>
      </c>
      <c r="I585" s="19">
        <f t="shared" si="36"/>
        <v>45393.743750000001</v>
      </c>
      <c r="J585" s="6" t="str">
        <f>_xlfn.XLOOKUP(C585,'2025'!C:C,'2025'!A:A,"")</f>
        <v/>
      </c>
      <c r="K585" s="6" t="str">
        <f>_xlfn.XLOOKUP(C585,'2025'!C:C,'2025'!B:B,"")</f>
        <v/>
      </c>
      <c r="L585" s="19" t="str">
        <f t="shared" si="37"/>
        <v/>
      </c>
      <c r="M585" s="16" cm="1">
        <f t="array" ref="M585">IFERROR(_xlfn.LET(
_xlpm.x,TRIM(C585),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5" s="16" t="b">
        <f t="shared" si="38"/>
        <v>1</v>
      </c>
    </row>
    <row r="586" spans="1:14" x14ac:dyDescent="0.25">
      <c r="A586" s="5" t="s">
        <v>777</v>
      </c>
      <c r="B586" s="16">
        <v>144</v>
      </c>
      <c r="C586" s="16" t="str">
        <v>Mudd - 150</v>
      </c>
      <c r="D586" s="6" t="str">
        <f>_xlfn.XLOOKUP(C586,'2023'!C:C,'2023'!A:A,"")</f>
        <v/>
      </c>
      <c r="E586" s="6" t="str">
        <f>_xlfn.XLOOKUP(C586,'2023'!C:C,'2023'!B:B,"")</f>
        <v/>
      </c>
      <c r="F586" s="19" t="str">
        <f t="shared" si="39"/>
        <v/>
      </c>
      <c r="G586" s="6">
        <f>_xlfn.XLOOKUP(C586,'2024'!C:C,'2024'!A:A,"")</f>
        <v>45393.772916667003</v>
      </c>
      <c r="H586" s="6" t="str">
        <f>_xlfn.XLOOKUP(C587,'2024'!C:C,'2024'!B:B,"")</f>
        <v>No Selection Time Issued</v>
      </c>
      <c r="I586" s="19">
        <f t="shared" si="36"/>
        <v>45393.772916667003</v>
      </c>
      <c r="J586" s="6" t="str">
        <f>_xlfn.XLOOKUP(C586,'2025'!C:C,'2025'!A:A,"")</f>
        <v/>
      </c>
      <c r="K586" s="6" t="str">
        <f>_xlfn.XLOOKUP(C586,'2025'!C:C,'2025'!B:B,"")</f>
        <v/>
      </c>
      <c r="L586" s="19" t="str">
        <f t="shared" si="37"/>
        <v/>
      </c>
      <c r="M586" s="16" cm="1">
        <f t="array" ref="M586">IFERROR(_xlfn.LET(
_xlpm.x,TRIM(C586),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86" s="16" t="b">
        <f t="shared" si="38"/>
        <v>1</v>
      </c>
    </row>
    <row r="587" spans="1:14" x14ac:dyDescent="0.25">
      <c r="A587" s="5" t="s">
        <v>777</v>
      </c>
      <c r="B587" s="16">
        <v>113</v>
      </c>
      <c r="C587" s="16" t="str">
        <v>Mudd - 151</v>
      </c>
      <c r="D587" s="6" t="str">
        <f>_xlfn.XLOOKUP(C587,'2023'!C:C,'2023'!A:A,"")</f>
        <v/>
      </c>
      <c r="E587" s="6" t="str">
        <f>_xlfn.XLOOKUP(C587,'2023'!C:C,'2023'!B:B,"")</f>
        <v/>
      </c>
      <c r="F587" s="19" t="str">
        <f t="shared" si="39"/>
        <v/>
      </c>
      <c r="G587" s="6">
        <f>_xlfn.XLOOKUP(C587,'2024'!C:C,'2024'!A:A,"")</f>
        <v>45393.777083333</v>
      </c>
      <c r="H587" s="6" t="str">
        <f>_xlfn.XLOOKUP(C588,'2024'!C:C,'2024'!B:B,"")</f>
        <v>No Selection Time Issued</v>
      </c>
      <c r="I587" s="19">
        <f t="shared" si="36"/>
        <v>45393.777083333</v>
      </c>
      <c r="J587" s="6" t="str">
        <f>_xlfn.XLOOKUP(C587,'2025'!C:C,'2025'!A:A,"")</f>
        <v/>
      </c>
      <c r="K587" s="6" t="str">
        <f>_xlfn.XLOOKUP(C587,'2025'!C:C,'2025'!B:B,"")</f>
        <v/>
      </c>
      <c r="L587" s="19" t="str">
        <f t="shared" si="37"/>
        <v/>
      </c>
      <c r="M587" s="16" cm="1">
        <f t="array" ref="M587">IFERROR(_xlfn.LET(
_xlpm.x,TRIM(C587),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87" s="16" t="b">
        <f t="shared" si="38"/>
        <v>1</v>
      </c>
    </row>
    <row r="588" spans="1:14" x14ac:dyDescent="0.25">
      <c r="A588" s="5" t="s">
        <v>714</v>
      </c>
      <c r="B588" s="16">
        <v>150</v>
      </c>
      <c r="C588" s="16" t="str">
        <v>Mudd - 153</v>
      </c>
      <c r="D588" s="6" t="str">
        <f>_xlfn.XLOOKUP(C588,'2023'!C:C,'2023'!A:A,"")</f>
        <v/>
      </c>
      <c r="E588" s="6" t="str">
        <f>_xlfn.XLOOKUP(C588,'2023'!C:C,'2023'!B:B,"")</f>
        <v/>
      </c>
      <c r="F588" s="19" t="str">
        <f t="shared" si="39"/>
        <v/>
      </c>
      <c r="G588" s="6">
        <f>_xlfn.XLOOKUP(C588,'2024'!C:C,'2024'!A:A,"")</f>
        <v>45393.775000000001</v>
      </c>
      <c r="H588" s="6" t="str">
        <f>_xlfn.XLOOKUP(C589,'2024'!C:C,'2024'!B:B,"")</f>
        <v>No Selection Time Issued</v>
      </c>
      <c r="I588" s="19">
        <f t="shared" si="36"/>
        <v>45393.775000000001</v>
      </c>
      <c r="J588" s="6" t="str">
        <f>_xlfn.XLOOKUP(C588,'2025'!C:C,'2025'!A:A,"")</f>
        <v/>
      </c>
      <c r="K588" s="6" t="str">
        <f>_xlfn.XLOOKUP(C588,'2025'!C:C,'2025'!B:B,"")</f>
        <v/>
      </c>
      <c r="L588" s="19" t="str">
        <f t="shared" si="37"/>
        <v/>
      </c>
      <c r="M588" s="16" cm="1">
        <f t="array" ref="M588">IFERROR(_xlfn.LET(
_xlpm.x,TRIM(C588),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88" s="16" t="b">
        <f t="shared" si="38"/>
        <v>1</v>
      </c>
    </row>
    <row r="589" spans="1:14" x14ac:dyDescent="0.25">
      <c r="A589" s="5" t="s">
        <v>714</v>
      </c>
      <c r="B589" s="16">
        <v>228</v>
      </c>
      <c r="C589" s="16" t="str">
        <v>Mudd - 171</v>
      </c>
      <c r="D589" s="6" t="str">
        <f>_xlfn.XLOOKUP(C589,'2023'!C:C,'2023'!A:A,"")</f>
        <v/>
      </c>
      <c r="E589" s="6" t="str">
        <f>_xlfn.XLOOKUP(C589,'2023'!C:C,'2023'!B:B,"")</f>
        <v/>
      </c>
      <c r="F589" s="19" t="str">
        <f t="shared" si="39"/>
        <v/>
      </c>
      <c r="G589" s="6">
        <f>_xlfn.XLOOKUP(C589,'2024'!C:C,'2024'!A:A,"")</f>
        <v>45393.787499999999</v>
      </c>
      <c r="H589" s="6" t="str">
        <f>_xlfn.XLOOKUP(C590,'2024'!C:C,'2024'!B:B,"")</f>
        <v/>
      </c>
      <c r="I589" s="19">
        <f t="shared" si="36"/>
        <v>45393.787499999999</v>
      </c>
      <c r="J589" s="6" t="str">
        <f>_xlfn.XLOOKUP(C589,'2025'!C:C,'2025'!A:A,"")</f>
        <v/>
      </c>
      <c r="K589" s="6" t="str">
        <f>_xlfn.XLOOKUP(C589,'2025'!C:C,'2025'!B:B,"")</f>
        <v/>
      </c>
      <c r="L589" s="19" t="str">
        <f t="shared" si="37"/>
        <v/>
      </c>
      <c r="M589" s="16" cm="1">
        <f t="array" ref="M589">IFERROR(_xlfn.LET(
_xlpm.x,TRIM(C589),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589" s="16" t="b">
        <f t="shared" si="38"/>
        <v>1</v>
      </c>
    </row>
    <row r="590" spans="1:14" x14ac:dyDescent="0.25">
      <c r="A590" s="5" t="s">
        <v>714</v>
      </c>
      <c r="B590" s="16">
        <v>144</v>
      </c>
      <c r="C590" s="16" t="str">
        <v>Mudd - 250</v>
      </c>
      <c r="D590" s="6" t="str">
        <f>_xlfn.XLOOKUP(C590,'2023'!C:C,'2023'!A:A,"")</f>
        <v/>
      </c>
      <c r="E590" s="6" t="str">
        <f>_xlfn.XLOOKUP(C590,'2023'!C:C,'2023'!B:B,"")</f>
        <v/>
      </c>
      <c r="F590" s="19" t="str">
        <f t="shared" si="39"/>
        <v/>
      </c>
      <c r="G590" s="6" t="str">
        <f>_xlfn.XLOOKUP(C590,'2024'!C:C,'2024'!A:A,"")</f>
        <v/>
      </c>
      <c r="H590" s="6">
        <f>_xlfn.XLOOKUP(C591,'2024'!C:C,'2024'!B:B,"")</f>
        <v>45391.739583333001</v>
      </c>
      <c r="I590" s="19">
        <f t="shared" si="36"/>
        <v>45391.739583333001</v>
      </c>
      <c r="J590" s="6">
        <f>_xlfn.XLOOKUP(C590,'2025'!C:C,'2025'!A:A,"")</f>
        <v>45757.777083333</v>
      </c>
      <c r="K590" s="6" t="str">
        <f>_xlfn.XLOOKUP(C590,'2025'!C:C,'2025'!B:B,"")</f>
        <v>No Selection Time Issued</v>
      </c>
      <c r="L590" s="19">
        <f t="shared" si="37"/>
        <v>45757.777083333</v>
      </c>
      <c r="M590" s="16" cm="1">
        <f t="array" ref="M590">IFERROR(_xlfn.LET(
_xlpm.x,TRIM(C590),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0" s="16" t="b">
        <f t="shared" si="38"/>
        <v>1</v>
      </c>
    </row>
    <row r="591" spans="1:14" x14ac:dyDescent="0.25">
      <c r="A591" s="5" t="s">
        <v>56</v>
      </c>
      <c r="B591" s="16">
        <v>151</v>
      </c>
      <c r="C591" s="16" t="str">
        <v>Mudd - 251</v>
      </c>
      <c r="D591" s="6" t="str">
        <f>_xlfn.XLOOKUP(C591,'2023'!C:C,'2023'!A:A,"")</f>
        <v/>
      </c>
      <c r="E591" s="6" t="str">
        <f>_xlfn.XLOOKUP(C591,'2023'!C:C,'2023'!B:B,"")</f>
        <v/>
      </c>
      <c r="F591" s="19" t="str">
        <f t="shared" si="39"/>
        <v/>
      </c>
      <c r="G591" s="6">
        <f>_xlfn.XLOOKUP(C591,'2024'!C:C,'2024'!A:A,"")</f>
        <v>45393.777083333</v>
      </c>
      <c r="H591" s="6" t="str">
        <f>_xlfn.XLOOKUP(C592,'2024'!C:C,'2024'!B:B,"")</f>
        <v/>
      </c>
      <c r="I591" s="19">
        <f t="shared" si="36"/>
        <v>45393.777083333</v>
      </c>
      <c r="J591" s="6">
        <f>_xlfn.XLOOKUP(C591,'2025'!C:C,'2025'!A:A,"")</f>
        <v>45757.787499999999</v>
      </c>
      <c r="K591" s="6" t="str">
        <f>_xlfn.XLOOKUP(C591,'2025'!C:C,'2025'!B:B,"")</f>
        <v>No Selection Time Issued</v>
      </c>
      <c r="L591" s="19">
        <f t="shared" si="37"/>
        <v>45757.787499999999</v>
      </c>
      <c r="M591" s="16" cm="1">
        <f t="array" ref="M591">IFERROR(_xlfn.LET(
_xlpm.x,TRIM(C591),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1" s="16" t="b">
        <f t="shared" si="38"/>
        <v>1</v>
      </c>
    </row>
    <row r="592" spans="1:14" x14ac:dyDescent="0.25">
      <c r="A592" s="5" t="s">
        <v>56</v>
      </c>
      <c r="B592" s="16">
        <v>149</v>
      </c>
      <c r="C592" s="16" t="str">
        <v>Mudd - 252</v>
      </c>
      <c r="D592" s="6" t="str">
        <f>_xlfn.XLOOKUP(C592,'2023'!C:C,'2023'!A:A,"")</f>
        <v/>
      </c>
      <c r="E592" s="6" t="str">
        <f>_xlfn.XLOOKUP(C592,'2023'!C:C,'2023'!B:B,"")</f>
        <v/>
      </c>
      <c r="F592" s="19" t="str">
        <f t="shared" si="39"/>
        <v/>
      </c>
      <c r="G592" s="6" t="str">
        <f>_xlfn.XLOOKUP(C592,'2024'!C:C,'2024'!A:A,"")</f>
        <v/>
      </c>
      <c r="H592" s="6" t="str">
        <f>_xlfn.XLOOKUP(C593,'2024'!C:C,'2024'!B:B,"")</f>
        <v/>
      </c>
      <c r="I592" s="19" t="str">
        <f t="shared" si="36"/>
        <v/>
      </c>
      <c r="J592" s="6">
        <f>_xlfn.XLOOKUP(C592,'2025'!C:C,'2025'!A:A,"")</f>
        <v>45757.777083333</v>
      </c>
      <c r="K592" s="6" t="str">
        <f>_xlfn.XLOOKUP(C592,'2025'!C:C,'2025'!B:B,"")</f>
        <v>No Selection Time Issued</v>
      </c>
      <c r="L592" s="19">
        <f t="shared" si="37"/>
        <v>45757.777083333</v>
      </c>
      <c r="M592" s="16" cm="1">
        <f t="array" ref="M592">IFERROR(_xlfn.LET(
_xlpm.x,TRIM(C592),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2" s="16" t="b">
        <f t="shared" si="38"/>
        <v>1</v>
      </c>
    </row>
    <row r="593" spans="1:14" x14ac:dyDescent="0.25">
      <c r="A593" s="5" t="s">
        <v>56</v>
      </c>
      <c r="B593" s="16">
        <v>149</v>
      </c>
      <c r="C593" s="16" t="str">
        <v>Mudd - 253</v>
      </c>
      <c r="D593" s="6" t="str">
        <f>_xlfn.XLOOKUP(C593,'2023'!C:C,'2023'!A:A,"")</f>
        <v/>
      </c>
      <c r="E593" s="6" t="str">
        <f>_xlfn.XLOOKUP(C593,'2023'!C:C,'2023'!B:B,"")</f>
        <v/>
      </c>
      <c r="F593" s="19" t="str">
        <f t="shared" si="39"/>
        <v/>
      </c>
      <c r="G593" s="6" t="str">
        <f>_xlfn.XLOOKUP(C593,'2024'!C:C,'2024'!A:A,"")</f>
        <v/>
      </c>
      <c r="H593" s="6" t="str">
        <f>_xlfn.XLOOKUP(C594,'2024'!C:C,'2024'!B:B,"")</f>
        <v/>
      </c>
      <c r="I593" s="19" t="str">
        <f t="shared" si="36"/>
        <v/>
      </c>
      <c r="J593" s="6">
        <f>_xlfn.XLOOKUP(C593,'2025'!C:C,'2025'!A:A,"")</f>
        <v>45757.795833333003</v>
      </c>
      <c r="K593" s="6" t="str">
        <f>_xlfn.XLOOKUP(C593,'2025'!C:C,'2025'!B:B,"")</f>
        <v>No Selection Time Issued</v>
      </c>
      <c r="L593" s="19">
        <f t="shared" si="37"/>
        <v>45757.795833333003</v>
      </c>
      <c r="M593" s="16" cm="1">
        <f t="array" ref="M593">IFERROR(_xlfn.LET(
_xlpm.x,TRIM(C593),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3" s="16" t="b">
        <f t="shared" si="38"/>
        <v>1</v>
      </c>
    </row>
    <row r="594" spans="1:14" x14ac:dyDescent="0.25">
      <c r="A594" s="5" t="s">
        <v>554</v>
      </c>
      <c r="B594" s="16">
        <v>145</v>
      </c>
      <c r="C594" s="16" t="str">
        <v>Mudd - 254</v>
      </c>
      <c r="D594" s="6" t="str">
        <f>_xlfn.XLOOKUP(C594,'2023'!C:C,'2023'!A:A,"")</f>
        <v/>
      </c>
      <c r="E594" s="6" t="str">
        <f>_xlfn.XLOOKUP(C594,'2023'!C:C,'2023'!B:B,"")</f>
        <v/>
      </c>
      <c r="F594" s="19" t="str">
        <f t="shared" si="39"/>
        <v/>
      </c>
      <c r="G594" s="6" t="str">
        <f>_xlfn.XLOOKUP(C594,'2024'!C:C,'2024'!A:A,"")</f>
        <v/>
      </c>
      <c r="H594" s="6" t="str">
        <f>_xlfn.XLOOKUP(C595,'2024'!C:C,'2024'!B:B,"")</f>
        <v/>
      </c>
      <c r="I594" s="19" t="str">
        <f t="shared" si="36"/>
        <v/>
      </c>
      <c r="J594" s="6">
        <f>_xlfn.XLOOKUP(C594,'2025'!C:C,'2025'!A:A,"")</f>
        <v>45757.793749999997</v>
      </c>
      <c r="K594" s="6" t="str">
        <f>_xlfn.XLOOKUP(C594,'2025'!C:C,'2025'!B:B,"")</f>
        <v>No Selection Time Issued</v>
      </c>
      <c r="L594" s="19">
        <f t="shared" si="37"/>
        <v>45757.793749999997</v>
      </c>
      <c r="M594" s="16" cm="1">
        <f t="array" ref="M594">IFERROR(_xlfn.LET(
_xlpm.x,TRIM(C594),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4" s="16" t="b">
        <f t="shared" si="38"/>
        <v>1</v>
      </c>
    </row>
    <row r="595" spans="1:14" x14ac:dyDescent="0.25">
      <c r="A595" s="5" t="s">
        <v>554</v>
      </c>
      <c r="B595" s="16">
        <v>144</v>
      </c>
      <c r="C595" s="16" t="str">
        <v>Mudd - 255</v>
      </c>
      <c r="D595" s="6" t="str">
        <f>_xlfn.XLOOKUP(C595,'2023'!C:C,'2023'!A:A,"")</f>
        <v/>
      </c>
      <c r="E595" s="6" t="str">
        <f>_xlfn.XLOOKUP(C595,'2023'!C:C,'2023'!B:B,"")</f>
        <v/>
      </c>
      <c r="F595" s="19" t="str">
        <f t="shared" si="39"/>
        <v/>
      </c>
      <c r="G595" s="6" t="str">
        <f>_xlfn.XLOOKUP(C595,'2024'!C:C,'2024'!A:A,"")</f>
        <v/>
      </c>
      <c r="H595" s="6" t="str">
        <f>_xlfn.XLOOKUP(C596,'2024'!C:C,'2024'!B:B,"")</f>
        <v/>
      </c>
      <c r="I595" s="19" t="str">
        <f t="shared" si="36"/>
        <v/>
      </c>
      <c r="J595" s="6">
        <f>_xlfn.XLOOKUP(C595,'2025'!C:C,'2025'!A:A,"")</f>
        <v>45757.793749999997</v>
      </c>
      <c r="K595" s="6" t="str">
        <f>_xlfn.XLOOKUP(C595,'2025'!C:C,'2025'!B:B,"")</f>
        <v>No Selection Time Issued</v>
      </c>
      <c r="L595" s="19">
        <f t="shared" si="37"/>
        <v>45757.793749999997</v>
      </c>
      <c r="M595" s="16" cm="1">
        <f t="array" ref="M595">IFERROR(_xlfn.LET(
_xlpm.x,TRIM(C595),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5" s="16" t="b">
        <f t="shared" si="38"/>
        <v>1</v>
      </c>
    </row>
    <row r="596" spans="1:14" x14ac:dyDescent="0.25">
      <c r="A596" s="5" t="s">
        <v>554</v>
      </c>
      <c r="B596" s="16">
        <v>144</v>
      </c>
      <c r="C596" s="16" t="str">
        <v>Mudd - 256</v>
      </c>
      <c r="D596" s="6" t="str">
        <f>_xlfn.XLOOKUP(C596,'2023'!C:C,'2023'!A:A,"")</f>
        <v/>
      </c>
      <c r="E596" s="6" t="str">
        <f>_xlfn.XLOOKUP(C596,'2023'!C:C,'2023'!B:B,"")</f>
        <v/>
      </c>
      <c r="F596" s="19" t="str">
        <f t="shared" si="39"/>
        <v/>
      </c>
      <c r="G596" s="6" t="str">
        <f>_xlfn.XLOOKUP(C596,'2024'!C:C,'2024'!A:A,"")</f>
        <v/>
      </c>
      <c r="H596" s="6" t="str">
        <f>_xlfn.XLOOKUP(C597,'2024'!C:C,'2024'!B:B,"")</f>
        <v/>
      </c>
      <c r="I596" s="19" t="str">
        <f t="shared" si="36"/>
        <v/>
      </c>
      <c r="J596" s="6">
        <f>_xlfn.XLOOKUP(C596,'2025'!C:C,'2025'!A:A,"")</f>
        <v>45757.787499999999</v>
      </c>
      <c r="K596" s="6" t="str">
        <f>_xlfn.XLOOKUP(C596,'2025'!C:C,'2025'!B:B,"")</f>
        <v>No Selection Time Issued</v>
      </c>
      <c r="L596" s="19">
        <f t="shared" si="37"/>
        <v>45757.787499999999</v>
      </c>
      <c r="M596" s="16" cm="1">
        <f t="array" ref="M596">IFERROR(_xlfn.LET(
_xlpm.x,TRIM(C596),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6" s="16" t="b">
        <f t="shared" si="38"/>
        <v>1</v>
      </c>
    </row>
    <row r="597" spans="1:14" x14ac:dyDescent="0.25">
      <c r="A597" s="5" t="s">
        <v>579</v>
      </c>
      <c r="B597" s="16">
        <v>147</v>
      </c>
      <c r="C597" s="16" t="str">
        <v>Mudd - 257</v>
      </c>
      <c r="D597" s="6" t="str">
        <f>_xlfn.XLOOKUP(C597,'2023'!C:C,'2023'!A:A,"")</f>
        <v/>
      </c>
      <c r="E597" s="6" t="str">
        <f>_xlfn.XLOOKUP(C597,'2023'!C:C,'2023'!B:B,"")</f>
        <v/>
      </c>
      <c r="F597" s="19" t="str">
        <f t="shared" si="39"/>
        <v/>
      </c>
      <c r="G597" s="6" t="str">
        <f>_xlfn.XLOOKUP(C597,'2024'!C:C,'2024'!A:A,"")</f>
        <v/>
      </c>
      <c r="H597" s="6" t="str">
        <f>_xlfn.XLOOKUP(C598,'2024'!C:C,'2024'!B:B,"")</f>
        <v/>
      </c>
      <c r="I597" s="19" t="str">
        <f t="shared" si="36"/>
        <v/>
      </c>
      <c r="J597" s="6">
        <f>_xlfn.XLOOKUP(C597,'2025'!C:C,'2025'!A:A,"")</f>
        <v>45757.8</v>
      </c>
      <c r="K597" s="6" t="str">
        <f>_xlfn.XLOOKUP(C597,'2025'!C:C,'2025'!B:B,"")</f>
        <v>No Selection Time Issued</v>
      </c>
      <c r="L597" s="19">
        <f t="shared" si="37"/>
        <v>45757.8</v>
      </c>
      <c r="M597" s="16" cm="1">
        <f t="array" ref="M597">IFERROR(_xlfn.LET(
_xlpm.x,TRIM(C597),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7" s="16" t="b">
        <f t="shared" si="38"/>
        <v>1</v>
      </c>
    </row>
    <row r="598" spans="1:14" x14ac:dyDescent="0.25">
      <c r="A598" s="5" t="s">
        <v>579</v>
      </c>
      <c r="B598" s="16">
        <v>147</v>
      </c>
      <c r="C598" s="16" t="str">
        <v>Mudd - 258</v>
      </c>
      <c r="D598" s="6" t="str">
        <f>_xlfn.XLOOKUP(C598,'2023'!C:C,'2023'!A:A,"")</f>
        <v/>
      </c>
      <c r="E598" s="6" t="str">
        <f>_xlfn.XLOOKUP(C598,'2023'!C:C,'2023'!B:B,"")</f>
        <v/>
      </c>
      <c r="F598" s="19" t="str">
        <f t="shared" si="39"/>
        <v/>
      </c>
      <c r="G598" s="6" t="str">
        <f>_xlfn.XLOOKUP(C598,'2024'!C:C,'2024'!A:A,"")</f>
        <v/>
      </c>
      <c r="H598" s="6" t="str">
        <f>_xlfn.XLOOKUP(C599,'2024'!C:C,'2024'!B:B,"")</f>
        <v/>
      </c>
      <c r="I598" s="19" t="str">
        <f t="shared" si="36"/>
        <v/>
      </c>
      <c r="J598" s="6">
        <f>_xlfn.XLOOKUP(C598,'2025'!C:C,'2025'!A:A,"")</f>
        <v>45757.8125</v>
      </c>
      <c r="K598" s="6" t="str">
        <f>_xlfn.XLOOKUP(C598,'2025'!C:C,'2025'!B:B,"")</f>
        <v>No Selection Time Issued</v>
      </c>
      <c r="L598" s="19">
        <f t="shared" si="37"/>
        <v>45757.8125</v>
      </c>
      <c r="M598" s="16" cm="1">
        <f t="array" ref="M598">IFERROR(_xlfn.LET(
_xlpm.x,TRIM(C598),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8" s="16" t="b">
        <f t="shared" si="38"/>
        <v>1</v>
      </c>
    </row>
    <row r="599" spans="1:14" x14ac:dyDescent="0.25">
      <c r="A599" s="5" t="s">
        <v>579</v>
      </c>
      <c r="B599" s="16">
        <v>154</v>
      </c>
      <c r="C599" s="16" t="str">
        <v>Mudd - 259</v>
      </c>
      <c r="D599" s="6" t="str">
        <f>_xlfn.XLOOKUP(C599,'2023'!C:C,'2023'!A:A,"")</f>
        <v/>
      </c>
      <c r="E599" s="6" t="str">
        <f>_xlfn.XLOOKUP(C599,'2023'!C:C,'2023'!B:B,"")</f>
        <v/>
      </c>
      <c r="F599" s="19" t="str">
        <f t="shared" si="39"/>
        <v/>
      </c>
      <c r="G599" s="6" t="str">
        <f>_xlfn.XLOOKUP(C599,'2024'!C:C,'2024'!A:A,"")</f>
        <v/>
      </c>
      <c r="H599" s="6" t="str">
        <f>_xlfn.XLOOKUP(C600,'2024'!C:C,'2024'!B:B,"")</f>
        <v/>
      </c>
      <c r="I599" s="19" t="str">
        <f t="shared" si="36"/>
        <v/>
      </c>
      <c r="J599" s="6">
        <f>_xlfn.XLOOKUP(C599,'2025'!C:C,'2025'!A:A,"")</f>
        <v>45757.791666666999</v>
      </c>
      <c r="K599" s="6" t="str">
        <f>_xlfn.XLOOKUP(C599,'2025'!C:C,'2025'!B:B,"")</f>
        <v>No Selection Time Issued</v>
      </c>
      <c r="L599" s="19">
        <f t="shared" si="37"/>
        <v>45757.791666666999</v>
      </c>
      <c r="M599" s="16" cm="1">
        <f t="array" ref="M599">IFERROR(_xlfn.LET(
_xlpm.x,TRIM(C599),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599" s="16" t="b">
        <f t="shared" si="38"/>
        <v>1</v>
      </c>
    </row>
    <row r="600" spans="1:14" x14ac:dyDescent="0.25">
      <c r="A600" s="5" t="s">
        <v>78</v>
      </c>
      <c r="B600" s="16">
        <v>154</v>
      </c>
      <c r="C600" s="16" t="str">
        <v>Mudd - 260</v>
      </c>
      <c r="D600" s="6" t="str">
        <f>_xlfn.XLOOKUP(C600,'2023'!C:C,'2023'!A:A,"")</f>
        <v/>
      </c>
      <c r="E600" s="6" t="str">
        <f>_xlfn.XLOOKUP(C600,'2023'!C:C,'2023'!B:B,"")</f>
        <v/>
      </c>
      <c r="F600" s="19" t="str">
        <f t="shared" si="39"/>
        <v/>
      </c>
      <c r="G600" s="6" t="str">
        <f>_xlfn.XLOOKUP(C600,'2024'!C:C,'2024'!A:A,"")</f>
        <v/>
      </c>
      <c r="H600" s="6" t="str">
        <f>_xlfn.XLOOKUP(C601,'2024'!C:C,'2024'!B:B,"")</f>
        <v/>
      </c>
      <c r="I600" s="19" t="str">
        <f t="shared" si="36"/>
        <v/>
      </c>
      <c r="J600" s="6">
        <f>_xlfn.XLOOKUP(C600,'2025'!C:C,'2025'!A:A,"")</f>
        <v>45757.793749999997</v>
      </c>
      <c r="K600" s="6" t="str">
        <f>_xlfn.XLOOKUP(C600,'2025'!C:C,'2025'!B:B,"")</f>
        <v>No Selection Time Issued</v>
      </c>
      <c r="L600" s="19">
        <f t="shared" si="37"/>
        <v>45757.793749999997</v>
      </c>
      <c r="M600" s="16" cm="1">
        <f t="array" ref="M600">IFERROR(_xlfn.LET(
_xlpm.x,TRIM(C600),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0" s="16" t="b">
        <f t="shared" si="38"/>
        <v>1</v>
      </c>
    </row>
    <row r="601" spans="1:14" x14ac:dyDescent="0.25">
      <c r="A601" s="5" t="s">
        <v>78</v>
      </c>
      <c r="B601" s="16">
        <v>156</v>
      </c>
      <c r="C601" s="16" t="str">
        <v>Mudd - 261</v>
      </c>
      <c r="D601" s="6" t="str">
        <f>_xlfn.XLOOKUP(C601,'2023'!C:C,'2023'!A:A,"")</f>
        <v/>
      </c>
      <c r="E601" s="6" t="str">
        <f>_xlfn.XLOOKUP(C601,'2023'!C:C,'2023'!B:B,"")</f>
        <v/>
      </c>
      <c r="F601" s="19" t="str">
        <f t="shared" si="39"/>
        <v/>
      </c>
      <c r="G601" s="6" t="str">
        <f>_xlfn.XLOOKUP(C601,'2024'!C:C,'2024'!A:A,"")</f>
        <v/>
      </c>
      <c r="H601" s="6" t="str">
        <f>_xlfn.XLOOKUP(C602,'2024'!C:C,'2024'!B:B,"")</f>
        <v/>
      </c>
      <c r="I601" s="19" t="str">
        <f t="shared" si="36"/>
        <v/>
      </c>
      <c r="J601" s="6">
        <f>_xlfn.XLOOKUP(C601,'2025'!C:C,'2025'!A:A,"")</f>
        <v>45757.78125</v>
      </c>
      <c r="K601" s="6" t="str">
        <f>_xlfn.XLOOKUP(C601,'2025'!C:C,'2025'!B:B,"")</f>
        <v>No Selection Time Issued</v>
      </c>
      <c r="L601" s="19">
        <f t="shared" si="37"/>
        <v>45757.78125</v>
      </c>
      <c r="M601" s="16" cm="1">
        <f t="array" ref="M601">IFERROR(_xlfn.LET(
_xlpm.x,TRIM(C601),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1" s="16" t="b">
        <f t="shared" si="38"/>
        <v>1</v>
      </c>
    </row>
    <row r="602" spans="1:14" x14ac:dyDescent="0.25">
      <c r="A602" s="5" t="s">
        <v>78</v>
      </c>
      <c r="B602" s="16">
        <v>156</v>
      </c>
      <c r="C602" s="16" t="str">
        <v>Mudd - 262</v>
      </c>
      <c r="D602" s="6" t="str">
        <f>_xlfn.XLOOKUP(C602,'2023'!C:C,'2023'!A:A,"")</f>
        <v/>
      </c>
      <c r="E602" s="6" t="str">
        <f>_xlfn.XLOOKUP(C602,'2023'!C:C,'2023'!B:B,"")</f>
        <v/>
      </c>
      <c r="F602" s="19" t="str">
        <f t="shared" si="39"/>
        <v/>
      </c>
      <c r="G602" s="6" t="str">
        <f>_xlfn.XLOOKUP(C602,'2024'!C:C,'2024'!A:A,"")</f>
        <v/>
      </c>
      <c r="H602" s="6" t="str">
        <f>_xlfn.XLOOKUP(C603,'2024'!C:C,'2024'!B:B,"")</f>
        <v/>
      </c>
      <c r="I602" s="19" t="str">
        <f t="shared" si="36"/>
        <v/>
      </c>
      <c r="J602" s="6">
        <f>_xlfn.XLOOKUP(C602,'2025'!C:C,'2025'!A:A,"")</f>
        <v>45757.716666667002</v>
      </c>
      <c r="K602" s="6" t="str">
        <f>_xlfn.XLOOKUP(C602,'2025'!C:C,'2025'!B:B,"")</f>
        <v>No Selection Time Issued</v>
      </c>
      <c r="L602" s="19">
        <f t="shared" si="37"/>
        <v>45757.716666667002</v>
      </c>
      <c r="M602" s="16" cm="1">
        <f t="array" ref="M602">IFERROR(_xlfn.LET(
_xlpm.x,TRIM(C602),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2" s="16" t="b">
        <f t="shared" si="38"/>
        <v>1</v>
      </c>
    </row>
    <row r="603" spans="1:14" x14ac:dyDescent="0.25">
      <c r="A603" s="5" t="s">
        <v>529</v>
      </c>
      <c r="B603" s="16">
        <v>140</v>
      </c>
      <c r="C603" s="16" t="str">
        <v>Mudd - 263</v>
      </c>
      <c r="D603" s="6" t="str">
        <f>_xlfn.XLOOKUP(C603,'2023'!C:C,'2023'!A:A,"")</f>
        <v/>
      </c>
      <c r="E603" s="6" t="str">
        <f>_xlfn.XLOOKUP(C603,'2023'!C:C,'2023'!B:B,"")</f>
        <v/>
      </c>
      <c r="F603" s="19" t="str">
        <f t="shared" si="39"/>
        <v/>
      </c>
      <c r="G603" s="6" t="str">
        <f>_xlfn.XLOOKUP(C603,'2024'!C:C,'2024'!A:A,"")</f>
        <v/>
      </c>
      <c r="H603" s="6">
        <f>_xlfn.XLOOKUP(C604,'2024'!C:C,'2024'!B:B,"")</f>
        <v>45391.716666667002</v>
      </c>
      <c r="I603" s="19">
        <f t="shared" si="36"/>
        <v>45391.716666667002</v>
      </c>
      <c r="J603" s="6">
        <f>_xlfn.XLOOKUP(C603,'2025'!C:C,'2025'!A:A,"")</f>
        <v>45757.789583332997</v>
      </c>
      <c r="K603" s="6" t="str">
        <f>_xlfn.XLOOKUP(C603,'2025'!C:C,'2025'!B:B,"")</f>
        <v>No Selection Time Issued</v>
      </c>
      <c r="L603" s="19">
        <f t="shared" si="37"/>
        <v>45757.789583332997</v>
      </c>
      <c r="M603" s="16" cm="1">
        <f t="array" ref="M603">IFERROR(_xlfn.LET(
_xlpm.x,TRIM(C603),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3" s="16" t="b">
        <f t="shared" si="38"/>
        <v>1</v>
      </c>
    </row>
    <row r="604" spans="1:14" x14ac:dyDescent="0.25">
      <c r="A604" s="5" t="s">
        <v>529</v>
      </c>
      <c r="B604" s="16">
        <v>162</v>
      </c>
      <c r="C604" s="16" t="str">
        <v>Mudd - 264</v>
      </c>
      <c r="D604" s="6" t="str">
        <f>_xlfn.XLOOKUP(C604,'2023'!C:C,'2023'!A:A,"")</f>
        <v/>
      </c>
      <c r="E604" s="6" t="str">
        <f>_xlfn.XLOOKUP(C604,'2023'!C:C,'2023'!B:B,"")</f>
        <v/>
      </c>
      <c r="F604" s="19" t="str">
        <f t="shared" si="39"/>
        <v/>
      </c>
      <c r="G604" s="6">
        <f>_xlfn.XLOOKUP(C604,'2024'!C:C,'2024'!A:A,"")</f>
        <v>45393.775000000001</v>
      </c>
      <c r="H604" s="6" t="str">
        <f>_xlfn.XLOOKUP(C605,'2024'!C:C,'2024'!B:B,"")</f>
        <v>No Selection Time Issued</v>
      </c>
      <c r="I604" s="19">
        <f t="shared" si="36"/>
        <v>45393.775000000001</v>
      </c>
      <c r="J604" s="6">
        <f>_xlfn.XLOOKUP(C604,'2025'!C:C,'2025'!A:A,"")</f>
        <v>45757.779166667002</v>
      </c>
      <c r="K604" s="6" t="str">
        <f>_xlfn.XLOOKUP(C604,'2025'!C:C,'2025'!B:B,"")</f>
        <v>No Selection Time Issued</v>
      </c>
      <c r="L604" s="19">
        <f t="shared" si="37"/>
        <v>45757.779166667002</v>
      </c>
      <c r="M604" s="16" cm="1">
        <f t="array" ref="M604">IFERROR(_xlfn.LET(
_xlpm.x,TRIM(C604),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4" s="16" t="b">
        <f t="shared" si="38"/>
        <v>1</v>
      </c>
    </row>
    <row r="605" spans="1:14" x14ac:dyDescent="0.25">
      <c r="A605" s="5" t="s">
        <v>529</v>
      </c>
      <c r="B605" s="16">
        <v>165</v>
      </c>
      <c r="C605" s="16" t="str">
        <v>Mudd - 265</v>
      </c>
      <c r="D605" s="6" t="str">
        <f>_xlfn.XLOOKUP(C605,'2023'!C:C,'2023'!A:A,"")</f>
        <v/>
      </c>
      <c r="E605" s="6" t="str">
        <f>_xlfn.XLOOKUP(C605,'2023'!C:C,'2023'!B:B,"")</f>
        <v/>
      </c>
      <c r="F605" s="19" t="str">
        <f t="shared" si="39"/>
        <v/>
      </c>
      <c r="G605" s="6">
        <f>_xlfn.XLOOKUP(C605,'2024'!C:C,'2024'!A:A,"")</f>
        <v>45393.710416667003</v>
      </c>
      <c r="H605" s="6" t="str">
        <f>_xlfn.XLOOKUP(C606,'2024'!C:C,'2024'!B:B,"")</f>
        <v>No Selection Time Issued</v>
      </c>
      <c r="I605" s="19">
        <f t="shared" si="36"/>
        <v>45393.710416667003</v>
      </c>
      <c r="J605" s="6">
        <f>_xlfn.XLOOKUP(C605,'2025'!C:C,'2025'!A:A,"")</f>
        <v>45757.727083332997</v>
      </c>
      <c r="K605" s="6" t="str">
        <f>_xlfn.XLOOKUP(C605,'2025'!C:C,'2025'!B:B,"")</f>
        <v>No Selection Time Issued</v>
      </c>
      <c r="L605" s="19">
        <f t="shared" si="37"/>
        <v>45757.727083332997</v>
      </c>
      <c r="M605" s="16" cm="1">
        <f t="array" ref="M605">IFERROR(_xlfn.LET(
_xlpm.x,TRIM(C605),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5" s="16" t="b">
        <f t="shared" si="38"/>
        <v>1</v>
      </c>
    </row>
    <row r="606" spans="1:14" x14ac:dyDescent="0.25">
      <c r="A606" s="5" t="s">
        <v>316</v>
      </c>
      <c r="B606" s="16">
        <v>257</v>
      </c>
      <c r="C606" s="16" t="str">
        <v>Mudd - 266</v>
      </c>
      <c r="D606" s="6" t="str">
        <f>_xlfn.XLOOKUP(C606,'2023'!C:C,'2023'!A:A,"")</f>
        <v/>
      </c>
      <c r="E606" s="6" t="str">
        <f>_xlfn.XLOOKUP(C606,'2023'!C:C,'2023'!B:B,"")</f>
        <v/>
      </c>
      <c r="F606" s="19" t="str">
        <f t="shared" si="39"/>
        <v/>
      </c>
      <c r="G606" s="6">
        <f>_xlfn.XLOOKUP(C606,'2024'!C:C,'2024'!A:A,"")</f>
        <v>45393.783333332998</v>
      </c>
      <c r="H606" s="6" t="str">
        <f>_xlfn.XLOOKUP(C607,'2024'!C:C,'2024'!B:B,"")</f>
        <v/>
      </c>
      <c r="I606" s="19">
        <f t="shared" si="36"/>
        <v>45393.783333332998</v>
      </c>
      <c r="J606" s="6" t="str">
        <f>_xlfn.XLOOKUP(C606,'2025'!C:C,'2025'!A:A,"")</f>
        <v/>
      </c>
      <c r="K606" s="6" t="str">
        <f>_xlfn.XLOOKUP(C606,'2025'!C:C,'2025'!B:B,"")</f>
        <v/>
      </c>
      <c r="L606" s="19" t="str">
        <f t="shared" si="37"/>
        <v/>
      </c>
      <c r="M606" s="16" cm="1">
        <f t="array" ref="M606">IFERROR(_xlfn.LET(
_xlpm.x,TRIM(C606),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606" s="16" t="b">
        <f t="shared" si="38"/>
        <v>1</v>
      </c>
    </row>
    <row r="607" spans="1:14" x14ac:dyDescent="0.25">
      <c r="A607" s="5" t="s">
        <v>316</v>
      </c>
      <c r="B607" s="16">
        <v>175</v>
      </c>
      <c r="C607" s="16" t="str">
        <v>Mudd - 267</v>
      </c>
      <c r="D607" s="6" t="str">
        <f>_xlfn.XLOOKUP(C607,'2023'!C:C,'2023'!A:A,"")</f>
        <v/>
      </c>
      <c r="E607" s="6" t="str">
        <f>_xlfn.XLOOKUP(C607,'2023'!C:C,'2023'!B:B,"")</f>
        <v/>
      </c>
      <c r="F607" s="19" t="str">
        <f t="shared" si="39"/>
        <v/>
      </c>
      <c r="G607" s="6" t="str">
        <f>_xlfn.XLOOKUP(C607,'2024'!C:C,'2024'!A:A,"")</f>
        <v/>
      </c>
      <c r="H607" s="6" t="str">
        <f>_xlfn.XLOOKUP(C608,'2024'!C:C,'2024'!B:B,"")</f>
        <v>No Selection Time Issued</v>
      </c>
      <c r="I607" s="19" t="str">
        <f t="shared" si="36"/>
        <v/>
      </c>
      <c r="J607" s="6">
        <f>_xlfn.XLOOKUP(C607,'2025'!C:C,'2025'!A:A,"")</f>
        <v>45757.779166667002</v>
      </c>
      <c r="K607" s="6" t="str">
        <f>_xlfn.XLOOKUP(C607,'2025'!C:C,'2025'!B:B,"")</f>
        <v>No Selection Time Issued</v>
      </c>
      <c r="L607" s="19">
        <f t="shared" si="37"/>
        <v>45757.779166667002</v>
      </c>
      <c r="M607" s="16" cm="1">
        <f t="array" ref="M607">IFERROR(_xlfn.LET(
_xlpm.x,TRIM(C607),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7" s="16" t="b">
        <f t="shared" si="38"/>
        <v>1</v>
      </c>
    </row>
    <row r="608" spans="1:14" x14ac:dyDescent="0.25">
      <c r="A608" s="5" t="s">
        <v>316</v>
      </c>
      <c r="B608" s="16">
        <v>211</v>
      </c>
      <c r="C608" s="16" t="str">
        <v>Mudd - 290</v>
      </c>
      <c r="D608" s="6" t="str">
        <f>_xlfn.XLOOKUP(C608,'2023'!C:C,'2023'!A:A,"")</f>
        <v/>
      </c>
      <c r="E608" s="6" t="str">
        <f>_xlfn.XLOOKUP(C608,'2023'!C:C,'2023'!B:B,"")</f>
        <v/>
      </c>
      <c r="F608" s="19" t="str">
        <f t="shared" si="39"/>
        <v/>
      </c>
      <c r="G608" s="6">
        <f>_xlfn.XLOOKUP(C608,'2024'!C:C,'2024'!A:A,"")</f>
        <v>45393.793749999997</v>
      </c>
      <c r="H608" s="6" t="str">
        <f>_xlfn.XLOOKUP(C609,'2024'!C:C,'2024'!B:B,"")</f>
        <v>No Selection Time Issued</v>
      </c>
      <c r="I608" s="19">
        <f t="shared" si="36"/>
        <v>45393.793749999997</v>
      </c>
      <c r="J608" s="6" t="str">
        <f>_xlfn.XLOOKUP(C608,'2025'!C:C,'2025'!A:A,"")</f>
        <v/>
      </c>
      <c r="K608" s="6" t="str">
        <f>_xlfn.XLOOKUP(C608,'2025'!C:C,'2025'!B:B,"")</f>
        <v/>
      </c>
      <c r="L608" s="19" t="str">
        <f t="shared" si="37"/>
        <v/>
      </c>
      <c r="M608" s="16" cm="1">
        <f t="array" ref="M608">IFERROR(_xlfn.LET(
_xlpm.x,TRIM(C608),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608" s="16" t="b">
        <f t="shared" si="38"/>
        <v>1</v>
      </c>
    </row>
    <row r="609" spans="1:14" x14ac:dyDescent="0.25">
      <c r="A609" s="5" t="s">
        <v>113</v>
      </c>
      <c r="B609" s="16">
        <v>144</v>
      </c>
      <c r="C609" s="16" t="str">
        <v>Mudd - MUDD 310-314 - 310</v>
      </c>
      <c r="D609" s="6">
        <f>_xlfn.XLOOKUP(C609,'2023'!C:C,'2023'!A:A,"")</f>
        <v>45029.710416667003</v>
      </c>
      <c r="E609" s="6">
        <f>_xlfn.XLOOKUP(C609,'2023'!C:C,'2023'!B:B,"")</f>
        <v>45028.714583333</v>
      </c>
      <c r="F609" s="19">
        <f t="shared" si="39"/>
        <v>45028.714583333</v>
      </c>
      <c r="G609" s="6">
        <f>_xlfn.XLOOKUP(C609,'2024'!C:C,'2024'!A:A,"")</f>
        <v>45393.787499999999</v>
      </c>
      <c r="H609" s="6" t="str">
        <f>_xlfn.XLOOKUP(C610,'2024'!C:C,'2024'!B:B,"")</f>
        <v>No Selection Time Issued</v>
      </c>
      <c r="I609" s="19">
        <f t="shared" si="36"/>
        <v>45393.787499999999</v>
      </c>
      <c r="J609" s="6">
        <f>_xlfn.XLOOKUP(C609,'2025'!C:C,'2025'!A:A,"")</f>
        <v>45757.797916666997</v>
      </c>
      <c r="K609" s="6">
        <f>_xlfn.XLOOKUP(C609,'2025'!C:C,'2025'!B:B,"")</f>
        <v>45757.710416667003</v>
      </c>
      <c r="L609" s="19">
        <f t="shared" si="37"/>
        <v>45757.710416667003</v>
      </c>
      <c r="M609" s="16" cm="1">
        <f t="array" ref="M609">IFERROR(_xlfn.LET(
_xlpm.x,TRIM(C609),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09" s="16" t="b">
        <f t="shared" si="38"/>
        <v>1</v>
      </c>
    </row>
    <row r="610" spans="1:14" x14ac:dyDescent="0.25">
      <c r="A610" s="5" t="s">
        <v>113</v>
      </c>
      <c r="B610" s="16">
        <v>151</v>
      </c>
      <c r="C610" s="16" t="str">
        <v>Mudd - MUDD 310-314 - 311</v>
      </c>
      <c r="D610" s="6">
        <f>_xlfn.XLOOKUP(C610,'2023'!C:C,'2023'!A:A,"")</f>
        <v>45029.770833333001</v>
      </c>
      <c r="E610" s="6">
        <f>_xlfn.XLOOKUP(C610,'2023'!C:C,'2023'!B:B,"")</f>
        <v>45027.731249999997</v>
      </c>
      <c r="F610" s="19">
        <f t="shared" si="39"/>
        <v>45027.731249999997</v>
      </c>
      <c r="G610" s="6">
        <f>_xlfn.XLOOKUP(C610,'2024'!C:C,'2024'!A:A,"")</f>
        <v>45393.820833332997</v>
      </c>
      <c r="H610" s="6" t="str">
        <f>_xlfn.XLOOKUP(C611,'2024'!C:C,'2024'!B:B,"")</f>
        <v>No Selection Time Issued</v>
      </c>
      <c r="I610" s="19">
        <f t="shared" si="36"/>
        <v>45393.820833332997</v>
      </c>
      <c r="J610" s="6">
        <f>_xlfn.XLOOKUP(C610,'2025'!C:C,'2025'!A:A,"")</f>
        <v>45757.841666667002</v>
      </c>
      <c r="K610" s="6">
        <f>_xlfn.XLOOKUP(C610,'2025'!C:C,'2025'!B:B,"")</f>
        <v>45757.710416667003</v>
      </c>
      <c r="L610" s="19">
        <f t="shared" si="37"/>
        <v>45757.710416667003</v>
      </c>
      <c r="M610" s="16" cm="1">
        <f t="array" ref="M610">IFERROR(_xlfn.LET(
_xlpm.x,TRIM(C610),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0" s="16" t="b">
        <f t="shared" si="38"/>
        <v>1</v>
      </c>
    </row>
    <row r="611" spans="1:14" x14ac:dyDescent="0.25">
      <c r="A611" s="5" t="s">
        <v>113</v>
      </c>
      <c r="B611" s="16">
        <v>149</v>
      </c>
      <c r="C611" s="16" t="str">
        <v>Mudd - MUDD 310-314 - 312</v>
      </c>
      <c r="D611" s="6">
        <f>_xlfn.XLOOKUP(C611,'2023'!C:C,'2023'!A:A,"")</f>
        <v>45029.797916666997</v>
      </c>
      <c r="E611" s="6">
        <f>_xlfn.XLOOKUP(C611,'2023'!C:C,'2023'!B:B,"")</f>
        <v>45027.716666667002</v>
      </c>
      <c r="F611" s="19">
        <f t="shared" si="39"/>
        <v>45027.716666667002</v>
      </c>
      <c r="G611" s="6">
        <f>_xlfn.XLOOKUP(C611,'2024'!C:C,'2024'!A:A,"")</f>
        <v>45393.770833333001</v>
      </c>
      <c r="H611" s="6" t="str">
        <f>_xlfn.XLOOKUP(C612,'2024'!C:C,'2024'!B:B,"")</f>
        <v>No Selection Time Issued</v>
      </c>
      <c r="I611" s="19">
        <f t="shared" si="36"/>
        <v>45393.770833333001</v>
      </c>
      <c r="J611" s="6">
        <f>_xlfn.XLOOKUP(C611,'2025'!C:C,'2025'!A:A,"")</f>
        <v>45757.839583333</v>
      </c>
      <c r="K611" s="6">
        <f>_xlfn.XLOOKUP(C611,'2025'!C:C,'2025'!B:B,"")</f>
        <v>45757.710416667003</v>
      </c>
      <c r="L611" s="19">
        <f t="shared" si="37"/>
        <v>45757.710416667003</v>
      </c>
      <c r="M611" s="16" cm="1">
        <f t="array" ref="M611">IFERROR(_xlfn.LET(
_xlpm.x,TRIM(C611),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1" s="16" t="b">
        <f t="shared" si="38"/>
        <v>1</v>
      </c>
    </row>
    <row r="612" spans="1:14" x14ac:dyDescent="0.25">
      <c r="A612" s="5" t="s">
        <v>418</v>
      </c>
      <c r="B612" s="16">
        <v>149</v>
      </c>
      <c r="C612" s="16" t="str">
        <v>Mudd - MUDD 310-314 - 313</v>
      </c>
      <c r="D612" s="6">
        <f>_xlfn.XLOOKUP(C612,'2023'!C:C,'2023'!A:A,"")</f>
        <v>45029.714583333</v>
      </c>
      <c r="E612" s="6">
        <f>_xlfn.XLOOKUP(C612,'2023'!C:C,'2023'!B:B,"")</f>
        <v>45027.735416666997</v>
      </c>
      <c r="F612" s="19">
        <f t="shared" si="39"/>
        <v>45027.735416666997</v>
      </c>
      <c r="G612" s="6">
        <f>_xlfn.XLOOKUP(C612,'2024'!C:C,'2024'!A:A,"")</f>
        <v>45393.708333333001</v>
      </c>
      <c r="H612" s="6" t="str">
        <f>_xlfn.XLOOKUP(C613,'2024'!C:C,'2024'!B:B,"")</f>
        <v>No Selection Time Issued</v>
      </c>
      <c r="I612" s="19">
        <f t="shared" si="36"/>
        <v>45393.708333333001</v>
      </c>
      <c r="J612" s="6">
        <f>_xlfn.XLOOKUP(C612,'2025'!C:C,'2025'!A:A,"")</f>
        <v>45757.710416667003</v>
      </c>
      <c r="K612" s="6">
        <f>_xlfn.XLOOKUP(C612,'2025'!C:C,'2025'!B:B,"")</f>
        <v>45757.710416667003</v>
      </c>
      <c r="L612" s="19">
        <f t="shared" si="37"/>
        <v>45757.710416667003</v>
      </c>
      <c r="M612" s="16" cm="1">
        <f t="array" ref="M612">IFERROR(_xlfn.LET(
_xlpm.x,TRIM(C612),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2" s="16" t="b">
        <f t="shared" si="38"/>
        <v>1</v>
      </c>
    </row>
    <row r="613" spans="1:14" x14ac:dyDescent="0.25">
      <c r="A613" s="5" t="s">
        <v>418</v>
      </c>
      <c r="B613" s="16">
        <v>145</v>
      </c>
      <c r="C613" s="16" t="str">
        <v>Mudd - MUDD 310-314 - 314</v>
      </c>
      <c r="D613" s="6">
        <f>_xlfn.XLOOKUP(C613,'2023'!C:C,'2023'!A:A,"")</f>
        <v>45029.8125</v>
      </c>
      <c r="E613" s="6">
        <f>_xlfn.XLOOKUP(C613,'2023'!C:C,'2023'!B:B,"")</f>
        <v>45027.716666667002</v>
      </c>
      <c r="F613" s="19">
        <f t="shared" si="39"/>
        <v>45027.716666667002</v>
      </c>
      <c r="G613" s="6">
        <f>_xlfn.XLOOKUP(C613,'2024'!C:C,'2024'!A:A,"")</f>
        <v>45393.764583333003</v>
      </c>
      <c r="H613" s="6" t="str">
        <f>_xlfn.XLOOKUP(C614,'2024'!C:C,'2024'!B:B,"")</f>
        <v/>
      </c>
      <c r="I613" s="19">
        <f t="shared" si="36"/>
        <v>45393.764583333003</v>
      </c>
      <c r="J613" s="6">
        <f>_xlfn.XLOOKUP(C613,'2025'!C:C,'2025'!A:A,"")</f>
        <v>45757.760416666999</v>
      </c>
      <c r="K613" s="6">
        <f>_xlfn.XLOOKUP(C613,'2025'!C:C,'2025'!B:B,"")</f>
        <v>45757.710416667003</v>
      </c>
      <c r="L613" s="19">
        <f t="shared" si="37"/>
        <v>45757.710416667003</v>
      </c>
      <c r="M613" s="16" cm="1">
        <f t="array" ref="M613">IFERROR(_xlfn.LET(
_xlpm.x,TRIM(C613),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3" s="16" t="b">
        <f t="shared" si="38"/>
        <v>1</v>
      </c>
    </row>
    <row r="614" spans="1:14" x14ac:dyDescent="0.25">
      <c r="A614" s="5" t="s">
        <v>418</v>
      </c>
      <c r="B614" s="16">
        <v>118</v>
      </c>
      <c r="C614" s="16" t="str">
        <v>Norton - 2</v>
      </c>
      <c r="D614" s="6" t="str">
        <f>_xlfn.XLOOKUP(C614,'2023'!C:C,'2023'!A:A,"")</f>
        <v/>
      </c>
      <c r="E614" s="6" t="str">
        <f>_xlfn.XLOOKUP(C614,'2023'!C:C,'2023'!B:B,"")</f>
        <v/>
      </c>
      <c r="F614" s="19" t="str">
        <f t="shared" si="39"/>
        <v/>
      </c>
      <c r="G614" s="6" t="str">
        <f>_xlfn.XLOOKUP(C614,'2024'!C:C,'2024'!A:A,"")</f>
        <v/>
      </c>
      <c r="H614" s="6" t="str">
        <f>_xlfn.XLOOKUP(C615,'2024'!C:C,'2024'!B:B,"")</f>
        <v/>
      </c>
      <c r="I614" s="19" t="str">
        <f t="shared" si="36"/>
        <v/>
      </c>
      <c r="J614" s="6">
        <f>_xlfn.XLOOKUP(C614,'2025'!C:C,'2025'!A:A,"")</f>
        <v>45755.84375</v>
      </c>
      <c r="K614" s="6" t="str">
        <f>_xlfn.XLOOKUP(C614,'2025'!C:C,'2025'!B:B,"")</f>
        <v>No Selection Time Issued</v>
      </c>
      <c r="L614" s="19">
        <f t="shared" si="37"/>
        <v>45755.84375</v>
      </c>
      <c r="M614" s="16" cm="1">
        <f t="array" ref="M614">IFERROR(_xlfn.LET(
_xlpm.x,TRIM(C614),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4" s="16" t="b">
        <f t="shared" si="38"/>
        <v>0</v>
      </c>
    </row>
    <row r="615" spans="1:14" x14ac:dyDescent="0.25">
      <c r="A615" s="5" t="s">
        <v>693</v>
      </c>
      <c r="B615" s="16">
        <v>135</v>
      </c>
      <c r="C615" s="16" t="str">
        <v>Norton - 3</v>
      </c>
      <c r="D615" s="6">
        <f>_xlfn.XLOOKUP(C615,'2023'!C:C,'2023'!A:A,"")</f>
        <v>45028.727083332997</v>
      </c>
      <c r="E615" s="6">
        <f>_xlfn.XLOOKUP(C615,'2023'!C:C,'2023'!B:B,"")</f>
        <v>45027.735416666997</v>
      </c>
      <c r="F615" s="19">
        <f t="shared" si="39"/>
        <v>45027.735416666997</v>
      </c>
      <c r="G615" s="6" t="str">
        <f>_xlfn.XLOOKUP(C615,'2024'!C:C,'2024'!A:A,"")</f>
        <v/>
      </c>
      <c r="H615" s="6" t="str">
        <f>_xlfn.XLOOKUP(C616,'2024'!C:C,'2024'!B:B,"")</f>
        <v/>
      </c>
      <c r="I615" s="19" t="str">
        <f t="shared" si="36"/>
        <v/>
      </c>
      <c r="J615" s="6">
        <f>_xlfn.XLOOKUP(C615,'2025'!C:C,'2025'!A:A,"")</f>
        <v>45756.764583333003</v>
      </c>
      <c r="K615" s="6" t="str">
        <f>_xlfn.XLOOKUP(C615,'2025'!C:C,'2025'!B:B,"")</f>
        <v>No Selection Time Issued</v>
      </c>
      <c r="L615" s="19">
        <f t="shared" si="37"/>
        <v>45756.764583333003</v>
      </c>
      <c r="M615" s="16" cm="1">
        <f t="array" ref="M615">IFERROR(_xlfn.LET(
_xlpm.x,TRIM(C615),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5" s="16" t="b">
        <f t="shared" si="38"/>
        <v>0</v>
      </c>
    </row>
    <row r="616" spans="1:14" x14ac:dyDescent="0.25">
      <c r="A616" s="5" t="s">
        <v>693</v>
      </c>
      <c r="B616" s="16">
        <v>135</v>
      </c>
      <c r="C616" s="16" t="str">
        <v>Norton - 4</v>
      </c>
      <c r="D616" s="6" t="str">
        <f>_xlfn.XLOOKUP(C616,'2023'!C:C,'2023'!A:A,"")</f>
        <v/>
      </c>
      <c r="E616" s="6" t="str">
        <f>_xlfn.XLOOKUP(C616,'2023'!C:C,'2023'!B:B,"")</f>
        <v/>
      </c>
      <c r="F616" s="19" t="str">
        <f t="shared" si="39"/>
        <v/>
      </c>
      <c r="G616" s="6" t="str">
        <f>_xlfn.XLOOKUP(C616,'2024'!C:C,'2024'!A:A,"")</f>
        <v/>
      </c>
      <c r="H616" s="6" t="str">
        <f>_xlfn.XLOOKUP(C617,'2024'!C:C,'2024'!B:B,"")</f>
        <v/>
      </c>
      <c r="I616" s="19" t="str">
        <f t="shared" si="36"/>
        <v/>
      </c>
      <c r="J616" s="6">
        <f>_xlfn.XLOOKUP(C616,'2025'!C:C,'2025'!A:A,"")</f>
        <v>45756.760416666999</v>
      </c>
      <c r="K616" s="6" t="str">
        <f>_xlfn.XLOOKUP(C616,'2025'!C:C,'2025'!B:B,"")</f>
        <v>No Selection Time Issued</v>
      </c>
      <c r="L616" s="19">
        <f t="shared" si="37"/>
        <v>45756.760416666999</v>
      </c>
      <c r="M616" s="16" cm="1">
        <f t="array" ref="M616">IFERROR(_xlfn.LET(
_xlpm.x,TRIM(C616),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6" s="16" t="b">
        <f t="shared" si="38"/>
        <v>0</v>
      </c>
    </row>
    <row r="617" spans="1:14" x14ac:dyDescent="0.25">
      <c r="A617" s="5" t="s">
        <v>693</v>
      </c>
      <c r="B617" s="16">
        <v>135</v>
      </c>
      <c r="C617" s="16" t="str">
        <v>Norton - 5</v>
      </c>
      <c r="D617" s="6" t="str">
        <f>_xlfn.XLOOKUP(C617,'2023'!C:C,'2023'!A:A,"")</f>
        <v/>
      </c>
      <c r="E617" s="6" t="str">
        <f>_xlfn.XLOOKUP(C617,'2023'!C:C,'2023'!B:B,"")</f>
        <v/>
      </c>
      <c r="F617" s="19" t="str">
        <f t="shared" si="39"/>
        <v/>
      </c>
      <c r="G617" s="6" t="str">
        <f>_xlfn.XLOOKUP(C617,'2024'!C:C,'2024'!A:A,"")</f>
        <v/>
      </c>
      <c r="H617" s="6" t="str">
        <f>_xlfn.XLOOKUP(C618,'2024'!C:C,'2024'!B:B,"")</f>
        <v/>
      </c>
      <c r="I617" s="19" t="str">
        <f t="shared" si="36"/>
        <v/>
      </c>
      <c r="J617" s="6">
        <f>_xlfn.XLOOKUP(C617,'2025'!C:C,'2025'!A:A,"")</f>
        <v>45755.868750000001</v>
      </c>
      <c r="K617" s="6" t="str">
        <f>_xlfn.XLOOKUP(C617,'2025'!C:C,'2025'!B:B,"")</f>
        <v>No Selection Time Issued</v>
      </c>
      <c r="L617" s="19">
        <f t="shared" si="37"/>
        <v>45755.868750000001</v>
      </c>
      <c r="M617" s="16" cm="1">
        <f t="array" ref="M617">IFERROR(_xlfn.LET(
_xlpm.x,TRIM(C617),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7" s="16" t="b">
        <f t="shared" si="38"/>
        <v>0</v>
      </c>
    </row>
    <row r="618" spans="1:14" x14ac:dyDescent="0.25">
      <c r="A618" s="5" t="s">
        <v>487</v>
      </c>
      <c r="B618" s="16">
        <v>129</v>
      </c>
      <c r="C618" s="16" t="str">
        <v>Norton - 6</v>
      </c>
      <c r="D618" s="6" t="str">
        <f>_xlfn.XLOOKUP(C618,'2023'!C:C,'2023'!A:A,"")</f>
        <v/>
      </c>
      <c r="E618" s="6" t="str">
        <f>_xlfn.XLOOKUP(C618,'2023'!C:C,'2023'!B:B,"")</f>
        <v/>
      </c>
      <c r="F618" s="19" t="str">
        <f t="shared" si="39"/>
        <v/>
      </c>
      <c r="G618" s="6" t="str">
        <f>_xlfn.XLOOKUP(C618,'2024'!C:C,'2024'!A:A,"")</f>
        <v/>
      </c>
      <c r="H618" s="6">
        <f>_xlfn.XLOOKUP(C619,'2024'!C:C,'2024'!B:B,"")</f>
        <v>45393.708333333001</v>
      </c>
      <c r="I618" s="19">
        <f t="shared" si="36"/>
        <v>45393.708333333001</v>
      </c>
      <c r="J618" s="6">
        <f>_xlfn.XLOOKUP(C618,'2025'!C:C,'2025'!A:A,"")</f>
        <v>45756.779166667002</v>
      </c>
      <c r="K618" s="6" t="str">
        <f>_xlfn.XLOOKUP(C618,'2025'!C:C,'2025'!B:B,"")</f>
        <v>No Selection Time Issued</v>
      </c>
      <c r="L618" s="19">
        <f t="shared" si="37"/>
        <v>45756.779166667002</v>
      </c>
      <c r="M618" s="16" cm="1">
        <f t="array" ref="M618">IFERROR(_xlfn.LET(
_xlpm.x,TRIM(C618),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8" s="16" t="b">
        <f t="shared" si="38"/>
        <v>0</v>
      </c>
    </row>
    <row r="619" spans="1:14" x14ac:dyDescent="0.25">
      <c r="A619" s="5" t="s">
        <v>487</v>
      </c>
      <c r="B619" s="16">
        <v>135</v>
      </c>
      <c r="C619" s="16" t="str">
        <v>Norton - 7</v>
      </c>
      <c r="D619" s="6">
        <f>_xlfn.XLOOKUP(C619,'2023'!C:C,'2023'!A:A,"")</f>
        <v>45028.716666667002</v>
      </c>
      <c r="E619" s="6" t="str">
        <f>_xlfn.XLOOKUP(C619,'2023'!C:C,'2023'!B:B,"")</f>
        <v>No Selection Time Issued</v>
      </c>
      <c r="F619" s="19">
        <f t="shared" si="39"/>
        <v>45028.716666667002</v>
      </c>
      <c r="G619" s="6">
        <f>_xlfn.XLOOKUP(C619,'2024'!C:C,'2024'!A:A,"")</f>
        <v>45391.870833333</v>
      </c>
      <c r="H619" s="6" t="str">
        <f>_xlfn.XLOOKUP(C620,'2024'!C:C,'2024'!B:B,"")</f>
        <v>No Selection Time Issued</v>
      </c>
      <c r="I619" s="19">
        <f t="shared" si="36"/>
        <v>45391.870833333</v>
      </c>
      <c r="J619" s="6">
        <f>_xlfn.XLOOKUP(C619,'2025'!C:C,'2025'!A:A,"")</f>
        <v>45756.75</v>
      </c>
      <c r="K619" s="6" t="str">
        <f>_xlfn.XLOOKUP(C619,'2025'!C:C,'2025'!B:B,"")</f>
        <v>No Selection Time Issued</v>
      </c>
      <c r="L619" s="19">
        <f t="shared" si="37"/>
        <v>45756.75</v>
      </c>
      <c r="M619" s="16" cm="1">
        <f t="array" ref="M619">IFERROR(_xlfn.LET(
_xlpm.x,TRIM(C619),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19" s="16" t="b">
        <f t="shared" si="38"/>
        <v>0</v>
      </c>
    </row>
    <row r="620" spans="1:14" x14ac:dyDescent="0.25">
      <c r="A620" s="5" t="s">
        <v>487</v>
      </c>
      <c r="B620" s="16">
        <v>166</v>
      </c>
      <c r="C620" s="16" t="str">
        <v>Norton - 8</v>
      </c>
      <c r="D620" s="6" t="str">
        <f>_xlfn.XLOOKUP(C620,'2023'!C:C,'2023'!A:A,"")</f>
        <v/>
      </c>
      <c r="E620" s="6" t="str">
        <f>_xlfn.XLOOKUP(C620,'2023'!C:C,'2023'!B:B,"")</f>
        <v/>
      </c>
      <c r="F620" s="19" t="str">
        <f t="shared" si="39"/>
        <v/>
      </c>
      <c r="G620" s="6">
        <f>_xlfn.XLOOKUP(C620,'2024'!C:C,'2024'!A:A,"")</f>
        <v>45392.712500000001</v>
      </c>
      <c r="H620" s="6">
        <f>_xlfn.XLOOKUP(C621,'2024'!C:C,'2024'!B:B,"")</f>
        <v>45391.731249999997</v>
      </c>
      <c r="I620" s="19">
        <f t="shared" si="36"/>
        <v>45391.731249999997</v>
      </c>
      <c r="J620" s="6">
        <f>_xlfn.XLOOKUP(C620,'2025'!C:C,'2025'!A:A,"")</f>
        <v>45756.766666666997</v>
      </c>
      <c r="K620" s="6" t="str">
        <f>_xlfn.XLOOKUP(C620,'2025'!C:C,'2025'!B:B,"")</f>
        <v>No Selection Time Issued</v>
      </c>
      <c r="L620" s="19">
        <f t="shared" si="37"/>
        <v>45756.766666666997</v>
      </c>
      <c r="M620" s="16" cm="1">
        <f t="array" ref="M620">IFERROR(_xlfn.LET(
_xlpm.x,TRIM(C620),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0" s="16" t="b">
        <f t="shared" si="38"/>
        <v>0</v>
      </c>
    </row>
    <row r="621" spans="1:14" x14ac:dyDescent="0.25">
      <c r="A621" s="5" t="s">
        <v>191</v>
      </c>
      <c r="B621" s="16">
        <v>131</v>
      </c>
      <c r="C621" s="16" t="str">
        <v>Norton - 10</v>
      </c>
      <c r="D621" s="6" t="str">
        <f>_xlfn.XLOOKUP(C621,'2023'!C:C,'2023'!A:A,"")</f>
        <v/>
      </c>
      <c r="E621" s="6" t="str">
        <f>_xlfn.XLOOKUP(C621,'2023'!C:C,'2023'!B:B,"")</f>
        <v/>
      </c>
      <c r="F621" s="19" t="str">
        <f t="shared" si="39"/>
        <v/>
      </c>
      <c r="G621" s="6">
        <f>_xlfn.XLOOKUP(C621,'2024'!C:C,'2024'!A:A,"")</f>
        <v>45392.747916667002</v>
      </c>
      <c r="H621" s="6">
        <f>_xlfn.XLOOKUP(C622,'2024'!C:C,'2024'!B:B,"")</f>
        <v>45391.716666667002</v>
      </c>
      <c r="I621" s="19">
        <f t="shared" si="36"/>
        <v>45391.716666667002</v>
      </c>
      <c r="J621" s="6">
        <f>_xlfn.XLOOKUP(C621,'2025'!C:C,'2025'!A:A,"")</f>
        <v>45756.722916667</v>
      </c>
      <c r="K621" s="6" t="str">
        <f>_xlfn.XLOOKUP(C621,'2025'!C:C,'2025'!B:B,"")</f>
        <v>No Selection Time Issued</v>
      </c>
      <c r="L621" s="19">
        <f t="shared" si="37"/>
        <v>45756.722916667</v>
      </c>
      <c r="M621" s="16" cm="1">
        <f t="array" ref="M621">IFERROR(_xlfn.LET(
_xlpm.x,TRIM(C621),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1" s="16" t="b">
        <f t="shared" si="38"/>
        <v>0</v>
      </c>
    </row>
    <row r="622" spans="1:14" x14ac:dyDescent="0.25">
      <c r="A622" s="5" t="s">
        <v>191</v>
      </c>
      <c r="B622" s="16">
        <v>114</v>
      </c>
      <c r="C622" s="16" t="str">
        <v>Norton - 11</v>
      </c>
      <c r="D622" s="6" t="str">
        <f>_xlfn.XLOOKUP(C622,'2023'!C:C,'2023'!A:A,"")</f>
        <v/>
      </c>
      <c r="E622" s="6" t="str">
        <f>_xlfn.XLOOKUP(C622,'2023'!C:C,'2023'!B:B,"")</f>
        <v/>
      </c>
      <c r="F622" s="19" t="str">
        <f t="shared" si="39"/>
        <v/>
      </c>
      <c r="G622" s="6">
        <f>_xlfn.XLOOKUP(C622,'2024'!C:C,'2024'!A:A,"")</f>
        <v>45392.729166666999</v>
      </c>
      <c r="H622" s="6" t="str">
        <f>_xlfn.XLOOKUP(C623,'2024'!C:C,'2024'!B:B,"")</f>
        <v/>
      </c>
      <c r="I622" s="19">
        <f t="shared" si="36"/>
        <v>45392.729166666999</v>
      </c>
      <c r="J622" s="6" t="str">
        <f>_xlfn.XLOOKUP(C622,'2025'!C:C,'2025'!A:A,"")</f>
        <v/>
      </c>
      <c r="K622" s="6" t="str">
        <f>_xlfn.XLOOKUP(C622,'2025'!C:C,'2025'!B:B,"")</f>
        <v/>
      </c>
      <c r="L622" s="19" t="str">
        <f t="shared" si="37"/>
        <v/>
      </c>
      <c r="M622" s="16" cm="1">
        <f t="array" ref="M622">IFERROR(_xlfn.LET(
_xlpm.x,TRIM(C622),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2" s="16" t="b">
        <f t="shared" si="38"/>
        <v>0</v>
      </c>
    </row>
    <row r="623" spans="1:14" x14ac:dyDescent="0.25">
      <c r="A623" s="5" t="s">
        <v>191</v>
      </c>
      <c r="B623" s="16">
        <v>131</v>
      </c>
      <c r="C623" s="16" t="str">
        <v>Norton - 12</v>
      </c>
      <c r="D623" s="6">
        <f>_xlfn.XLOOKUP(C623,'2023'!C:C,'2023'!A:A,"")</f>
        <v>45028.724999999999</v>
      </c>
      <c r="E623" s="6">
        <f>_xlfn.XLOOKUP(C623,'2023'!C:C,'2023'!B:B,"")</f>
        <v>45027.712500000001</v>
      </c>
      <c r="F623" s="19">
        <f t="shared" si="39"/>
        <v>45027.712500000001</v>
      </c>
      <c r="G623" s="6" t="str">
        <f>_xlfn.XLOOKUP(C623,'2024'!C:C,'2024'!A:A,"")</f>
        <v/>
      </c>
      <c r="H623" s="6">
        <f>_xlfn.XLOOKUP(C624,'2024'!C:C,'2024'!B:B,"")</f>
        <v>45391.731249999997</v>
      </c>
      <c r="I623" s="19">
        <f t="shared" si="36"/>
        <v>45391.731249999997</v>
      </c>
      <c r="J623" s="6">
        <f>_xlfn.XLOOKUP(C623,'2025'!C:C,'2025'!A:A,"")</f>
        <v>45755.897916667003</v>
      </c>
      <c r="K623" s="6" t="str">
        <f>_xlfn.XLOOKUP(C623,'2025'!C:C,'2025'!B:B,"")</f>
        <v>No Selection Time Issued</v>
      </c>
      <c r="L623" s="19">
        <f t="shared" si="37"/>
        <v>45755.897916667003</v>
      </c>
      <c r="M623" s="16" cm="1">
        <f t="array" ref="M623">IFERROR(_xlfn.LET(
_xlpm.x,TRIM(C623),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3" s="16" t="b">
        <f t="shared" si="38"/>
        <v>0</v>
      </c>
    </row>
    <row r="624" spans="1:14" x14ac:dyDescent="0.25">
      <c r="A624" s="5" t="s">
        <v>764</v>
      </c>
      <c r="B624" s="16">
        <v>131</v>
      </c>
      <c r="C624" s="16" t="str">
        <v>Norton - 13</v>
      </c>
      <c r="D624" s="6" t="str">
        <f>_xlfn.XLOOKUP(C624,'2023'!C:C,'2023'!A:A,"")</f>
        <v/>
      </c>
      <c r="E624" s="6" t="str">
        <f>_xlfn.XLOOKUP(C624,'2023'!C:C,'2023'!B:B,"")</f>
        <v/>
      </c>
      <c r="F624" s="19" t="str">
        <f t="shared" si="39"/>
        <v/>
      </c>
      <c r="G624" s="6">
        <f>_xlfn.XLOOKUP(C624,'2024'!C:C,'2024'!A:A,"")</f>
        <v>45391.885416666999</v>
      </c>
      <c r="H624" s="6">
        <f>_xlfn.XLOOKUP(C625,'2024'!C:C,'2024'!B:B,"")</f>
        <v>45393.741666667003</v>
      </c>
      <c r="I624" s="19">
        <f t="shared" si="36"/>
        <v>45391.885416666999</v>
      </c>
      <c r="J624" s="6">
        <f>_xlfn.XLOOKUP(C624,'2025'!C:C,'2025'!A:A,"")</f>
        <v>45755.777083333</v>
      </c>
      <c r="K624" s="6" t="str">
        <f>_xlfn.XLOOKUP(C624,'2025'!C:C,'2025'!B:B,"")</f>
        <v>No Selection Time Issued</v>
      </c>
      <c r="L624" s="19">
        <f t="shared" si="37"/>
        <v>45755.777083333</v>
      </c>
      <c r="M624" s="16" cm="1">
        <f t="array" ref="M624">IFERROR(_xlfn.LET(
_xlpm.x,TRIM(C624),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4" s="16" t="b">
        <f t="shared" si="38"/>
        <v>0</v>
      </c>
    </row>
    <row r="625" spans="1:14" x14ac:dyDescent="0.25">
      <c r="A625" s="5" t="s">
        <v>764</v>
      </c>
      <c r="B625" s="16">
        <v>131</v>
      </c>
      <c r="C625" s="16" t="str">
        <v>Norton - 14</v>
      </c>
      <c r="D625" s="6" t="str">
        <f>_xlfn.XLOOKUP(C625,'2023'!C:C,'2023'!A:A,"")</f>
        <v/>
      </c>
      <c r="E625" s="6" t="str">
        <f>_xlfn.XLOOKUP(C625,'2023'!C:C,'2023'!B:B,"")</f>
        <v/>
      </c>
      <c r="F625" s="19" t="str">
        <f t="shared" si="39"/>
        <v/>
      </c>
      <c r="G625" s="6">
        <f>_xlfn.XLOOKUP(C625,'2024'!C:C,'2024'!A:A,"")</f>
        <v>45392.743750000001</v>
      </c>
      <c r="H625" s="6" t="str">
        <f>_xlfn.XLOOKUP(C626,'2024'!C:C,'2024'!B:B,"")</f>
        <v/>
      </c>
      <c r="I625" s="19">
        <f t="shared" si="36"/>
        <v>45392.743750000001</v>
      </c>
      <c r="J625" s="6">
        <f>_xlfn.XLOOKUP(C625,'2025'!C:C,'2025'!A:A,"")</f>
        <v>45756.766666666997</v>
      </c>
      <c r="K625" s="6" t="str">
        <f>_xlfn.XLOOKUP(C625,'2025'!C:C,'2025'!B:B,"")</f>
        <v>No Selection Time Issued</v>
      </c>
      <c r="L625" s="19">
        <f t="shared" si="37"/>
        <v>45756.766666666997</v>
      </c>
      <c r="M625" s="16" cm="1">
        <f t="array" ref="M625">IFERROR(_xlfn.LET(
_xlpm.x,TRIM(C625),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5" s="16" t="b">
        <f t="shared" si="38"/>
        <v>0</v>
      </c>
    </row>
    <row r="626" spans="1:14" x14ac:dyDescent="0.25">
      <c r="A626" s="5" t="s">
        <v>761</v>
      </c>
      <c r="B626" s="16">
        <v>139</v>
      </c>
      <c r="C626" s="16" t="str">
        <v>Norton - 15</v>
      </c>
      <c r="D626" s="6">
        <f>_xlfn.XLOOKUP(C626,'2023'!C:C,'2023'!A:A,"")</f>
        <v>45028.731249999997</v>
      </c>
      <c r="E626" s="6">
        <f>_xlfn.XLOOKUP(C626,'2023'!C:C,'2023'!B:B,"")</f>
        <v>45029.789583332997</v>
      </c>
      <c r="F626" s="19">
        <f t="shared" si="39"/>
        <v>45028.731249999997</v>
      </c>
      <c r="G626" s="6" t="str">
        <f>_xlfn.XLOOKUP(C626,'2024'!C:C,'2024'!A:A,"")</f>
        <v/>
      </c>
      <c r="H626" s="6">
        <f>_xlfn.XLOOKUP(C627,'2024'!C:C,'2024'!B:B,"")</f>
        <v>45393.708333333001</v>
      </c>
      <c r="I626" s="19">
        <f t="shared" si="36"/>
        <v>45393.708333333001</v>
      </c>
      <c r="J626" s="6">
        <f>_xlfn.XLOOKUP(C626,'2025'!C:C,'2025'!A:A,"")</f>
        <v>45755.779166667002</v>
      </c>
      <c r="K626" s="6" t="str">
        <f>_xlfn.XLOOKUP(C626,'2025'!C:C,'2025'!B:B,"")</f>
        <v>No Selection Time Issued</v>
      </c>
      <c r="L626" s="19">
        <f t="shared" si="37"/>
        <v>45755.779166667002</v>
      </c>
      <c r="M626" s="16" cm="1">
        <f t="array" ref="M626">IFERROR(_xlfn.LET(
_xlpm.x,TRIM(C626),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6" s="16" t="b">
        <f t="shared" si="38"/>
        <v>0</v>
      </c>
    </row>
    <row r="627" spans="1:14" x14ac:dyDescent="0.25">
      <c r="A627" s="5" t="s">
        <v>761</v>
      </c>
      <c r="B627" s="16">
        <v>131</v>
      </c>
      <c r="C627" s="16" t="str">
        <v>Norton - 16</v>
      </c>
      <c r="D627" s="6" t="str">
        <f>_xlfn.XLOOKUP(C627,'2023'!C:C,'2023'!A:A,"")</f>
        <v/>
      </c>
      <c r="E627" s="6" t="str">
        <f>_xlfn.XLOOKUP(C627,'2023'!C:C,'2023'!B:B,"")</f>
        <v/>
      </c>
      <c r="F627" s="19" t="str">
        <f t="shared" si="39"/>
        <v/>
      </c>
      <c r="G627" s="6">
        <f>_xlfn.XLOOKUP(C627,'2024'!C:C,'2024'!A:A,"")</f>
        <v>45391.814583332998</v>
      </c>
      <c r="H627" s="6" t="str">
        <f>_xlfn.XLOOKUP(C628,'2024'!C:C,'2024'!B:B,"")</f>
        <v/>
      </c>
      <c r="I627" s="19">
        <f t="shared" si="36"/>
        <v>45391.814583332998</v>
      </c>
      <c r="J627" s="6">
        <f>_xlfn.XLOOKUP(C627,'2025'!C:C,'2025'!A:A,"")</f>
        <v>45756.739583333001</v>
      </c>
      <c r="K627" s="6" t="str">
        <f>_xlfn.XLOOKUP(C627,'2025'!C:C,'2025'!B:B,"")</f>
        <v>No Selection Time Issued</v>
      </c>
      <c r="L627" s="19">
        <f t="shared" si="37"/>
        <v>45756.739583333001</v>
      </c>
      <c r="M627" s="16" cm="1">
        <f t="array" ref="M627">IFERROR(_xlfn.LET(
_xlpm.x,TRIM(C627),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7" s="16" t="b">
        <f t="shared" si="38"/>
        <v>0</v>
      </c>
    </row>
    <row r="628" spans="1:14" x14ac:dyDescent="0.25">
      <c r="A628" s="5" t="s">
        <v>763</v>
      </c>
      <c r="B628" s="16">
        <v>132</v>
      </c>
      <c r="C628" s="16" t="str">
        <v>Norton - 17</v>
      </c>
      <c r="D628" s="6" t="str">
        <f>_xlfn.XLOOKUP(C628,'2023'!C:C,'2023'!A:A,"")</f>
        <v/>
      </c>
      <c r="E628" s="6" t="str">
        <f>_xlfn.XLOOKUP(C628,'2023'!C:C,'2023'!B:B,"")</f>
        <v/>
      </c>
      <c r="F628" s="19" t="str">
        <f t="shared" si="39"/>
        <v/>
      </c>
      <c r="G628" s="6" t="str">
        <f>_xlfn.XLOOKUP(C628,'2024'!C:C,'2024'!A:A,"")</f>
        <v/>
      </c>
      <c r="H628" s="6">
        <f>_xlfn.XLOOKUP(C629,'2024'!C:C,'2024'!B:B,"")</f>
        <v>45392.845833332998</v>
      </c>
      <c r="I628" s="19">
        <f t="shared" si="36"/>
        <v>45392.845833332998</v>
      </c>
      <c r="J628" s="6">
        <f>_xlfn.XLOOKUP(C628,'2025'!C:C,'2025'!A:A,"")</f>
        <v>45756.741666667003</v>
      </c>
      <c r="K628" s="6" t="str">
        <f>_xlfn.XLOOKUP(C628,'2025'!C:C,'2025'!B:B,"")</f>
        <v>No Selection Time Issued</v>
      </c>
      <c r="L628" s="19">
        <f t="shared" si="37"/>
        <v>45756.741666667003</v>
      </c>
      <c r="M628" s="16" cm="1">
        <f t="array" ref="M628">IFERROR(_xlfn.LET(
_xlpm.x,TRIM(C628),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8" s="16" t="b">
        <f t="shared" si="38"/>
        <v>0</v>
      </c>
    </row>
    <row r="629" spans="1:14" x14ac:dyDescent="0.25">
      <c r="A629" s="5" t="s">
        <v>763</v>
      </c>
      <c r="B629" s="16">
        <v>132</v>
      </c>
      <c r="C629" s="16" t="str">
        <v>Norton - 18</v>
      </c>
      <c r="D629" s="6" t="str">
        <f>_xlfn.XLOOKUP(C629,'2023'!C:C,'2023'!A:A,"")</f>
        <v/>
      </c>
      <c r="E629" s="6" t="str">
        <f>_xlfn.XLOOKUP(C629,'2023'!C:C,'2023'!B:B,"")</f>
        <v/>
      </c>
      <c r="F629" s="19" t="str">
        <f t="shared" si="39"/>
        <v/>
      </c>
      <c r="G629" s="6">
        <f>_xlfn.XLOOKUP(C629,'2024'!C:C,'2024'!A:A,"")</f>
        <v>45392.731249999997</v>
      </c>
      <c r="H629" s="6">
        <f>_xlfn.XLOOKUP(C630,'2024'!C:C,'2024'!B:B,"")</f>
        <v>45391.71875</v>
      </c>
      <c r="I629" s="19">
        <f t="shared" si="36"/>
        <v>45391.71875</v>
      </c>
      <c r="J629" s="6">
        <f>_xlfn.XLOOKUP(C629,'2025'!C:C,'2025'!A:A,"")</f>
        <v>45756.777083333</v>
      </c>
      <c r="K629" s="6" t="str">
        <f>_xlfn.XLOOKUP(C629,'2025'!C:C,'2025'!B:B,"")</f>
        <v>No Selection Time Issued</v>
      </c>
      <c r="L629" s="19">
        <f t="shared" si="37"/>
        <v>45756.777083333</v>
      </c>
      <c r="M629" s="16" cm="1">
        <f t="array" ref="M629">IFERROR(_xlfn.LET(
_xlpm.x,TRIM(C629),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29" s="16" t="b">
        <f t="shared" si="38"/>
        <v>0</v>
      </c>
    </row>
    <row r="630" spans="1:14" x14ac:dyDescent="0.25">
      <c r="A630" s="5" t="s">
        <v>730</v>
      </c>
      <c r="B630" s="16">
        <v>137</v>
      </c>
      <c r="C630" s="16" t="str">
        <v>Norton - 19</v>
      </c>
      <c r="D630" s="6" t="str">
        <f>_xlfn.XLOOKUP(C630,'2023'!C:C,'2023'!A:A,"")</f>
        <v/>
      </c>
      <c r="E630" s="6" t="str">
        <f>_xlfn.XLOOKUP(C630,'2023'!C:C,'2023'!B:B,"")</f>
        <v/>
      </c>
      <c r="F630" s="19" t="str">
        <f t="shared" si="39"/>
        <v/>
      </c>
      <c r="G630" s="6">
        <f>_xlfn.XLOOKUP(C630,'2024'!C:C,'2024'!A:A,"")</f>
        <v>45392.729166666999</v>
      </c>
      <c r="H630" s="6">
        <f>_xlfn.XLOOKUP(C631,'2024'!C:C,'2024'!B:B,"")</f>
        <v>45393.770833333001</v>
      </c>
      <c r="I630" s="19">
        <f t="shared" si="36"/>
        <v>45392.729166666999</v>
      </c>
      <c r="J630" s="6" t="str">
        <f>_xlfn.XLOOKUP(C630,'2025'!C:C,'2025'!A:A,"")</f>
        <v/>
      </c>
      <c r="K630" s="6" t="str">
        <f>_xlfn.XLOOKUP(C630,'2025'!C:C,'2025'!B:B,"")</f>
        <v/>
      </c>
      <c r="L630" s="19" t="str">
        <f t="shared" si="37"/>
        <v/>
      </c>
      <c r="M630" s="16" cm="1">
        <f t="array" ref="M630">IFERROR(_xlfn.LET(
_xlpm.x,TRIM(C630),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0" s="16" t="b">
        <f t="shared" si="38"/>
        <v>0</v>
      </c>
    </row>
    <row r="631" spans="1:14" x14ac:dyDescent="0.25">
      <c r="A631" s="5" t="s">
        <v>730</v>
      </c>
      <c r="B631" s="16">
        <v>131</v>
      </c>
      <c r="C631" s="16" t="str">
        <v>Norton - 20</v>
      </c>
      <c r="D631" s="6" t="str">
        <f>_xlfn.XLOOKUP(C631,'2023'!C:C,'2023'!A:A,"")</f>
        <v/>
      </c>
      <c r="E631" s="6" t="str">
        <f>_xlfn.XLOOKUP(C631,'2023'!C:C,'2023'!B:B,"")</f>
        <v/>
      </c>
      <c r="F631" s="19" t="str">
        <f t="shared" si="39"/>
        <v/>
      </c>
      <c r="G631" s="6">
        <f>_xlfn.XLOOKUP(C631,'2024'!C:C,'2024'!A:A,"")</f>
        <v>45392.737500000003</v>
      </c>
      <c r="H631" s="6">
        <f>_xlfn.XLOOKUP(C632,'2024'!C:C,'2024'!B:B,"")</f>
        <v>45391.720833332998</v>
      </c>
      <c r="I631" s="19">
        <f t="shared" si="36"/>
        <v>45391.720833332998</v>
      </c>
      <c r="J631" s="6">
        <f>_xlfn.XLOOKUP(C631,'2025'!C:C,'2025'!A:A,"")</f>
        <v>45755.881249999999</v>
      </c>
      <c r="K631" s="6" t="str">
        <f>_xlfn.XLOOKUP(C631,'2025'!C:C,'2025'!B:B,"")</f>
        <v>No Selection Time Issued</v>
      </c>
      <c r="L631" s="19">
        <f t="shared" si="37"/>
        <v>45755.881249999999</v>
      </c>
      <c r="M631" s="16" cm="1">
        <f t="array" ref="M631">IFERROR(_xlfn.LET(
_xlpm.x,TRIM(C631),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1" s="16" t="b">
        <f t="shared" si="38"/>
        <v>0</v>
      </c>
    </row>
    <row r="632" spans="1:14" x14ac:dyDescent="0.25">
      <c r="A632" s="5" t="s">
        <v>133</v>
      </c>
      <c r="B632" s="16">
        <v>128</v>
      </c>
      <c r="C632" s="16" t="str">
        <v>Norton - 21</v>
      </c>
      <c r="D632" s="6" t="str">
        <f>_xlfn.XLOOKUP(C632,'2023'!C:C,'2023'!A:A,"")</f>
        <v/>
      </c>
      <c r="E632" s="6" t="str">
        <f>_xlfn.XLOOKUP(C632,'2023'!C:C,'2023'!B:B,"")</f>
        <v/>
      </c>
      <c r="F632" s="19" t="str">
        <f t="shared" si="39"/>
        <v/>
      </c>
      <c r="G632" s="6">
        <f>_xlfn.XLOOKUP(C632,'2024'!C:C,'2024'!A:A,"")</f>
        <v>45392.727083332997</v>
      </c>
      <c r="H632" s="6" t="str">
        <f>_xlfn.XLOOKUP(C633,'2024'!C:C,'2024'!B:B,"")</f>
        <v/>
      </c>
      <c r="I632" s="19">
        <f t="shared" si="36"/>
        <v>45392.727083332997</v>
      </c>
      <c r="J632" s="6">
        <f>_xlfn.XLOOKUP(C632,'2025'!C:C,'2025'!A:A,"")</f>
        <v>45756.739583333001</v>
      </c>
      <c r="K632" s="6" t="str">
        <f>_xlfn.XLOOKUP(C632,'2025'!C:C,'2025'!B:B,"")</f>
        <v>No Selection Time Issued</v>
      </c>
      <c r="L632" s="19">
        <f t="shared" si="37"/>
        <v>45756.739583333001</v>
      </c>
      <c r="M632" s="16" cm="1">
        <f t="array" ref="M632">IFERROR(_xlfn.LET(
_xlpm.x,TRIM(C632),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2" s="16" t="b">
        <f t="shared" si="38"/>
        <v>0</v>
      </c>
    </row>
    <row r="633" spans="1:14" x14ac:dyDescent="0.25">
      <c r="A633" s="5" t="s">
        <v>133</v>
      </c>
      <c r="B633" s="16">
        <v>131</v>
      </c>
      <c r="C633" s="16" t="str">
        <v>Norton - 22</v>
      </c>
      <c r="D633" s="6" t="str">
        <f>_xlfn.XLOOKUP(C633,'2023'!C:C,'2023'!A:A,"")</f>
        <v/>
      </c>
      <c r="E633" s="6" t="str">
        <f>_xlfn.XLOOKUP(C633,'2023'!C:C,'2023'!B:B,"")</f>
        <v/>
      </c>
      <c r="F633" s="19" t="str">
        <f t="shared" si="39"/>
        <v/>
      </c>
      <c r="G633" s="6" t="str">
        <f>_xlfn.XLOOKUP(C633,'2024'!C:C,'2024'!A:A,"")</f>
        <v/>
      </c>
      <c r="H633" s="6" t="str">
        <f>_xlfn.XLOOKUP(C634,'2024'!C:C,'2024'!B:B,"")</f>
        <v/>
      </c>
      <c r="I633" s="19" t="str">
        <f t="shared" si="36"/>
        <v/>
      </c>
      <c r="J633" s="6">
        <f>_xlfn.XLOOKUP(C633,'2025'!C:C,'2025'!A:A,"")</f>
        <v>45755.881249999999</v>
      </c>
      <c r="K633" s="6" t="str">
        <f>_xlfn.XLOOKUP(C633,'2025'!C:C,'2025'!B:B,"")</f>
        <v>No Selection Time Issued</v>
      </c>
      <c r="L633" s="19">
        <f t="shared" si="37"/>
        <v>45755.881249999999</v>
      </c>
      <c r="M633" s="16" cm="1">
        <f t="array" ref="M633">IFERROR(_xlfn.LET(
_xlpm.x,TRIM(C633),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3" s="16" t="b">
        <f t="shared" si="38"/>
        <v>0</v>
      </c>
    </row>
    <row r="634" spans="1:14" x14ac:dyDescent="0.25">
      <c r="A634" s="5" t="s">
        <v>133</v>
      </c>
      <c r="B634" s="16">
        <v>129</v>
      </c>
      <c r="C634" s="16" t="str">
        <v>Norton - 23</v>
      </c>
      <c r="D634" s="6" t="str">
        <f>_xlfn.XLOOKUP(C634,'2023'!C:C,'2023'!A:A,"")</f>
        <v/>
      </c>
      <c r="E634" s="6" t="str">
        <f>_xlfn.XLOOKUP(C634,'2023'!C:C,'2023'!B:B,"")</f>
        <v/>
      </c>
      <c r="F634" s="19" t="str">
        <f t="shared" si="39"/>
        <v/>
      </c>
      <c r="G634" s="6" t="str">
        <f>_xlfn.XLOOKUP(C634,'2024'!C:C,'2024'!A:A,"")</f>
        <v/>
      </c>
      <c r="H634" s="6">
        <f>_xlfn.XLOOKUP(C635,'2024'!C:C,'2024'!B:B,"")</f>
        <v>45392.800000000003</v>
      </c>
      <c r="I634" s="19">
        <f t="shared" si="36"/>
        <v>45392.800000000003</v>
      </c>
      <c r="J634" s="6">
        <f>_xlfn.XLOOKUP(C634,'2025'!C:C,'2025'!A:A,"")</f>
        <v>45756.760416666999</v>
      </c>
      <c r="K634" s="6" t="str">
        <f>_xlfn.XLOOKUP(C634,'2025'!C:C,'2025'!B:B,"")</f>
        <v>No Selection Time Issued</v>
      </c>
      <c r="L634" s="19">
        <f t="shared" si="37"/>
        <v>45756.760416666999</v>
      </c>
      <c r="M634" s="16" cm="1">
        <f t="array" ref="M634">IFERROR(_xlfn.LET(
_xlpm.x,TRIM(C634),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4" s="16" t="b">
        <f t="shared" si="38"/>
        <v>0</v>
      </c>
    </row>
    <row r="635" spans="1:14" x14ac:dyDescent="0.25">
      <c r="A635" s="5" t="s">
        <v>322</v>
      </c>
      <c r="B635" s="16">
        <v>123</v>
      </c>
      <c r="C635" s="16" t="str">
        <v>Norton - 24</v>
      </c>
      <c r="D635" s="6">
        <f>_xlfn.XLOOKUP(C635,'2023'!C:C,'2023'!A:A,"")</f>
        <v>45027.879166667</v>
      </c>
      <c r="E635" s="6">
        <f>_xlfn.XLOOKUP(C635,'2023'!C:C,'2023'!B:B,"")</f>
        <v>45027.737500000003</v>
      </c>
      <c r="F635" s="19">
        <f t="shared" si="39"/>
        <v>45027.737500000003</v>
      </c>
      <c r="G635" s="6">
        <f>_xlfn.XLOOKUP(C635,'2024'!C:C,'2024'!A:A,"")</f>
        <v>45391.822916666999</v>
      </c>
      <c r="H635" s="6" t="str">
        <f>_xlfn.XLOOKUP(C636,'2024'!C:C,'2024'!B:B,"")</f>
        <v/>
      </c>
      <c r="I635" s="19">
        <f t="shared" si="36"/>
        <v>45391.822916666999</v>
      </c>
      <c r="J635" s="6" t="str">
        <f>_xlfn.XLOOKUP(C635,'2025'!C:C,'2025'!A:A,"")</f>
        <v/>
      </c>
      <c r="K635" s="6" t="str">
        <f>_xlfn.XLOOKUP(C635,'2025'!C:C,'2025'!B:B,"")</f>
        <v/>
      </c>
      <c r="L635" s="19" t="str">
        <f t="shared" si="37"/>
        <v/>
      </c>
      <c r="M635" s="16" cm="1">
        <f t="array" ref="M635">IFERROR(_xlfn.LET(
_xlpm.x,TRIM(C635),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5" s="16" t="b">
        <f t="shared" si="38"/>
        <v>0</v>
      </c>
    </row>
    <row r="636" spans="1:14" x14ac:dyDescent="0.25">
      <c r="A636" s="5" t="s">
        <v>322</v>
      </c>
      <c r="B636" s="16">
        <v>118</v>
      </c>
      <c r="C636" s="16" t="str">
        <v>Norton - 25</v>
      </c>
      <c r="D636" s="6">
        <f>_xlfn.XLOOKUP(C636,'2023'!C:C,'2023'!A:A,"")</f>
        <v>45027.897916667003</v>
      </c>
      <c r="E636" s="6">
        <f>_xlfn.XLOOKUP(C636,'2023'!C:C,'2023'!B:B,"")</f>
        <v>45027.733333333003</v>
      </c>
      <c r="F636" s="19">
        <f t="shared" si="39"/>
        <v>45027.733333333003</v>
      </c>
      <c r="G636" s="6" t="str">
        <f>_xlfn.XLOOKUP(C636,'2024'!C:C,'2024'!A:A,"")</f>
        <v/>
      </c>
      <c r="H636" s="6" t="str">
        <f>_xlfn.XLOOKUP(C637,'2024'!C:C,'2024'!B:B,"")</f>
        <v/>
      </c>
      <c r="I636" s="19" t="str">
        <f t="shared" si="36"/>
        <v/>
      </c>
      <c r="J636" s="6" t="str">
        <f>_xlfn.XLOOKUP(C636,'2025'!C:C,'2025'!A:A,"")</f>
        <v/>
      </c>
      <c r="K636" s="6" t="str">
        <f>_xlfn.XLOOKUP(C636,'2025'!C:C,'2025'!B:B,"")</f>
        <v/>
      </c>
      <c r="L636" s="19" t="str">
        <f t="shared" si="37"/>
        <v/>
      </c>
      <c r="M636" s="16" cm="1">
        <f t="array" ref="M636">IFERROR(_xlfn.LET(
_xlpm.x,TRIM(C636),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6" s="16" t="b">
        <f t="shared" si="38"/>
        <v>0</v>
      </c>
    </row>
    <row r="637" spans="1:14" x14ac:dyDescent="0.25">
      <c r="A637" s="5" t="s">
        <v>322</v>
      </c>
      <c r="B637" s="16">
        <v>135</v>
      </c>
      <c r="C637" s="16" t="str">
        <v>Norton - 26</v>
      </c>
      <c r="D637" s="6">
        <f>_xlfn.XLOOKUP(C637,'2023'!C:C,'2023'!A:A,"")</f>
        <v>45028.724999999999</v>
      </c>
      <c r="E637" s="6">
        <f>_xlfn.XLOOKUP(C637,'2023'!C:C,'2023'!B:B,"")</f>
        <v>45029.727083332997</v>
      </c>
      <c r="F637" s="19">
        <f t="shared" si="39"/>
        <v>45028.724999999999</v>
      </c>
      <c r="G637" s="6" t="str">
        <f>_xlfn.XLOOKUP(C637,'2024'!C:C,'2024'!A:A,"")</f>
        <v/>
      </c>
      <c r="H637" s="6">
        <f>_xlfn.XLOOKUP(C638,'2024'!C:C,'2024'!B:B,"")</f>
        <v>45391.724999999999</v>
      </c>
      <c r="I637" s="19">
        <f t="shared" si="36"/>
        <v>45391.724999999999</v>
      </c>
      <c r="J637" s="6" t="str">
        <f>_xlfn.XLOOKUP(C637,'2025'!C:C,'2025'!A:A,"")</f>
        <v/>
      </c>
      <c r="K637" s="6" t="str">
        <f>_xlfn.XLOOKUP(C637,'2025'!C:C,'2025'!B:B,"")</f>
        <v/>
      </c>
      <c r="L637" s="19" t="str">
        <f t="shared" si="37"/>
        <v/>
      </c>
      <c r="M637" s="16" cm="1">
        <f t="array" ref="M637">IFERROR(_xlfn.LET(
_xlpm.x,TRIM(C637),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7" s="16" t="b">
        <f t="shared" si="38"/>
        <v>0</v>
      </c>
    </row>
    <row r="638" spans="1:14" x14ac:dyDescent="0.25">
      <c r="A638" s="5" t="s">
        <v>436</v>
      </c>
      <c r="B638" s="16">
        <v>135</v>
      </c>
      <c r="C638" s="16" t="str">
        <v>Norton - 27</v>
      </c>
      <c r="D638" s="6">
        <f>_xlfn.XLOOKUP(C638,'2023'!C:C,'2023'!A:A,"")</f>
        <v>45028.720833332998</v>
      </c>
      <c r="E638" s="6">
        <f>_xlfn.XLOOKUP(C638,'2023'!C:C,'2023'!B:B,"")</f>
        <v>45028.731249999997</v>
      </c>
      <c r="F638" s="19">
        <f t="shared" si="39"/>
        <v>45028.720833332998</v>
      </c>
      <c r="G638" s="6">
        <f>_xlfn.XLOOKUP(C638,'2024'!C:C,'2024'!A:A,"")</f>
        <v>45392.708333333001</v>
      </c>
      <c r="H638" s="6" t="str">
        <f>_xlfn.XLOOKUP(C639,'2024'!C:C,'2024'!B:B,"")</f>
        <v/>
      </c>
      <c r="I638" s="19">
        <f t="shared" si="36"/>
        <v>45392.708333333001</v>
      </c>
      <c r="J638" s="6">
        <f>_xlfn.XLOOKUP(C638,'2025'!C:C,'2025'!A:A,"")</f>
        <v>45756.735416666997</v>
      </c>
      <c r="K638" s="6" t="str">
        <f>_xlfn.XLOOKUP(C638,'2025'!C:C,'2025'!B:B,"")</f>
        <v>No Selection Time Issued</v>
      </c>
      <c r="L638" s="19">
        <f t="shared" si="37"/>
        <v>45756.735416666997</v>
      </c>
      <c r="M638" s="16" cm="1">
        <f t="array" ref="M638">IFERROR(_xlfn.LET(
_xlpm.x,TRIM(C638),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8" s="16" t="b">
        <f t="shared" si="38"/>
        <v>0</v>
      </c>
    </row>
    <row r="639" spans="1:14" x14ac:dyDescent="0.25">
      <c r="A639" s="5" t="s">
        <v>436</v>
      </c>
      <c r="B639" s="16">
        <v>135</v>
      </c>
      <c r="C639" s="16" t="str">
        <v>Norton - 28</v>
      </c>
      <c r="D639" s="6" t="str">
        <f>_xlfn.XLOOKUP(C639,'2023'!C:C,'2023'!A:A,"")</f>
        <v/>
      </c>
      <c r="E639" s="6" t="str">
        <f>_xlfn.XLOOKUP(C639,'2023'!C:C,'2023'!B:B,"")</f>
        <v/>
      </c>
      <c r="F639" s="19" t="str">
        <f t="shared" si="39"/>
        <v/>
      </c>
      <c r="G639" s="6" t="str">
        <f>_xlfn.XLOOKUP(C639,'2024'!C:C,'2024'!A:A,"")</f>
        <v/>
      </c>
      <c r="H639" s="6">
        <f>_xlfn.XLOOKUP(C640,'2024'!C:C,'2024'!B:B,"")</f>
        <v>45393.779166667002</v>
      </c>
      <c r="I639" s="19">
        <f t="shared" si="36"/>
        <v>45393.779166667002</v>
      </c>
      <c r="J639" s="6">
        <f>_xlfn.XLOOKUP(C639,'2025'!C:C,'2025'!A:A,"")</f>
        <v>45755.9</v>
      </c>
      <c r="K639" s="6" t="str">
        <f>_xlfn.XLOOKUP(C639,'2025'!C:C,'2025'!B:B,"")</f>
        <v>No Selection Time Issued</v>
      </c>
      <c r="L639" s="19">
        <f t="shared" si="37"/>
        <v>45755.9</v>
      </c>
      <c r="M639" s="16" cm="1">
        <f t="array" ref="M639">IFERROR(_xlfn.LET(
_xlpm.x,TRIM(C639),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39" s="16" t="b">
        <f t="shared" si="38"/>
        <v>0</v>
      </c>
    </row>
    <row r="640" spans="1:14" x14ac:dyDescent="0.25">
      <c r="A640" s="5" t="s">
        <v>436</v>
      </c>
      <c r="B640" s="16">
        <v>129</v>
      </c>
      <c r="C640" s="16" t="str">
        <v>Norton - 29</v>
      </c>
      <c r="D640" s="6">
        <f>_xlfn.XLOOKUP(C640,'2023'!C:C,'2023'!A:A,"")</f>
        <v>45027.889583333003</v>
      </c>
      <c r="E640" s="6" t="str">
        <f>_xlfn.XLOOKUP(C640,'2023'!C:C,'2023'!B:B,"")</f>
        <v>No Selection Time Issued</v>
      </c>
      <c r="F640" s="19">
        <f t="shared" si="39"/>
        <v>45027.889583333003</v>
      </c>
      <c r="G640" s="6">
        <f>_xlfn.XLOOKUP(C640,'2024'!C:C,'2024'!A:A,"")</f>
        <v>45391.789583332997</v>
      </c>
      <c r="H640" s="6" t="str">
        <f>_xlfn.XLOOKUP(C641,'2024'!C:C,'2024'!B:B,"")</f>
        <v/>
      </c>
      <c r="I640" s="19">
        <f t="shared" si="36"/>
        <v>45391.789583332997</v>
      </c>
      <c r="J640" s="6">
        <f>_xlfn.XLOOKUP(C640,'2025'!C:C,'2025'!A:A,"")</f>
        <v>45756.71875</v>
      </c>
      <c r="K640" s="6" t="str">
        <f>_xlfn.XLOOKUP(C640,'2025'!C:C,'2025'!B:B,"")</f>
        <v>No Selection Time Issued</v>
      </c>
      <c r="L640" s="19">
        <f t="shared" si="37"/>
        <v>45756.71875</v>
      </c>
      <c r="M640" s="16" cm="1">
        <f t="array" ref="M640">IFERROR(_xlfn.LET(
_xlpm.x,TRIM(C640),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0" s="16" t="b">
        <f t="shared" si="38"/>
        <v>0</v>
      </c>
    </row>
    <row r="641" spans="1:14" x14ac:dyDescent="0.25">
      <c r="A641" s="5" t="s">
        <v>656</v>
      </c>
      <c r="B641" s="16">
        <v>135</v>
      </c>
      <c r="C641" s="16" t="str">
        <v>Norton - 30</v>
      </c>
      <c r="D641" s="6">
        <f>_xlfn.XLOOKUP(C641,'2023'!C:C,'2023'!A:A,"")</f>
        <v>45028.727083332997</v>
      </c>
      <c r="E641" s="6">
        <f>_xlfn.XLOOKUP(C641,'2023'!C:C,'2023'!B:B,"")</f>
        <v>45027.716666667002</v>
      </c>
      <c r="F641" s="19">
        <f t="shared" si="39"/>
        <v>45027.716666667002</v>
      </c>
      <c r="G641" s="6" t="str">
        <f>_xlfn.XLOOKUP(C641,'2024'!C:C,'2024'!A:A,"")</f>
        <v/>
      </c>
      <c r="H641" s="6">
        <f>_xlfn.XLOOKUP(C642,'2024'!C:C,'2024'!B:B,"")</f>
        <v>45392.727083332997</v>
      </c>
      <c r="I641" s="19">
        <f t="shared" si="36"/>
        <v>45392.727083332997</v>
      </c>
      <c r="J641" s="6" t="str">
        <f>_xlfn.XLOOKUP(C641,'2025'!C:C,'2025'!A:A,"")</f>
        <v/>
      </c>
      <c r="K641" s="6" t="str">
        <f>_xlfn.XLOOKUP(C641,'2025'!C:C,'2025'!B:B,"")</f>
        <v/>
      </c>
      <c r="L641" s="19" t="str">
        <f t="shared" si="37"/>
        <v/>
      </c>
      <c r="M641" s="16" cm="1">
        <f t="array" ref="M641">IFERROR(_xlfn.LET(
_xlpm.x,TRIM(C641),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1" s="16" t="b">
        <f t="shared" si="38"/>
        <v>0</v>
      </c>
    </row>
    <row r="642" spans="1:14" x14ac:dyDescent="0.25">
      <c r="A642" s="5" t="s">
        <v>656</v>
      </c>
      <c r="B642" s="16">
        <v>149</v>
      </c>
      <c r="C642" s="16" t="str">
        <v>Norton - 31</v>
      </c>
      <c r="D642" s="6" t="str">
        <f>_xlfn.XLOOKUP(C642,'2023'!C:C,'2023'!A:A,"")</f>
        <v/>
      </c>
      <c r="E642" s="6" t="str">
        <f>_xlfn.XLOOKUP(C642,'2023'!C:C,'2023'!B:B,"")</f>
        <v/>
      </c>
      <c r="F642" s="19" t="str">
        <f t="shared" si="39"/>
        <v/>
      </c>
      <c r="G642" s="6">
        <f>_xlfn.XLOOKUP(C642,'2024'!C:C,'2024'!A:A,"")</f>
        <v>45391.835416667003</v>
      </c>
      <c r="H642" s="6" t="str">
        <f>_xlfn.XLOOKUP(C643,'2024'!C:C,'2024'!B:B,"")</f>
        <v/>
      </c>
      <c r="I642" s="19">
        <f t="shared" ref="I642:I705" si="40">_xlfn.LET(
_xlpm.ind,G642,
_xlpm.grp,H642,
IF(AND(NOT(ISNUMBER(_xlpm.ind)),NOT(ISNUMBER(_xlpm.grp))),"",
MIN(IF(ISNUMBER(_xlpm.ind),_xlpm.ind,1E+99),IF(ISNUMBER(_xlpm.grp),_xlpm.grp,1E+99))
)
)</f>
        <v>45391.835416667003</v>
      </c>
      <c r="J642" s="6" t="str">
        <f>_xlfn.XLOOKUP(C642,'2025'!C:C,'2025'!A:A,"")</f>
        <v/>
      </c>
      <c r="K642" s="6" t="str">
        <f>_xlfn.XLOOKUP(C642,'2025'!C:C,'2025'!B:B,"")</f>
        <v/>
      </c>
      <c r="L642" s="19" t="str">
        <f t="shared" ref="L642:L705" si="41">_xlfn.LET(_xlpm.ind,J642,_xlpm.grp,K642,IF(AND(NOT(ISNUMBER(_xlpm.ind)),NOT(ISNUMBER(_xlpm.grp))),"",MIN(IF(ISNUMBER(_xlpm.ind),_xlpm.ind,1E+99),IF(ISNUMBER(_xlpm.grp),_xlpm.grp,1E+99))))</f>
        <v/>
      </c>
      <c r="M642" s="16" cm="1">
        <f t="array" ref="M642">IFERROR(_xlfn.LET(
_xlpm.x,TRIM(C642),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2" s="16" t="b">
        <f t="shared" ref="N642:N705" si="42">OR(_xlfn.TEXTBEFORE(C642," - ")="Blaisdell",_xlfn.TEXTBEFORE(C642," - ")="Mudd",_xlfn.TEXTBEFORE(C642," - ")="Dialynas",_xlfn.TEXTBEFORE(C642," - ")="Sontag")</f>
        <v>0</v>
      </c>
    </row>
    <row r="643" spans="1:14" x14ac:dyDescent="0.25">
      <c r="A643" s="5" t="s">
        <v>656</v>
      </c>
      <c r="B643" s="16">
        <v>133</v>
      </c>
      <c r="C643" s="16" t="str">
        <v>Norton - 32</v>
      </c>
      <c r="D643" s="6" t="str">
        <f>_xlfn.XLOOKUP(C643,'2023'!C:C,'2023'!A:A,"")</f>
        <v/>
      </c>
      <c r="E643" s="6" t="str">
        <f>_xlfn.XLOOKUP(C643,'2023'!C:C,'2023'!B:B,"")</f>
        <v/>
      </c>
      <c r="F643" s="19" t="str">
        <f t="shared" ref="F643:F706" si="43">_xlfn.LET(
_xlpm.ind,D643,
_xlpm.grp,E643,
IF(AND(NOT(ISNUMBER(_xlpm.ind)),NOT(ISNUMBER(_xlpm.grp))),"",
MIN(IF(ISNUMBER(_xlpm.ind),_xlpm.ind,1E+99),IF(ISNUMBER(_xlpm.grp),_xlpm.grp,1E+99))
)
)</f>
        <v/>
      </c>
      <c r="G643" s="6" t="str">
        <f>_xlfn.XLOOKUP(C643,'2024'!C:C,'2024'!A:A,"")</f>
        <v/>
      </c>
      <c r="H643" s="6" t="str">
        <f>_xlfn.XLOOKUP(C644,'2024'!C:C,'2024'!B:B,"")</f>
        <v/>
      </c>
      <c r="I643" s="19" t="str">
        <f t="shared" si="40"/>
        <v/>
      </c>
      <c r="J643" s="6">
        <f>_xlfn.XLOOKUP(C643,'2025'!C:C,'2025'!A:A,"")</f>
        <v>45755.90625</v>
      </c>
      <c r="K643" s="6" t="str">
        <f>_xlfn.XLOOKUP(C643,'2025'!C:C,'2025'!B:B,"")</f>
        <v>No Selection Time Issued</v>
      </c>
      <c r="L643" s="19">
        <f t="shared" si="41"/>
        <v>45755.90625</v>
      </c>
      <c r="M643" s="16" cm="1">
        <f t="array" ref="M643">IFERROR(_xlfn.LET(
_xlpm.x,TRIM(C643),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3" s="16" t="b">
        <f t="shared" si="42"/>
        <v>0</v>
      </c>
    </row>
    <row r="644" spans="1:14" x14ac:dyDescent="0.25">
      <c r="A644" s="5" t="s">
        <v>196</v>
      </c>
      <c r="B644" s="16">
        <v>132</v>
      </c>
      <c r="C644" s="16" t="str">
        <v>Norton - 33</v>
      </c>
      <c r="D644" s="6" t="str">
        <f>_xlfn.XLOOKUP(C644,'2023'!C:C,'2023'!A:A,"")</f>
        <v/>
      </c>
      <c r="E644" s="6" t="str">
        <f>_xlfn.XLOOKUP(C644,'2023'!C:C,'2023'!B:B,"")</f>
        <v/>
      </c>
      <c r="F644" s="19" t="str">
        <f t="shared" si="43"/>
        <v/>
      </c>
      <c r="G644" s="6" t="str">
        <f>_xlfn.XLOOKUP(C644,'2024'!C:C,'2024'!A:A,"")</f>
        <v/>
      </c>
      <c r="H644" s="6">
        <f>_xlfn.XLOOKUP(C645,'2024'!C:C,'2024'!B:B,"")</f>
        <v>45391.729166666999</v>
      </c>
      <c r="I644" s="19">
        <f t="shared" si="40"/>
        <v>45391.729166666999</v>
      </c>
      <c r="J644" s="6">
        <f>_xlfn.XLOOKUP(C644,'2025'!C:C,'2025'!A:A,"")</f>
        <v>45755.722916667</v>
      </c>
      <c r="K644" s="6" t="str">
        <f>_xlfn.XLOOKUP(C644,'2025'!C:C,'2025'!B:B,"")</f>
        <v>No Selection Time Issued</v>
      </c>
      <c r="L644" s="19">
        <f t="shared" si="41"/>
        <v>45755.722916667</v>
      </c>
      <c r="M644" s="16" cm="1">
        <f t="array" ref="M644">IFERROR(_xlfn.LET(
_xlpm.x,TRIM(C644),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4" s="16" t="b">
        <f t="shared" si="42"/>
        <v>0</v>
      </c>
    </row>
    <row r="645" spans="1:14" x14ac:dyDescent="0.25">
      <c r="A645" s="5" t="s">
        <v>196</v>
      </c>
      <c r="B645" s="16">
        <v>132</v>
      </c>
      <c r="C645" s="16" t="str">
        <v>Norton - 34</v>
      </c>
      <c r="D645" s="6" t="str">
        <f>_xlfn.XLOOKUP(C645,'2023'!C:C,'2023'!A:A,"")</f>
        <v/>
      </c>
      <c r="E645" s="6" t="str">
        <f>_xlfn.XLOOKUP(C645,'2023'!C:C,'2023'!B:B,"")</f>
        <v/>
      </c>
      <c r="F645" s="19" t="str">
        <f t="shared" si="43"/>
        <v/>
      </c>
      <c r="G645" s="6">
        <f>_xlfn.XLOOKUP(C645,'2024'!C:C,'2024'!A:A,"")</f>
        <v>45392.745833333</v>
      </c>
      <c r="H645" s="6">
        <f>_xlfn.XLOOKUP(C646,'2024'!C:C,'2024'!B:B,"")</f>
        <v>45391.716666667002</v>
      </c>
      <c r="I645" s="19">
        <f t="shared" si="40"/>
        <v>45391.716666667002</v>
      </c>
      <c r="J645" s="6" t="str">
        <f>_xlfn.XLOOKUP(C645,'2025'!C:C,'2025'!A:A,"")</f>
        <v/>
      </c>
      <c r="K645" s="6" t="str">
        <f>_xlfn.XLOOKUP(C645,'2025'!C:C,'2025'!B:B,"")</f>
        <v/>
      </c>
      <c r="L645" s="19" t="str">
        <f t="shared" si="41"/>
        <v/>
      </c>
      <c r="M645" s="16" cm="1">
        <f t="array" ref="M645">IFERROR(_xlfn.LET(
_xlpm.x,TRIM(C645),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5" s="16" t="b">
        <f t="shared" si="42"/>
        <v>0</v>
      </c>
    </row>
    <row r="646" spans="1:14" x14ac:dyDescent="0.25">
      <c r="A646" s="5" t="s">
        <v>196</v>
      </c>
      <c r="B646" s="16">
        <v>118</v>
      </c>
      <c r="C646" s="16" t="str">
        <v>Smiley - 101</v>
      </c>
      <c r="D646" s="6">
        <f>_xlfn.XLOOKUP(C646,'2023'!C:C,'2023'!A:A,"")</f>
        <v>45028.772916667003</v>
      </c>
      <c r="E646" s="6">
        <f>_xlfn.XLOOKUP(C646,'2023'!C:C,'2023'!B:B,"")</f>
        <v>45028.733333333003</v>
      </c>
      <c r="F646" s="19">
        <f t="shared" si="43"/>
        <v>45028.733333333003</v>
      </c>
      <c r="G646" s="6">
        <f>_xlfn.XLOOKUP(C646,'2024'!C:C,'2024'!A:A,"")</f>
        <v>45392.793749999997</v>
      </c>
      <c r="H646" s="6">
        <f>_xlfn.XLOOKUP(C647,'2024'!C:C,'2024'!B:B,"")</f>
        <v>45391.708333333001</v>
      </c>
      <c r="I646" s="19">
        <f t="shared" si="40"/>
        <v>45391.708333333001</v>
      </c>
      <c r="J646" s="6">
        <f>_xlfn.XLOOKUP(C646,'2025'!C:C,'2025'!A:A,"")</f>
        <v>45756.827083333003</v>
      </c>
      <c r="K646" s="6" t="str">
        <f>_xlfn.XLOOKUP(C646,'2025'!C:C,'2025'!B:B,"")</f>
        <v>No Selection Time Issued</v>
      </c>
      <c r="L646" s="19">
        <f t="shared" si="41"/>
        <v>45756.827083333003</v>
      </c>
      <c r="M646" s="16" cm="1">
        <f t="array" ref="M646">IFERROR(_xlfn.LET(
_xlpm.x,TRIM(C646),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6" s="16" t="b">
        <f t="shared" si="42"/>
        <v>0</v>
      </c>
    </row>
    <row r="647" spans="1:14" x14ac:dyDescent="0.25">
      <c r="A647" s="5" t="s">
        <v>543</v>
      </c>
      <c r="B647" s="16">
        <v>138</v>
      </c>
      <c r="C647" s="16" t="str">
        <v>Smiley - 102</v>
      </c>
      <c r="D647" s="6">
        <f>_xlfn.XLOOKUP(C647,'2023'!C:C,'2023'!A:A,"")</f>
        <v>45028.78125</v>
      </c>
      <c r="E647" s="6">
        <f>_xlfn.XLOOKUP(C647,'2023'!C:C,'2023'!B:B,"")</f>
        <v>45029.710416667003</v>
      </c>
      <c r="F647" s="19">
        <f t="shared" si="43"/>
        <v>45028.78125</v>
      </c>
      <c r="G647" s="6">
        <f>_xlfn.XLOOKUP(C647,'2024'!C:C,'2024'!A:A,"")</f>
        <v>45392.766666666997</v>
      </c>
      <c r="H647" s="6">
        <f>_xlfn.XLOOKUP(C648,'2024'!C:C,'2024'!B:B,"")</f>
        <v>45393.785416667</v>
      </c>
      <c r="I647" s="19">
        <f t="shared" si="40"/>
        <v>45392.766666666997</v>
      </c>
      <c r="J647" s="6">
        <f>_xlfn.XLOOKUP(C647,'2025'!C:C,'2025'!A:A,"")</f>
        <v>45756.820833332997</v>
      </c>
      <c r="K647" s="6" t="str">
        <f>_xlfn.XLOOKUP(C647,'2025'!C:C,'2025'!B:B,"")</f>
        <v>No Selection Time Issued</v>
      </c>
      <c r="L647" s="19">
        <f t="shared" si="41"/>
        <v>45756.820833332997</v>
      </c>
      <c r="M647" s="16" cm="1">
        <f t="array" ref="M647">IFERROR(_xlfn.LET(
_xlpm.x,TRIM(C647),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7" s="16" t="b">
        <f t="shared" si="42"/>
        <v>0</v>
      </c>
    </row>
    <row r="648" spans="1:14" x14ac:dyDescent="0.25">
      <c r="A648" s="5" t="s">
        <v>543</v>
      </c>
      <c r="B648" s="16">
        <v>121</v>
      </c>
      <c r="C648" s="16" t="str">
        <v>Smiley - 103</v>
      </c>
      <c r="D648" s="6">
        <f>_xlfn.XLOOKUP(C648,'2023'!C:C,'2023'!A:A,"")</f>
        <v>45028.743750000001</v>
      </c>
      <c r="E648" s="6">
        <f>_xlfn.XLOOKUP(C648,'2023'!C:C,'2023'!B:B,"")</f>
        <v>45027.764583333003</v>
      </c>
      <c r="F648" s="19">
        <f t="shared" si="43"/>
        <v>45027.764583333003</v>
      </c>
      <c r="G648" s="6">
        <f>_xlfn.XLOOKUP(C648,'2024'!C:C,'2024'!A:A,"")</f>
        <v>45392.772916667003</v>
      </c>
      <c r="H648" s="6">
        <f>_xlfn.XLOOKUP(C649,'2024'!C:C,'2024'!B:B,"")</f>
        <v>45393.720833332998</v>
      </c>
      <c r="I648" s="19">
        <f t="shared" si="40"/>
        <v>45392.772916667003</v>
      </c>
      <c r="J648" s="6">
        <f>_xlfn.XLOOKUP(C648,'2025'!C:C,'2025'!A:A,"")</f>
        <v>45756.824999999997</v>
      </c>
      <c r="K648" s="6" t="str">
        <f>_xlfn.XLOOKUP(C648,'2025'!C:C,'2025'!B:B,"")</f>
        <v>No Selection Time Issued</v>
      </c>
      <c r="L648" s="19">
        <f t="shared" si="41"/>
        <v>45756.824999999997</v>
      </c>
      <c r="M648" s="16" cm="1">
        <f t="array" ref="M648">IFERROR(_xlfn.LET(
_xlpm.x,TRIM(C648),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8" s="16" t="b">
        <f t="shared" si="42"/>
        <v>0</v>
      </c>
    </row>
    <row r="649" spans="1:14" x14ac:dyDescent="0.25">
      <c r="A649" s="5" t="s">
        <v>543</v>
      </c>
      <c r="B649" s="16">
        <v>147</v>
      </c>
      <c r="C649" s="16" t="str">
        <v>Smiley - 104</v>
      </c>
      <c r="D649" s="6">
        <f>_xlfn.XLOOKUP(C649,'2023'!C:C,'2023'!A:A,"")</f>
        <v>45028.768750000003</v>
      </c>
      <c r="E649" s="6">
        <f>_xlfn.XLOOKUP(C649,'2023'!C:C,'2023'!B:B,"")</f>
        <v>45027.720833332998</v>
      </c>
      <c r="F649" s="19">
        <f t="shared" si="43"/>
        <v>45027.720833332998</v>
      </c>
      <c r="G649" s="6">
        <f>_xlfn.XLOOKUP(C649,'2024'!C:C,'2024'!A:A,"")</f>
        <v>45392.739583333001</v>
      </c>
      <c r="H649" s="6">
        <f>_xlfn.XLOOKUP(C650,'2024'!C:C,'2024'!B:B,"")</f>
        <v>45392.739583333001</v>
      </c>
      <c r="I649" s="19">
        <f t="shared" si="40"/>
        <v>45392.739583333001</v>
      </c>
      <c r="J649" s="6">
        <f>_xlfn.XLOOKUP(C649,'2025'!C:C,'2025'!A:A,"")</f>
        <v>45756.785416667</v>
      </c>
      <c r="K649" s="6" t="str">
        <f>_xlfn.XLOOKUP(C649,'2025'!C:C,'2025'!B:B,"")</f>
        <v>No Selection Time Issued</v>
      </c>
      <c r="L649" s="19">
        <f t="shared" si="41"/>
        <v>45756.785416667</v>
      </c>
      <c r="M649" s="16" cm="1">
        <f t="array" ref="M649">IFERROR(_xlfn.LET(
_xlpm.x,TRIM(C649),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49" s="16" t="b">
        <f t="shared" si="42"/>
        <v>0</v>
      </c>
    </row>
    <row r="650" spans="1:14" x14ac:dyDescent="0.25">
      <c r="A650" s="5" t="s">
        <v>336</v>
      </c>
      <c r="B650" s="16">
        <v>133</v>
      </c>
      <c r="C650" s="16" t="str">
        <v>Smiley - 105</v>
      </c>
      <c r="D650" s="6">
        <f>_xlfn.XLOOKUP(C650,'2023'!C:C,'2023'!A:A,"")</f>
        <v>45028.745833333</v>
      </c>
      <c r="E650" s="6" t="str">
        <f>_xlfn.XLOOKUP(C650,'2023'!C:C,'2023'!B:B,"")</f>
        <v>No Selection Time Issued</v>
      </c>
      <c r="F650" s="19">
        <f t="shared" si="43"/>
        <v>45028.745833333</v>
      </c>
      <c r="G650" s="6">
        <f>_xlfn.XLOOKUP(C650,'2024'!C:C,'2024'!A:A,"")</f>
        <v>45392.766666666997</v>
      </c>
      <c r="H650" s="6">
        <f>_xlfn.XLOOKUP(C651,'2024'!C:C,'2024'!B:B,"")</f>
        <v>45391.85</v>
      </c>
      <c r="I650" s="19">
        <f t="shared" si="40"/>
        <v>45391.85</v>
      </c>
      <c r="J650" s="6">
        <f>_xlfn.XLOOKUP(C650,'2025'!C:C,'2025'!A:A,"")</f>
        <v>45756.78125</v>
      </c>
      <c r="K650" s="6" t="str">
        <f>_xlfn.XLOOKUP(C650,'2025'!C:C,'2025'!B:B,"")</f>
        <v>No Selection Time Issued</v>
      </c>
      <c r="L650" s="19">
        <f t="shared" si="41"/>
        <v>45756.78125</v>
      </c>
      <c r="M650" s="16" cm="1">
        <f t="array" ref="M650">IFERROR(_xlfn.LET(
_xlpm.x,TRIM(C650),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0" s="16" t="b">
        <f t="shared" si="42"/>
        <v>0</v>
      </c>
    </row>
    <row r="651" spans="1:14" x14ac:dyDescent="0.25">
      <c r="A651" s="5" t="s">
        <v>336</v>
      </c>
      <c r="B651" s="16">
        <v>136</v>
      </c>
      <c r="C651" s="16" t="str">
        <v>Smiley - 106</v>
      </c>
      <c r="D651" s="6">
        <f>_xlfn.XLOOKUP(C651,'2023'!C:C,'2023'!A:A,"")</f>
        <v>45028.733333333003</v>
      </c>
      <c r="E651" s="6" t="str">
        <f>_xlfn.XLOOKUP(C651,'2023'!C:C,'2023'!B:B,"")</f>
        <v>No Selection Time Issued</v>
      </c>
      <c r="F651" s="19">
        <f t="shared" si="43"/>
        <v>45028.733333333003</v>
      </c>
      <c r="G651" s="6">
        <f>_xlfn.XLOOKUP(C651,'2024'!C:C,'2024'!A:A,"")</f>
        <v>45392.762499999997</v>
      </c>
      <c r="H651" s="6">
        <f>_xlfn.XLOOKUP(C652,'2024'!C:C,'2024'!B:B,"")</f>
        <v>45393.731249999997</v>
      </c>
      <c r="I651" s="19">
        <f t="shared" si="40"/>
        <v>45392.762499999997</v>
      </c>
      <c r="J651" s="6">
        <f>_xlfn.XLOOKUP(C651,'2025'!C:C,'2025'!A:A,"")</f>
        <v>45756.797916666997</v>
      </c>
      <c r="K651" s="6" t="str">
        <f>_xlfn.XLOOKUP(C651,'2025'!C:C,'2025'!B:B,"")</f>
        <v>No Selection Time Issued</v>
      </c>
      <c r="L651" s="19">
        <f t="shared" si="41"/>
        <v>45756.797916666997</v>
      </c>
      <c r="M651" s="16" cm="1">
        <f t="array" ref="M651">IFERROR(_xlfn.LET(
_xlpm.x,TRIM(C651),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1" s="16" t="b">
        <f t="shared" si="42"/>
        <v>0</v>
      </c>
    </row>
    <row r="652" spans="1:14" x14ac:dyDescent="0.25">
      <c r="A652" s="5" t="s">
        <v>336</v>
      </c>
      <c r="B652" s="16">
        <v>119</v>
      </c>
      <c r="C652" s="16" t="str">
        <v>Smiley - 107</v>
      </c>
      <c r="D652" s="6">
        <f>_xlfn.XLOOKUP(C652,'2023'!C:C,'2023'!A:A,"")</f>
        <v>45028.789583332997</v>
      </c>
      <c r="E652" s="6">
        <f>_xlfn.XLOOKUP(C652,'2023'!C:C,'2023'!B:B,"")</f>
        <v>45027.743750000001</v>
      </c>
      <c r="F652" s="19">
        <f t="shared" si="43"/>
        <v>45027.743750000001</v>
      </c>
      <c r="G652" s="6">
        <f>_xlfn.XLOOKUP(C652,'2024'!C:C,'2024'!A:A,"")</f>
        <v>45392.772916667003</v>
      </c>
      <c r="H652" s="6">
        <f>_xlfn.XLOOKUP(C653,'2024'!C:C,'2024'!B:B,"")</f>
        <v>45391.745833333</v>
      </c>
      <c r="I652" s="19">
        <f t="shared" si="40"/>
        <v>45391.745833333</v>
      </c>
      <c r="J652" s="6">
        <f>_xlfn.XLOOKUP(C652,'2025'!C:C,'2025'!A:A,"")</f>
        <v>45756.839583333</v>
      </c>
      <c r="K652" s="6" t="str">
        <f>_xlfn.XLOOKUP(C652,'2025'!C:C,'2025'!B:B,"")</f>
        <v>No Selection Time Issued</v>
      </c>
      <c r="L652" s="19">
        <f t="shared" si="41"/>
        <v>45756.839583333</v>
      </c>
      <c r="M652" s="16" cm="1">
        <f t="array" ref="M652">IFERROR(_xlfn.LET(
_xlpm.x,TRIM(C652),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2" s="16" t="b">
        <f t="shared" si="42"/>
        <v>0</v>
      </c>
    </row>
    <row r="653" spans="1:14" x14ac:dyDescent="0.25">
      <c r="A653" s="5" t="s">
        <v>428</v>
      </c>
      <c r="B653" s="16">
        <v>129</v>
      </c>
      <c r="C653" s="16" t="str">
        <v>Smiley - 108</v>
      </c>
      <c r="D653" s="6">
        <f>_xlfn.XLOOKUP(C653,'2023'!C:C,'2023'!A:A,"")</f>
        <v>45028.779166667002</v>
      </c>
      <c r="E653" s="6" t="str">
        <f>_xlfn.XLOOKUP(C653,'2023'!C:C,'2023'!B:B,"")</f>
        <v>No Selection Time Issued</v>
      </c>
      <c r="F653" s="19">
        <f t="shared" si="43"/>
        <v>45028.779166667002</v>
      </c>
      <c r="G653" s="6">
        <f>_xlfn.XLOOKUP(C653,'2024'!C:C,'2024'!A:A,"")</f>
        <v>45392.787499999999</v>
      </c>
      <c r="H653" s="6">
        <f>_xlfn.XLOOKUP(C654,'2024'!C:C,'2024'!B:B,"")</f>
        <v>45392.800000000003</v>
      </c>
      <c r="I653" s="19">
        <f t="shared" si="40"/>
        <v>45392.787499999999</v>
      </c>
      <c r="J653" s="6">
        <f>_xlfn.XLOOKUP(C653,'2025'!C:C,'2025'!A:A,"")</f>
        <v>45756.816666667</v>
      </c>
      <c r="K653" s="6" t="str">
        <f>_xlfn.XLOOKUP(C653,'2025'!C:C,'2025'!B:B,"")</f>
        <v>No Selection Time Issued</v>
      </c>
      <c r="L653" s="19">
        <f t="shared" si="41"/>
        <v>45756.816666667</v>
      </c>
      <c r="M653" s="16" cm="1">
        <f t="array" ref="M653">IFERROR(_xlfn.LET(
_xlpm.x,TRIM(C653),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3" s="16" t="b">
        <f t="shared" si="42"/>
        <v>0</v>
      </c>
    </row>
    <row r="654" spans="1:14" x14ac:dyDescent="0.25">
      <c r="A654" s="5" t="s">
        <v>428</v>
      </c>
      <c r="B654" s="16">
        <v>136</v>
      </c>
      <c r="C654" s="16" t="str">
        <v>Smiley - 109</v>
      </c>
      <c r="D654" s="6">
        <f>_xlfn.XLOOKUP(C654,'2023'!C:C,'2023'!A:A,"")</f>
        <v>45028.766666666997</v>
      </c>
      <c r="E654" s="6">
        <f>_xlfn.XLOOKUP(C654,'2023'!C:C,'2023'!B:B,"")</f>
        <v>45029.716666667002</v>
      </c>
      <c r="F654" s="19">
        <f t="shared" si="43"/>
        <v>45028.766666666997</v>
      </c>
      <c r="G654" s="6">
        <f>_xlfn.XLOOKUP(C654,'2024'!C:C,'2024'!A:A,"")</f>
        <v>45392.733333333003</v>
      </c>
      <c r="H654" s="6">
        <f>_xlfn.XLOOKUP(C655,'2024'!C:C,'2024'!B:B,"")</f>
        <v>45391.722916667</v>
      </c>
      <c r="I654" s="19">
        <f t="shared" si="40"/>
        <v>45391.722916667</v>
      </c>
      <c r="J654" s="6">
        <f>_xlfn.XLOOKUP(C654,'2025'!C:C,'2025'!A:A,"")</f>
        <v>45756.787499999999</v>
      </c>
      <c r="K654" s="6" t="str">
        <f>_xlfn.XLOOKUP(C654,'2025'!C:C,'2025'!B:B,"")</f>
        <v>No Selection Time Issued</v>
      </c>
      <c r="L654" s="19">
        <f t="shared" si="41"/>
        <v>45756.787499999999</v>
      </c>
      <c r="M654" s="16" cm="1">
        <f t="array" ref="M654">IFERROR(_xlfn.LET(
_xlpm.x,TRIM(C654),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4" s="16" t="b">
        <f t="shared" si="42"/>
        <v>0</v>
      </c>
    </row>
    <row r="655" spans="1:14" x14ac:dyDescent="0.25">
      <c r="A655" s="5" t="s">
        <v>428</v>
      </c>
      <c r="B655" s="16">
        <v>128</v>
      </c>
      <c r="C655" s="16" t="str">
        <v>Smiley - 110</v>
      </c>
      <c r="D655" s="6">
        <f>_xlfn.XLOOKUP(C655,'2023'!C:C,'2023'!A:A,"")</f>
        <v>45028.783333332998</v>
      </c>
      <c r="E655" s="6" t="str">
        <f>_xlfn.XLOOKUP(C655,'2023'!C:C,'2023'!B:B,"")</f>
        <v>No Selection Time Issued</v>
      </c>
      <c r="F655" s="19">
        <f t="shared" si="43"/>
        <v>45028.783333332998</v>
      </c>
      <c r="G655" s="6">
        <f>_xlfn.XLOOKUP(C655,'2024'!C:C,'2024'!A:A,"")</f>
        <v>45392.779166667002</v>
      </c>
      <c r="H655" s="6">
        <f>_xlfn.XLOOKUP(C656,'2024'!C:C,'2024'!B:B,"")</f>
        <v>45391.772916667003</v>
      </c>
      <c r="I655" s="19">
        <f t="shared" si="40"/>
        <v>45391.772916667003</v>
      </c>
      <c r="J655" s="6">
        <f>_xlfn.XLOOKUP(C655,'2025'!C:C,'2025'!A:A,"")</f>
        <v>45756.802083333001</v>
      </c>
      <c r="K655" s="6" t="str">
        <f>_xlfn.XLOOKUP(C655,'2025'!C:C,'2025'!B:B,"")</f>
        <v>No Selection Time Issued</v>
      </c>
      <c r="L655" s="19">
        <f t="shared" si="41"/>
        <v>45756.802083333001</v>
      </c>
      <c r="M655" s="16" cm="1">
        <f t="array" ref="M655">IFERROR(_xlfn.LET(
_xlpm.x,TRIM(C655),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5" s="16" t="b">
        <f t="shared" si="42"/>
        <v>0</v>
      </c>
    </row>
    <row r="656" spans="1:14" x14ac:dyDescent="0.25">
      <c r="A656" s="5" t="s">
        <v>496</v>
      </c>
      <c r="B656" s="16">
        <v>122</v>
      </c>
      <c r="C656" s="16" t="str">
        <v>Smiley - 111</v>
      </c>
      <c r="D656" s="6">
        <f>_xlfn.XLOOKUP(C656,'2023'!C:C,'2023'!A:A,"")</f>
        <v>45028.764583333003</v>
      </c>
      <c r="E656" s="6">
        <f>_xlfn.XLOOKUP(C656,'2023'!C:C,'2023'!B:B,"")</f>
        <v>45027.745833333</v>
      </c>
      <c r="F656" s="19">
        <f t="shared" si="43"/>
        <v>45027.745833333</v>
      </c>
      <c r="G656" s="6">
        <f>_xlfn.XLOOKUP(C656,'2024'!C:C,'2024'!A:A,"")</f>
        <v>45392.764583333003</v>
      </c>
      <c r="H656" s="6">
        <f>_xlfn.XLOOKUP(C657,'2024'!C:C,'2024'!B:B,"")</f>
        <v>45391.814583332998</v>
      </c>
      <c r="I656" s="19">
        <f t="shared" si="40"/>
        <v>45391.814583332998</v>
      </c>
      <c r="J656" s="6">
        <f>_xlfn.XLOOKUP(C656,'2025'!C:C,'2025'!A:A,"")</f>
        <v>45756.837500000001</v>
      </c>
      <c r="K656" s="6" t="str">
        <f>_xlfn.XLOOKUP(C656,'2025'!C:C,'2025'!B:B,"")</f>
        <v>No Selection Time Issued</v>
      </c>
      <c r="L656" s="19">
        <f t="shared" si="41"/>
        <v>45756.837500000001</v>
      </c>
      <c r="M656" s="16" cm="1">
        <f t="array" ref="M656">IFERROR(_xlfn.LET(
_xlpm.x,TRIM(C656),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6" s="16" t="b">
        <f t="shared" si="42"/>
        <v>0</v>
      </c>
    </row>
    <row r="657" spans="1:14" x14ac:dyDescent="0.25">
      <c r="A657" s="5" t="s">
        <v>496</v>
      </c>
      <c r="B657" s="16">
        <v>126</v>
      </c>
      <c r="C657" s="16" t="str">
        <v>Smiley - 112</v>
      </c>
      <c r="D657" s="6">
        <f>_xlfn.XLOOKUP(C657,'2023'!C:C,'2023'!A:A,"")</f>
        <v>45028.783333332998</v>
      </c>
      <c r="E657" s="6">
        <f>_xlfn.XLOOKUP(C657,'2023'!C:C,'2023'!B:B,"")</f>
        <v>45027.733333333003</v>
      </c>
      <c r="F657" s="19">
        <f t="shared" si="43"/>
        <v>45027.733333333003</v>
      </c>
      <c r="G657" s="6">
        <f>_xlfn.XLOOKUP(C657,'2024'!C:C,'2024'!A:A,"")</f>
        <v>45392.789583332997</v>
      </c>
      <c r="H657" s="6">
        <f>_xlfn.XLOOKUP(C658,'2024'!C:C,'2024'!B:B,"")</f>
        <v>45391.743750000001</v>
      </c>
      <c r="I657" s="19">
        <f t="shared" si="40"/>
        <v>45391.743750000001</v>
      </c>
      <c r="J657" s="6">
        <f>_xlfn.XLOOKUP(C657,'2025'!C:C,'2025'!A:A,"")</f>
        <v>45756.8125</v>
      </c>
      <c r="K657" s="6" t="str">
        <f>_xlfn.XLOOKUP(C657,'2025'!C:C,'2025'!B:B,"")</f>
        <v>No Selection Time Issued</v>
      </c>
      <c r="L657" s="19">
        <f t="shared" si="41"/>
        <v>45756.8125</v>
      </c>
      <c r="M657" s="16" cm="1">
        <f t="array" ref="M657">IFERROR(_xlfn.LET(
_xlpm.x,TRIM(C657),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7" s="16" t="b">
        <f t="shared" si="42"/>
        <v>0</v>
      </c>
    </row>
    <row r="658" spans="1:14" x14ac:dyDescent="0.25">
      <c r="A658" s="5" t="s">
        <v>496</v>
      </c>
      <c r="B658" s="16">
        <v>132</v>
      </c>
      <c r="C658" s="16" t="str">
        <v>Smiley - 113</v>
      </c>
      <c r="D658" s="6">
        <f>_xlfn.XLOOKUP(C658,'2023'!C:C,'2023'!A:A,"")</f>
        <v>45028.783333332998</v>
      </c>
      <c r="E658" s="6">
        <f>_xlfn.XLOOKUP(C658,'2023'!C:C,'2023'!B:B,"")</f>
        <v>45027.729166666999</v>
      </c>
      <c r="F658" s="19">
        <f t="shared" si="43"/>
        <v>45027.729166666999</v>
      </c>
      <c r="G658" s="6">
        <f>_xlfn.XLOOKUP(C658,'2024'!C:C,'2024'!A:A,"")</f>
        <v>45392.722916667</v>
      </c>
      <c r="H658" s="6">
        <f>_xlfn.XLOOKUP(C659,'2024'!C:C,'2024'!B:B,"")</f>
        <v>45391.720833332998</v>
      </c>
      <c r="I658" s="19">
        <f t="shared" si="40"/>
        <v>45391.720833332998</v>
      </c>
      <c r="J658" s="6">
        <f>_xlfn.XLOOKUP(C658,'2025'!C:C,'2025'!A:A,"")</f>
        <v>45756.814583332998</v>
      </c>
      <c r="K658" s="6" t="str">
        <f>_xlfn.XLOOKUP(C658,'2025'!C:C,'2025'!B:B,"")</f>
        <v>No Selection Time Issued</v>
      </c>
      <c r="L658" s="19">
        <f t="shared" si="41"/>
        <v>45756.814583332998</v>
      </c>
      <c r="M658" s="16" cm="1">
        <f t="array" ref="M658">IFERROR(_xlfn.LET(
_xlpm.x,TRIM(C658),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8" s="16" t="b">
        <f t="shared" si="42"/>
        <v>0</v>
      </c>
    </row>
    <row r="659" spans="1:14" x14ac:dyDescent="0.25">
      <c r="A659" s="5" t="s">
        <v>567</v>
      </c>
      <c r="B659" s="16">
        <v>127</v>
      </c>
      <c r="C659" s="16" t="str">
        <v>Smiley - 114</v>
      </c>
      <c r="D659" s="6">
        <f>_xlfn.XLOOKUP(C659,'2023'!C:C,'2023'!A:A,"")</f>
        <v>45028.766666666997</v>
      </c>
      <c r="E659" s="6" t="str">
        <f>_xlfn.XLOOKUP(C659,'2023'!C:C,'2023'!B:B,"")</f>
        <v>No Selection Time Issued</v>
      </c>
      <c r="F659" s="19">
        <f t="shared" si="43"/>
        <v>45028.766666666997</v>
      </c>
      <c r="G659" s="6">
        <f>_xlfn.XLOOKUP(C659,'2024'!C:C,'2024'!A:A,"")</f>
        <v>45392.789583332997</v>
      </c>
      <c r="H659" s="6">
        <f>_xlfn.XLOOKUP(C660,'2024'!C:C,'2024'!B:B,"")</f>
        <v>45391.775000000001</v>
      </c>
      <c r="I659" s="19">
        <f t="shared" si="40"/>
        <v>45391.775000000001</v>
      </c>
      <c r="J659" s="6">
        <f>_xlfn.XLOOKUP(C659,'2025'!C:C,'2025'!A:A,"")</f>
        <v>45756.793749999997</v>
      </c>
      <c r="K659" s="6" t="str">
        <f>_xlfn.XLOOKUP(C659,'2025'!C:C,'2025'!B:B,"")</f>
        <v>No Selection Time Issued</v>
      </c>
      <c r="L659" s="19">
        <f t="shared" si="41"/>
        <v>45756.793749999997</v>
      </c>
      <c r="M659" s="16" cm="1">
        <f t="array" ref="M659">IFERROR(_xlfn.LET(
_xlpm.x,TRIM(C659),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59" s="16" t="b">
        <f t="shared" si="42"/>
        <v>0</v>
      </c>
    </row>
    <row r="660" spans="1:14" x14ac:dyDescent="0.25">
      <c r="A660" s="5" t="s">
        <v>567</v>
      </c>
      <c r="B660" s="16">
        <v>127</v>
      </c>
      <c r="C660" s="16" t="str">
        <v>Smiley - 115</v>
      </c>
      <c r="D660" s="6">
        <f>_xlfn.XLOOKUP(C660,'2023'!C:C,'2023'!A:A,"")</f>
        <v>45028.747916667002</v>
      </c>
      <c r="E660" s="6">
        <f>_xlfn.XLOOKUP(C660,'2023'!C:C,'2023'!B:B,"")</f>
        <v>45029.789583332997</v>
      </c>
      <c r="F660" s="19">
        <f t="shared" si="43"/>
        <v>45028.747916667002</v>
      </c>
      <c r="G660" s="6">
        <f>_xlfn.XLOOKUP(C660,'2024'!C:C,'2024'!A:A,"")</f>
        <v>45392.722916667</v>
      </c>
      <c r="H660" s="6">
        <f>_xlfn.XLOOKUP(C661,'2024'!C:C,'2024'!B:B,"")</f>
        <v>45392.745833333</v>
      </c>
      <c r="I660" s="19">
        <f t="shared" si="40"/>
        <v>45392.722916667</v>
      </c>
      <c r="J660" s="6">
        <f>_xlfn.XLOOKUP(C660,'2025'!C:C,'2025'!A:A,"")</f>
        <v>45756.793749999997</v>
      </c>
      <c r="K660" s="6" t="str">
        <f>_xlfn.XLOOKUP(C660,'2025'!C:C,'2025'!B:B,"")</f>
        <v>No Selection Time Issued</v>
      </c>
      <c r="L660" s="19">
        <f t="shared" si="41"/>
        <v>45756.793749999997</v>
      </c>
      <c r="M660" s="16" cm="1">
        <f t="array" ref="M660">IFERROR(_xlfn.LET(
_xlpm.x,TRIM(C660),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0" s="16" t="b">
        <f t="shared" si="42"/>
        <v>0</v>
      </c>
    </row>
    <row r="661" spans="1:14" x14ac:dyDescent="0.25">
      <c r="A661" s="5" t="s">
        <v>567</v>
      </c>
      <c r="B661" s="16">
        <v>118</v>
      </c>
      <c r="C661" s="16" t="str">
        <v>Smiley - 201</v>
      </c>
      <c r="D661" s="6" t="str">
        <f>_xlfn.XLOOKUP(C661,'2023'!C:C,'2023'!A:A,"")</f>
        <v/>
      </c>
      <c r="E661" s="6" t="str">
        <f>_xlfn.XLOOKUP(C661,'2023'!C:C,'2023'!B:B,"")</f>
        <v/>
      </c>
      <c r="F661" s="19" t="str">
        <f t="shared" si="43"/>
        <v/>
      </c>
      <c r="G661" s="6">
        <f>_xlfn.XLOOKUP(C661,'2024'!C:C,'2024'!A:A,"")</f>
        <v>45392.75</v>
      </c>
      <c r="H661" s="6">
        <f>_xlfn.XLOOKUP(C662,'2024'!C:C,'2024'!B:B,"")</f>
        <v>45393.739583333001</v>
      </c>
      <c r="I661" s="19">
        <f t="shared" si="40"/>
        <v>45392.75</v>
      </c>
      <c r="J661" s="6">
        <f>_xlfn.XLOOKUP(C661,'2025'!C:C,'2025'!A:A,"")</f>
        <v>45756.833333333001</v>
      </c>
      <c r="K661" s="6" t="str">
        <f>_xlfn.XLOOKUP(C661,'2025'!C:C,'2025'!B:B,"")</f>
        <v>No Selection Time Issued</v>
      </c>
      <c r="L661" s="19">
        <f t="shared" si="41"/>
        <v>45756.833333333001</v>
      </c>
      <c r="M661" s="16" cm="1">
        <f t="array" ref="M661">IFERROR(_xlfn.LET(
_xlpm.x,TRIM(C661),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1" s="16" t="b">
        <f t="shared" si="42"/>
        <v>0</v>
      </c>
    </row>
    <row r="662" spans="1:14" x14ac:dyDescent="0.25">
      <c r="A662" s="5" t="s">
        <v>637</v>
      </c>
      <c r="B662" s="16">
        <v>121</v>
      </c>
      <c r="C662" s="16" t="str">
        <v>Smiley - 203</v>
      </c>
      <c r="D662" s="6">
        <f>_xlfn.XLOOKUP(C662,'2023'!C:C,'2023'!A:A,"")</f>
        <v>45028.791666666999</v>
      </c>
      <c r="E662" s="6">
        <f>_xlfn.XLOOKUP(C662,'2023'!C:C,'2023'!B:B,"")</f>
        <v>45027.714583333</v>
      </c>
      <c r="F662" s="19">
        <f t="shared" si="43"/>
        <v>45027.714583333</v>
      </c>
      <c r="G662" s="6">
        <f>_xlfn.XLOOKUP(C662,'2024'!C:C,'2024'!A:A,"")</f>
        <v>45392.793749999997</v>
      </c>
      <c r="H662" s="6">
        <f>_xlfn.XLOOKUP(C663,'2024'!C:C,'2024'!B:B,"")</f>
        <v>45393.722916667</v>
      </c>
      <c r="I662" s="19">
        <f t="shared" si="40"/>
        <v>45392.793749999997</v>
      </c>
      <c r="J662" s="6">
        <f>_xlfn.XLOOKUP(C662,'2025'!C:C,'2025'!A:A,"")</f>
        <v>45756.816666667</v>
      </c>
      <c r="K662" s="6" t="str">
        <f>_xlfn.XLOOKUP(C662,'2025'!C:C,'2025'!B:B,"")</f>
        <v>No Selection Time Issued</v>
      </c>
      <c r="L662" s="19">
        <f t="shared" si="41"/>
        <v>45756.816666667</v>
      </c>
      <c r="M662" s="16" cm="1">
        <f t="array" ref="M662">IFERROR(_xlfn.LET(
_xlpm.x,TRIM(C662),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2" s="16" t="b">
        <f t="shared" si="42"/>
        <v>0</v>
      </c>
    </row>
    <row r="663" spans="1:14" x14ac:dyDescent="0.25">
      <c r="A663" s="5" t="s">
        <v>637</v>
      </c>
      <c r="B663" s="16">
        <v>148</v>
      </c>
      <c r="C663" s="16" t="str">
        <v>Smiley - 204</v>
      </c>
      <c r="D663" s="6">
        <f>_xlfn.XLOOKUP(C663,'2023'!C:C,'2023'!A:A,"")</f>
        <v>45028.762499999997</v>
      </c>
      <c r="E663" s="6">
        <f>_xlfn.XLOOKUP(C663,'2023'!C:C,'2023'!B:B,"")</f>
        <v>45029.724999999999</v>
      </c>
      <c r="F663" s="19">
        <f t="shared" si="43"/>
        <v>45028.762499999997</v>
      </c>
      <c r="G663" s="6">
        <f>_xlfn.XLOOKUP(C663,'2024'!C:C,'2024'!A:A,"")</f>
        <v>45392.727083332997</v>
      </c>
      <c r="H663" s="6">
        <f>_xlfn.XLOOKUP(C664,'2024'!C:C,'2024'!B:B,"")</f>
        <v>45391.731249999997</v>
      </c>
      <c r="I663" s="19">
        <f t="shared" si="40"/>
        <v>45391.731249999997</v>
      </c>
      <c r="J663" s="6">
        <f>_xlfn.XLOOKUP(C663,'2025'!C:C,'2025'!A:A,"")</f>
        <v>45755.875</v>
      </c>
      <c r="K663" s="6" t="str">
        <f>_xlfn.XLOOKUP(C663,'2025'!C:C,'2025'!B:B,"")</f>
        <v>No Selection Time Issued</v>
      </c>
      <c r="L663" s="19">
        <f t="shared" si="41"/>
        <v>45755.875</v>
      </c>
      <c r="M663" s="16" cm="1">
        <f t="array" ref="M663">IFERROR(_xlfn.LET(
_xlpm.x,TRIM(C663),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3" s="16" t="b">
        <f t="shared" si="42"/>
        <v>0</v>
      </c>
    </row>
    <row r="664" spans="1:14" x14ac:dyDescent="0.25">
      <c r="A664" s="5" t="s">
        <v>637</v>
      </c>
      <c r="B664" s="16">
        <v>133</v>
      </c>
      <c r="C664" s="16" t="str">
        <v>Smiley - 205</v>
      </c>
      <c r="D664" s="6">
        <f>_xlfn.XLOOKUP(C664,'2023'!C:C,'2023'!A:A,"")</f>
        <v>45028.760416666999</v>
      </c>
      <c r="E664" s="6">
        <f>_xlfn.XLOOKUP(C664,'2023'!C:C,'2023'!B:B,"")</f>
        <v>45029.729166666999</v>
      </c>
      <c r="F664" s="19">
        <f t="shared" si="43"/>
        <v>45028.760416666999</v>
      </c>
      <c r="G664" s="6">
        <f>_xlfn.XLOOKUP(C664,'2024'!C:C,'2024'!A:A,"")</f>
        <v>45392.772916667003</v>
      </c>
      <c r="H664" s="6">
        <f>_xlfn.XLOOKUP(C665,'2024'!C:C,'2024'!B:B,"")</f>
        <v>45391.772916667003</v>
      </c>
      <c r="I664" s="19">
        <f t="shared" si="40"/>
        <v>45391.772916667003</v>
      </c>
      <c r="J664" s="6">
        <f>_xlfn.XLOOKUP(C664,'2025'!C:C,'2025'!A:A,"")</f>
        <v>45756.78125</v>
      </c>
      <c r="K664" s="6" t="str">
        <f>_xlfn.XLOOKUP(C664,'2025'!C:C,'2025'!B:B,"")</f>
        <v>No Selection Time Issued</v>
      </c>
      <c r="L664" s="19">
        <f t="shared" si="41"/>
        <v>45756.78125</v>
      </c>
      <c r="M664" s="16" cm="1">
        <f t="array" ref="M664">IFERROR(_xlfn.LET(
_xlpm.x,TRIM(C664),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4" s="16" t="b">
        <f t="shared" si="42"/>
        <v>0</v>
      </c>
    </row>
    <row r="665" spans="1:14" x14ac:dyDescent="0.25">
      <c r="A665" s="5" t="s">
        <v>695</v>
      </c>
      <c r="B665" s="16">
        <v>124</v>
      </c>
      <c r="C665" s="16" t="str">
        <v>Smiley - 206</v>
      </c>
      <c r="D665" s="6">
        <f>_xlfn.XLOOKUP(C665,'2023'!C:C,'2023'!A:A,"")</f>
        <v>45028.768750000003</v>
      </c>
      <c r="E665" s="6" t="str">
        <f>_xlfn.XLOOKUP(C665,'2023'!C:C,'2023'!B:B,"")</f>
        <v>No Selection Time Issued</v>
      </c>
      <c r="F665" s="19">
        <f t="shared" si="43"/>
        <v>45028.768750000003</v>
      </c>
      <c r="G665" s="6">
        <f>_xlfn.XLOOKUP(C665,'2024'!C:C,'2024'!A:A,"")</f>
        <v>45392.775000000001</v>
      </c>
      <c r="H665" s="6">
        <f>_xlfn.XLOOKUP(C666,'2024'!C:C,'2024'!B:B,"")</f>
        <v>45391.885416666999</v>
      </c>
      <c r="I665" s="19">
        <f t="shared" si="40"/>
        <v>45391.885416666999</v>
      </c>
      <c r="J665" s="6">
        <f>_xlfn.XLOOKUP(C665,'2025'!C:C,'2025'!A:A,"")</f>
        <v>45756.783333332998</v>
      </c>
      <c r="K665" s="6" t="str">
        <f>_xlfn.XLOOKUP(C665,'2025'!C:C,'2025'!B:B,"")</f>
        <v>No Selection Time Issued</v>
      </c>
      <c r="L665" s="19">
        <f t="shared" si="41"/>
        <v>45756.783333332998</v>
      </c>
      <c r="M665" s="16" cm="1">
        <f t="array" ref="M665">IFERROR(_xlfn.LET(
_xlpm.x,TRIM(C665),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5" s="16" t="b">
        <f t="shared" si="42"/>
        <v>0</v>
      </c>
    </row>
    <row r="666" spans="1:14" x14ac:dyDescent="0.25">
      <c r="A666" s="5" t="s">
        <v>695</v>
      </c>
      <c r="B666" s="16">
        <v>119</v>
      </c>
      <c r="C666" s="16" t="str">
        <v>Smiley - 207</v>
      </c>
      <c r="D666" s="6">
        <f>_xlfn.XLOOKUP(C666,'2023'!C:C,'2023'!A:A,"")</f>
        <v>45028.793749999997</v>
      </c>
      <c r="E666" s="6">
        <f>_xlfn.XLOOKUP(C666,'2023'!C:C,'2023'!B:B,"")</f>
        <v>45029.818749999999</v>
      </c>
      <c r="F666" s="19">
        <f t="shared" si="43"/>
        <v>45028.793749999997</v>
      </c>
      <c r="G666" s="6">
        <f>_xlfn.XLOOKUP(C666,'2024'!C:C,'2024'!A:A,"")</f>
        <v>45392.783333332998</v>
      </c>
      <c r="H666" s="6">
        <f>_xlfn.XLOOKUP(C667,'2024'!C:C,'2024'!B:B,"")</f>
        <v>45391.710416667003</v>
      </c>
      <c r="I666" s="19">
        <f t="shared" si="40"/>
        <v>45391.710416667003</v>
      </c>
      <c r="J666" s="6">
        <f>_xlfn.XLOOKUP(C666,'2025'!C:C,'2025'!A:A,"")</f>
        <v>45756.839583333</v>
      </c>
      <c r="K666" s="6" t="str">
        <f>_xlfn.XLOOKUP(C666,'2025'!C:C,'2025'!B:B,"")</f>
        <v>No Selection Time Issued</v>
      </c>
      <c r="L666" s="19">
        <f t="shared" si="41"/>
        <v>45756.839583333</v>
      </c>
      <c r="M666" s="16" cm="1">
        <f t="array" ref="M666">IFERROR(_xlfn.LET(
_xlpm.x,TRIM(C666),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6" s="16" t="b">
        <f t="shared" si="42"/>
        <v>0</v>
      </c>
    </row>
    <row r="667" spans="1:14" x14ac:dyDescent="0.25">
      <c r="A667" s="5" t="s">
        <v>695</v>
      </c>
      <c r="B667" s="16">
        <v>129</v>
      </c>
      <c r="C667" s="16" t="str">
        <v>Smiley - 208</v>
      </c>
      <c r="D667" s="6">
        <f>_xlfn.XLOOKUP(C667,'2023'!C:C,'2023'!A:A,"")</f>
        <v>45028.772916667003</v>
      </c>
      <c r="E667" s="6">
        <f>_xlfn.XLOOKUP(C667,'2023'!C:C,'2023'!B:B,"")</f>
        <v>45029.785416667</v>
      </c>
      <c r="F667" s="19">
        <f t="shared" si="43"/>
        <v>45028.772916667003</v>
      </c>
      <c r="G667" s="6">
        <f>_xlfn.XLOOKUP(C667,'2024'!C:C,'2024'!A:A,"")</f>
        <v>45392.775000000001</v>
      </c>
      <c r="H667" s="6">
        <f>_xlfn.XLOOKUP(C668,'2024'!C:C,'2024'!B:B,"")</f>
        <v>45391.733333333003</v>
      </c>
      <c r="I667" s="19">
        <f t="shared" si="40"/>
        <v>45391.733333333003</v>
      </c>
      <c r="J667" s="6">
        <f>_xlfn.XLOOKUP(C667,'2025'!C:C,'2025'!A:A,"")</f>
        <v>45756.818749999999</v>
      </c>
      <c r="K667" s="6" t="str">
        <f>_xlfn.XLOOKUP(C667,'2025'!C:C,'2025'!B:B,"")</f>
        <v>No Selection Time Issued</v>
      </c>
      <c r="L667" s="19">
        <f t="shared" si="41"/>
        <v>45756.818749999999</v>
      </c>
      <c r="M667" s="16" cm="1">
        <f t="array" ref="M667">IFERROR(_xlfn.LET(
_xlpm.x,TRIM(C667),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7" s="16" t="b">
        <f t="shared" si="42"/>
        <v>0</v>
      </c>
    </row>
    <row r="668" spans="1:14" x14ac:dyDescent="0.25">
      <c r="A668" s="5" t="s">
        <v>270</v>
      </c>
      <c r="B668" s="16">
        <v>124</v>
      </c>
      <c r="C668" s="16" t="str">
        <v>Smiley - 209</v>
      </c>
      <c r="D668" s="6">
        <f>_xlfn.XLOOKUP(C668,'2023'!C:C,'2023'!A:A,"")</f>
        <v>45028.739583333001</v>
      </c>
      <c r="E668" s="6">
        <f>_xlfn.XLOOKUP(C668,'2023'!C:C,'2023'!B:B,"")</f>
        <v>45029.775000000001</v>
      </c>
      <c r="F668" s="19">
        <f t="shared" si="43"/>
        <v>45028.739583333001</v>
      </c>
      <c r="G668" s="6">
        <f>_xlfn.XLOOKUP(C668,'2024'!C:C,'2024'!A:A,"")</f>
        <v>45392.737500000003</v>
      </c>
      <c r="H668" s="6">
        <f>_xlfn.XLOOKUP(C669,'2024'!C:C,'2024'!B:B,"")</f>
        <v>45392.731249999997</v>
      </c>
      <c r="I668" s="19">
        <f t="shared" si="40"/>
        <v>45392.731249999997</v>
      </c>
      <c r="J668" s="6">
        <f>_xlfn.XLOOKUP(C668,'2025'!C:C,'2025'!A:A,"")</f>
        <v>45756.824999999997</v>
      </c>
      <c r="K668" s="6" t="str">
        <f>_xlfn.XLOOKUP(C668,'2025'!C:C,'2025'!B:B,"")</f>
        <v>No Selection Time Issued</v>
      </c>
      <c r="L668" s="19">
        <f t="shared" si="41"/>
        <v>45756.824999999997</v>
      </c>
      <c r="M668" s="16" cm="1">
        <f t="array" ref="M668">IFERROR(_xlfn.LET(
_xlpm.x,TRIM(C668),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8" s="16" t="b">
        <f t="shared" si="42"/>
        <v>0</v>
      </c>
    </row>
    <row r="669" spans="1:14" x14ac:dyDescent="0.25">
      <c r="A669" s="5" t="s">
        <v>270</v>
      </c>
      <c r="B669" s="16">
        <v>128</v>
      </c>
      <c r="C669" s="16" t="str">
        <v>Smiley - 210</v>
      </c>
      <c r="D669" s="6">
        <f>_xlfn.XLOOKUP(C669,'2023'!C:C,'2023'!A:A,"")</f>
        <v>45028.743750000001</v>
      </c>
      <c r="E669" s="6">
        <f>_xlfn.XLOOKUP(C669,'2023'!C:C,'2023'!B:B,"")</f>
        <v>45027.745833333</v>
      </c>
      <c r="F669" s="19">
        <f t="shared" si="43"/>
        <v>45027.745833333</v>
      </c>
      <c r="G669" s="6">
        <f>_xlfn.XLOOKUP(C669,'2024'!C:C,'2024'!A:A,"")</f>
        <v>45392.785416667</v>
      </c>
      <c r="H669" s="6">
        <f>_xlfn.XLOOKUP(C670,'2024'!C:C,'2024'!B:B,"")</f>
        <v>45393.802083333001</v>
      </c>
      <c r="I669" s="19">
        <f t="shared" si="40"/>
        <v>45392.785416667</v>
      </c>
      <c r="J669" s="6" t="str">
        <f>_xlfn.XLOOKUP(C669,'2025'!C:C,'2025'!A:A,"")</f>
        <v/>
      </c>
      <c r="K669" s="6" t="str">
        <f>_xlfn.XLOOKUP(C669,'2025'!C:C,'2025'!B:B,"")</f>
        <v/>
      </c>
      <c r="L669" s="19" t="str">
        <f t="shared" si="41"/>
        <v/>
      </c>
      <c r="M669" s="16" cm="1">
        <f t="array" ref="M669">IFERROR(_xlfn.LET(
_xlpm.x,TRIM(C669),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69" s="16" t="b">
        <f t="shared" si="42"/>
        <v>0</v>
      </c>
    </row>
    <row r="670" spans="1:14" x14ac:dyDescent="0.25">
      <c r="A670" s="5" t="s">
        <v>270</v>
      </c>
      <c r="B670" s="16">
        <v>122</v>
      </c>
      <c r="C670" s="16" t="str">
        <v>Smiley - 211</v>
      </c>
      <c r="D670" s="6">
        <f>_xlfn.XLOOKUP(C670,'2023'!C:C,'2023'!A:A,"")</f>
        <v>45028.775000000001</v>
      </c>
      <c r="E670" s="6">
        <f>_xlfn.XLOOKUP(C670,'2023'!C:C,'2023'!B:B,"")</f>
        <v>45027.708333333001</v>
      </c>
      <c r="F670" s="19">
        <f t="shared" si="43"/>
        <v>45027.708333333001</v>
      </c>
      <c r="G670" s="6">
        <f>_xlfn.XLOOKUP(C670,'2024'!C:C,'2024'!A:A,"")</f>
        <v>45392.783333332998</v>
      </c>
      <c r="H670" s="6">
        <f>_xlfn.XLOOKUP(C671,'2024'!C:C,'2024'!B:B,"")</f>
        <v>45392.71875</v>
      </c>
      <c r="I670" s="19">
        <f t="shared" si="40"/>
        <v>45392.71875</v>
      </c>
      <c r="J670" s="6">
        <f>_xlfn.XLOOKUP(C670,'2025'!C:C,'2025'!A:A,"")</f>
        <v>45756.827083333003</v>
      </c>
      <c r="K670" s="6" t="str">
        <f>_xlfn.XLOOKUP(C670,'2025'!C:C,'2025'!B:B,"")</f>
        <v>No Selection Time Issued</v>
      </c>
      <c r="L670" s="19">
        <f t="shared" si="41"/>
        <v>45756.827083333003</v>
      </c>
      <c r="M670" s="16" cm="1">
        <f t="array" ref="M670">IFERROR(_xlfn.LET(
_xlpm.x,TRIM(C670),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0" s="16" t="b">
        <f t="shared" si="42"/>
        <v>0</v>
      </c>
    </row>
    <row r="671" spans="1:14" x14ac:dyDescent="0.25">
      <c r="A671" s="5" t="s">
        <v>267</v>
      </c>
      <c r="B671" s="16">
        <v>126</v>
      </c>
      <c r="C671" s="16" t="str">
        <v>Smiley - 212</v>
      </c>
      <c r="D671" s="6">
        <f>_xlfn.XLOOKUP(C671,'2023'!C:C,'2023'!A:A,"")</f>
        <v>45028.764583333003</v>
      </c>
      <c r="E671" s="6">
        <f>_xlfn.XLOOKUP(C671,'2023'!C:C,'2023'!B:B,"")</f>
        <v>45029.724999999999</v>
      </c>
      <c r="F671" s="19">
        <f t="shared" si="43"/>
        <v>45028.764583333003</v>
      </c>
      <c r="G671" s="6">
        <f>_xlfn.XLOOKUP(C671,'2024'!C:C,'2024'!A:A,"")</f>
        <v>45392.791666666999</v>
      </c>
      <c r="H671" s="6">
        <f>_xlfn.XLOOKUP(C672,'2024'!C:C,'2024'!B:B,"")</f>
        <v>45391.870833333</v>
      </c>
      <c r="I671" s="19">
        <f t="shared" si="40"/>
        <v>45391.870833333</v>
      </c>
      <c r="J671" s="6">
        <f>_xlfn.XLOOKUP(C671,'2025'!C:C,'2025'!A:A,"")</f>
        <v>45756.795833333003</v>
      </c>
      <c r="K671" s="6" t="str">
        <f>_xlfn.XLOOKUP(C671,'2025'!C:C,'2025'!B:B,"")</f>
        <v>No Selection Time Issued</v>
      </c>
      <c r="L671" s="19">
        <f t="shared" si="41"/>
        <v>45756.795833333003</v>
      </c>
      <c r="M671" s="16" cm="1">
        <f t="array" ref="M671">IFERROR(_xlfn.LET(
_xlpm.x,TRIM(C671),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1" s="16" t="b">
        <f t="shared" si="42"/>
        <v>0</v>
      </c>
    </row>
    <row r="672" spans="1:14" x14ac:dyDescent="0.25">
      <c r="A672" s="5" t="s">
        <v>267</v>
      </c>
      <c r="B672" s="16">
        <v>133</v>
      </c>
      <c r="C672" s="16" t="str">
        <v>Smiley - 213</v>
      </c>
      <c r="D672" s="6">
        <f>_xlfn.XLOOKUP(C672,'2023'!C:C,'2023'!A:A,"")</f>
        <v>45028.775000000001</v>
      </c>
      <c r="E672" s="6" t="str">
        <f>_xlfn.XLOOKUP(C672,'2023'!C:C,'2023'!B:B,"")</f>
        <v>No Selection Time Issued</v>
      </c>
      <c r="F672" s="19">
        <f t="shared" si="43"/>
        <v>45028.775000000001</v>
      </c>
      <c r="G672" s="6">
        <f>_xlfn.XLOOKUP(C672,'2024'!C:C,'2024'!A:A,"")</f>
        <v>45392.75</v>
      </c>
      <c r="H672" s="6">
        <f>_xlfn.XLOOKUP(C673,'2024'!C:C,'2024'!B:B,"")</f>
        <v>45391.720833332998</v>
      </c>
      <c r="I672" s="19">
        <f t="shared" si="40"/>
        <v>45391.720833332998</v>
      </c>
      <c r="J672" s="6">
        <f>_xlfn.XLOOKUP(C672,'2025'!C:C,'2025'!A:A,"")</f>
        <v>45756.802083333001</v>
      </c>
      <c r="K672" s="6" t="str">
        <f>_xlfn.XLOOKUP(C672,'2025'!C:C,'2025'!B:B,"")</f>
        <v>No Selection Time Issued</v>
      </c>
      <c r="L672" s="19">
        <f t="shared" si="41"/>
        <v>45756.802083333001</v>
      </c>
      <c r="M672" s="16" cm="1">
        <f t="array" ref="M672">IFERROR(_xlfn.LET(
_xlpm.x,TRIM(C672),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2" s="16" t="b">
        <f t="shared" si="42"/>
        <v>0</v>
      </c>
    </row>
    <row r="673" spans="1:14" x14ac:dyDescent="0.25">
      <c r="A673" s="5" t="s">
        <v>267</v>
      </c>
      <c r="B673" s="16">
        <v>127</v>
      </c>
      <c r="C673" s="16" t="str">
        <v>Smiley - 214</v>
      </c>
      <c r="D673" s="6">
        <f>_xlfn.XLOOKUP(C673,'2023'!C:C,'2023'!A:A,"")</f>
        <v>45028.775000000001</v>
      </c>
      <c r="E673" s="6">
        <f>_xlfn.XLOOKUP(C673,'2023'!C:C,'2023'!B:B,"")</f>
        <v>45029.772916667003</v>
      </c>
      <c r="F673" s="19">
        <f t="shared" si="43"/>
        <v>45028.775000000001</v>
      </c>
      <c r="G673" s="6">
        <f>_xlfn.XLOOKUP(C673,'2024'!C:C,'2024'!A:A,"")</f>
        <v>45392.791666666999</v>
      </c>
      <c r="H673" s="6">
        <f>_xlfn.XLOOKUP(C674,'2024'!C:C,'2024'!B:B,"")</f>
        <v>45393.735416666997</v>
      </c>
      <c r="I673" s="19">
        <f t="shared" si="40"/>
        <v>45392.791666666999</v>
      </c>
      <c r="J673" s="6">
        <f>_xlfn.XLOOKUP(C673,'2025'!C:C,'2025'!A:A,"")</f>
        <v>45756.779166667002</v>
      </c>
      <c r="K673" s="6" t="str">
        <f>_xlfn.XLOOKUP(C673,'2025'!C:C,'2025'!B:B,"")</f>
        <v>No Selection Time Issued</v>
      </c>
      <c r="L673" s="19">
        <f t="shared" si="41"/>
        <v>45756.779166667002</v>
      </c>
      <c r="M673" s="16" cm="1">
        <f t="array" ref="M673">IFERROR(_xlfn.LET(
_xlpm.x,TRIM(C673),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3" s="16" t="b">
        <f t="shared" si="42"/>
        <v>0</v>
      </c>
    </row>
    <row r="674" spans="1:14" x14ac:dyDescent="0.25">
      <c r="A674" s="5" t="s">
        <v>276</v>
      </c>
      <c r="B674" s="16">
        <v>127</v>
      </c>
      <c r="C674" s="16" t="str">
        <v>Smiley - 215</v>
      </c>
      <c r="D674" s="6">
        <f>_xlfn.XLOOKUP(C674,'2023'!C:C,'2023'!A:A,"")</f>
        <v>45028.789583332997</v>
      </c>
      <c r="E674" s="6">
        <f>_xlfn.XLOOKUP(C674,'2023'!C:C,'2023'!B:B,"")</f>
        <v>45027.708333333001</v>
      </c>
      <c r="F674" s="19">
        <f t="shared" si="43"/>
        <v>45027.708333333001</v>
      </c>
      <c r="G674" s="6">
        <f>_xlfn.XLOOKUP(C674,'2024'!C:C,'2024'!A:A,"")</f>
        <v>45392.777083333</v>
      </c>
      <c r="H674" s="6">
        <f>_xlfn.XLOOKUP(C675,'2024'!C:C,'2024'!B:B,"")</f>
        <v>45393.787499999999</v>
      </c>
      <c r="I674" s="19">
        <f t="shared" si="40"/>
        <v>45392.777083333</v>
      </c>
      <c r="J674" s="6">
        <f>_xlfn.XLOOKUP(C674,'2025'!C:C,'2025'!A:A,"")</f>
        <v>45756.789583332997</v>
      </c>
      <c r="K674" s="6" t="str">
        <f>_xlfn.XLOOKUP(C674,'2025'!C:C,'2025'!B:B,"")</f>
        <v>No Selection Time Issued</v>
      </c>
      <c r="L674" s="19">
        <f t="shared" si="41"/>
        <v>45756.789583332997</v>
      </c>
      <c r="M674" s="16" cm="1">
        <f t="array" ref="M674">IFERROR(_xlfn.LET(
_xlpm.x,TRIM(C674),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4" s="16" t="b">
        <f t="shared" si="42"/>
        <v>0</v>
      </c>
    </row>
    <row r="675" spans="1:14" x14ac:dyDescent="0.25">
      <c r="A675" s="5" t="s">
        <v>276</v>
      </c>
      <c r="B675" s="16">
        <v>130</v>
      </c>
      <c r="C675" s="16" t="str">
        <v>Smiley - 216</v>
      </c>
      <c r="D675" s="6">
        <f>_xlfn.XLOOKUP(C675,'2023'!C:C,'2023'!A:A,"")</f>
        <v>45028.760416666999</v>
      </c>
      <c r="E675" s="6">
        <f>_xlfn.XLOOKUP(C675,'2023'!C:C,'2023'!B:B,"")</f>
        <v>45027.720833332998</v>
      </c>
      <c r="F675" s="19">
        <f t="shared" si="43"/>
        <v>45027.720833332998</v>
      </c>
      <c r="G675" s="6">
        <f>_xlfn.XLOOKUP(C675,'2024'!C:C,'2024'!A:A,"")</f>
        <v>45392.768750000003</v>
      </c>
      <c r="H675" s="6">
        <f>_xlfn.XLOOKUP(C676,'2024'!C:C,'2024'!B:B,"")</f>
        <v>45393.735416666997</v>
      </c>
      <c r="I675" s="19">
        <f t="shared" si="40"/>
        <v>45392.768750000003</v>
      </c>
      <c r="J675" s="6">
        <f>_xlfn.XLOOKUP(C675,'2025'!C:C,'2025'!A:A,"")</f>
        <v>45756.787499999999</v>
      </c>
      <c r="K675" s="6" t="str">
        <f>_xlfn.XLOOKUP(C675,'2025'!C:C,'2025'!B:B,"")</f>
        <v>No Selection Time Issued</v>
      </c>
      <c r="L675" s="19">
        <f t="shared" si="41"/>
        <v>45756.787499999999</v>
      </c>
      <c r="M675" s="16" cm="1">
        <f t="array" ref="M675">IFERROR(_xlfn.LET(
_xlpm.x,TRIM(C675),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5" s="16" t="b">
        <f t="shared" si="42"/>
        <v>0</v>
      </c>
    </row>
    <row r="676" spans="1:14" x14ac:dyDescent="0.25">
      <c r="A676" s="5" t="s">
        <v>276</v>
      </c>
      <c r="B676" s="16">
        <v>130</v>
      </c>
      <c r="C676" s="16" t="str">
        <v>Smiley - 217</v>
      </c>
      <c r="D676" s="6">
        <f>_xlfn.XLOOKUP(C676,'2023'!C:C,'2023'!A:A,"")</f>
        <v>45028.779166667002</v>
      </c>
      <c r="E676" s="6" t="str">
        <f>_xlfn.XLOOKUP(C676,'2023'!C:C,'2023'!B:B,"")</f>
        <v>No Selection Time Issued</v>
      </c>
      <c r="F676" s="19">
        <f t="shared" si="43"/>
        <v>45028.779166667002</v>
      </c>
      <c r="G676" s="6">
        <f>_xlfn.XLOOKUP(C676,'2024'!C:C,'2024'!A:A,"")</f>
        <v>45392.78125</v>
      </c>
      <c r="H676" s="6">
        <f>_xlfn.XLOOKUP(C677,'2024'!C:C,'2024'!B:B,"")</f>
        <v>45391.731249999997</v>
      </c>
      <c r="I676" s="19">
        <f t="shared" si="40"/>
        <v>45391.731249999997</v>
      </c>
      <c r="J676" s="6">
        <f>_xlfn.XLOOKUP(C676,'2025'!C:C,'2025'!A:A,"")</f>
        <v>45756.775000000001</v>
      </c>
      <c r="K676" s="6" t="str">
        <f>_xlfn.XLOOKUP(C676,'2025'!C:C,'2025'!B:B,"")</f>
        <v>No Selection Time Issued</v>
      </c>
      <c r="L676" s="19">
        <f t="shared" si="41"/>
        <v>45756.775000000001</v>
      </c>
      <c r="M676" s="16" cm="1">
        <f t="array" ref="M676">IFERROR(_xlfn.LET(
_xlpm.x,TRIM(C676),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6" s="16" t="b">
        <f t="shared" si="42"/>
        <v>0</v>
      </c>
    </row>
    <row r="677" spans="1:14" x14ac:dyDescent="0.25">
      <c r="A677" s="5" t="s">
        <v>276</v>
      </c>
      <c r="B677" s="16">
        <v>129</v>
      </c>
      <c r="C677" s="16" t="str">
        <v>Smiley - 218</v>
      </c>
      <c r="D677" s="6">
        <f>_xlfn.XLOOKUP(C677,'2023'!C:C,'2023'!A:A,"")</f>
        <v>45028.785416667</v>
      </c>
      <c r="E677" s="6">
        <f>_xlfn.XLOOKUP(C677,'2023'!C:C,'2023'!B:B,"")</f>
        <v>45027.708333333001</v>
      </c>
      <c r="F677" s="19">
        <f t="shared" si="43"/>
        <v>45027.708333333001</v>
      </c>
      <c r="G677" s="6">
        <f>_xlfn.XLOOKUP(C677,'2024'!C:C,'2024'!A:A,"")</f>
        <v>45392.791666666999</v>
      </c>
      <c r="H677" s="6">
        <f>_xlfn.XLOOKUP(C678,'2024'!C:C,'2024'!B:B,"")</f>
        <v>45391.710416667003</v>
      </c>
      <c r="I677" s="19">
        <f t="shared" si="40"/>
        <v>45391.710416667003</v>
      </c>
      <c r="J677" s="6">
        <f>_xlfn.XLOOKUP(C677,'2025'!C:C,'2025'!A:A,"")</f>
        <v>45756.814583332998</v>
      </c>
      <c r="K677" s="6" t="str">
        <f>_xlfn.XLOOKUP(C677,'2025'!C:C,'2025'!B:B,"")</f>
        <v>No Selection Time Issued</v>
      </c>
      <c r="L677" s="19">
        <f t="shared" si="41"/>
        <v>45756.814583332998</v>
      </c>
      <c r="M677" s="16" cm="1">
        <f t="array" ref="M677">IFERROR(_xlfn.LET(
_xlpm.x,TRIM(C677),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7" s="16" t="b">
        <f t="shared" si="42"/>
        <v>0</v>
      </c>
    </row>
    <row r="678" spans="1:14" x14ac:dyDescent="0.25">
      <c r="A678" s="5" t="s">
        <v>276</v>
      </c>
      <c r="B678" s="16">
        <v>130</v>
      </c>
      <c r="C678" s="16" t="str">
        <v>Smiley - 219</v>
      </c>
      <c r="D678" s="6">
        <f>_xlfn.XLOOKUP(C678,'2023'!C:C,'2023'!A:A,"")</f>
        <v>45028.764583333003</v>
      </c>
      <c r="E678" s="6">
        <f>_xlfn.XLOOKUP(C678,'2023'!C:C,'2023'!B:B,"")</f>
        <v>45027.766666666997</v>
      </c>
      <c r="F678" s="19">
        <f t="shared" si="43"/>
        <v>45027.766666666997</v>
      </c>
      <c r="G678" s="6">
        <f>_xlfn.XLOOKUP(C678,'2024'!C:C,'2024'!A:A,"")</f>
        <v>45392.777083333</v>
      </c>
      <c r="H678" s="6">
        <f>_xlfn.XLOOKUP(C679,'2024'!C:C,'2024'!B:B,"")</f>
        <v>45391.745833333</v>
      </c>
      <c r="I678" s="19">
        <f t="shared" si="40"/>
        <v>45391.745833333</v>
      </c>
      <c r="J678" s="6">
        <f>_xlfn.XLOOKUP(C678,'2025'!C:C,'2025'!A:A,"")</f>
        <v>45756.775000000001</v>
      </c>
      <c r="K678" s="6" t="str">
        <f>_xlfn.XLOOKUP(C678,'2025'!C:C,'2025'!B:B,"")</f>
        <v>No Selection Time Issued</v>
      </c>
      <c r="L678" s="19">
        <f t="shared" si="41"/>
        <v>45756.775000000001</v>
      </c>
      <c r="M678" s="16" cm="1">
        <f t="array" ref="M678">IFERROR(_xlfn.LET(
_xlpm.x,TRIM(C678),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8" s="16" t="b">
        <f t="shared" si="42"/>
        <v>0</v>
      </c>
    </row>
    <row r="679" spans="1:14" x14ac:dyDescent="0.25">
      <c r="A679" s="5" t="s">
        <v>276</v>
      </c>
      <c r="B679" s="16">
        <v>119</v>
      </c>
      <c r="C679" s="16" t="str">
        <v>Smiley - 220</v>
      </c>
      <c r="D679" s="6">
        <f>_xlfn.XLOOKUP(C679,'2023'!C:C,'2023'!A:A,"")</f>
        <v>45028.787499999999</v>
      </c>
      <c r="E679" s="6">
        <f>_xlfn.XLOOKUP(C679,'2023'!C:C,'2023'!B:B,"")</f>
        <v>45029.822916666999</v>
      </c>
      <c r="F679" s="19">
        <f t="shared" si="43"/>
        <v>45028.787499999999</v>
      </c>
      <c r="G679" s="6">
        <f>_xlfn.XLOOKUP(C679,'2024'!C:C,'2024'!A:A,"")</f>
        <v>45392.793749999997</v>
      </c>
      <c r="H679" s="6">
        <f>_xlfn.XLOOKUP(C680,'2024'!C:C,'2024'!B:B,"")</f>
        <v>45391.710416667003</v>
      </c>
      <c r="I679" s="19">
        <f t="shared" si="40"/>
        <v>45391.710416667003</v>
      </c>
      <c r="J679" s="6">
        <f>_xlfn.XLOOKUP(C679,'2025'!C:C,'2025'!A:A,"")</f>
        <v>45756.833333333001</v>
      </c>
      <c r="K679" s="6" t="str">
        <f>_xlfn.XLOOKUP(C679,'2025'!C:C,'2025'!B:B,"")</f>
        <v>No Selection Time Issued</v>
      </c>
      <c r="L679" s="19">
        <f t="shared" si="41"/>
        <v>45756.833333333001</v>
      </c>
      <c r="M679" s="16" cm="1">
        <f t="array" ref="M679">IFERROR(_xlfn.LET(
_xlpm.x,TRIM(C679),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79" s="16" t="b">
        <f t="shared" si="42"/>
        <v>0</v>
      </c>
    </row>
    <row r="680" spans="1:14" x14ac:dyDescent="0.25">
      <c r="A680" s="5" t="s">
        <v>610</v>
      </c>
      <c r="B680" s="16">
        <v>115</v>
      </c>
      <c r="C680" s="16" t="str">
        <v>Smiley - 221</v>
      </c>
      <c r="D680" s="6">
        <f>_xlfn.XLOOKUP(C680,'2023'!C:C,'2023'!A:A,"")</f>
        <v>45028.791666666999</v>
      </c>
      <c r="E680" s="6" t="str">
        <f>_xlfn.XLOOKUP(C680,'2023'!C:C,'2023'!B:B,"")</f>
        <v>No Selection Time Issued</v>
      </c>
      <c r="F680" s="19">
        <f t="shared" si="43"/>
        <v>45028.791666666999</v>
      </c>
      <c r="G680" s="6">
        <f>_xlfn.XLOOKUP(C680,'2024'!C:C,'2024'!A:A,"")</f>
        <v>45392.787499999999</v>
      </c>
      <c r="H680" s="6">
        <f>_xlfn.XLOOKUP(C681,'2024'!C:C,'2024'!B:B,"")</f>
        <v>45391.710416667003</v>
      </c>
      <c r="I680" s="19">
        <f t="shared" si="40"/>
        <v>45391.710416667003</v>
      </c>
      <c r="J680" s="6">
        <f>_xlfn.XLOOKUP(C680,'2025'!C:C,'2025'!A:A,"")</f>
        <v>45756.839583333</v>
      </c>
      <c r="K680" s="6" t="str">
        <f>_xlfn.XLOOKUP(C680,'2025'!C:C,'2025'!B:B,"")</f>
        <v>No Selection Time Issued</v>
      </c>
      <c r="L680" s="19">
        <f t="shared" si="41"/>
        <v>45756.839583333</v>
      </c>
      <c r="M680" s="16" cm="1">
        <f t="array" ref="M680">IFERROR(_xlfn.LET(
_xlpm.x,TRIM(C680),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0" s="16" t="b">
        <f t="shared" si="42"/>
        <v>0</v>
      </c>
    </row>
    <row r="681" spans="1:14" x14ac:dyDescent="0.25">
      <c r="A681" s="5" t="s">
        <v>610</v>
      </c>
      <c r="B681" s="16">
        <v>228</v>
      </c>
      <c r="C681" s="16" t="str">
        <v>Smiley - 222</v>
      </c>
      <c r="D681" s="6">
        <f>_xlfn.XLOOKUP(C681,'2023'!C:C,'2023'!A:A,"")</f>
        <v>45028.864583333001</v>
      </c>
      <c r="E681" s="6">
        <f>_xlfn.XLOOKUP(C681,'2023'!C:C,'2023'!B:B,"")</f>
        <v>45027.84375</v>
      </c>
      <c r="F681" s="19">
        <f t="shared" si="43"/>
        <v>45027.84375</v>
      </c>
      <c r="G681" s="6">
        <f>_xlfn.XLOOKUP(C681,'2024'!C:C,'2024'!A:A,"")</f>
        <v>45392.814583332998</v>
      </c>
      <c r="H681" s="6">
        <f>_xlfn.XLOOKUP(C682,'2024'!C:C,'2024'!B:B,"")</f>
        <v>45391.737500000003</v>
      </c>
      <c r="I681" s="19">
        <f t="shared" si="40"/>
        <v>45391.737500000003</v>
      </c>
      <c r="J681" s="6">
        <f>_xlfn.XLOOKUP(C681,'2025'!C:C,'2025'!A:A,"")</f>
        <v>45757.822916666999</v>
      </c>
      <c r="K681" s="6">
        <f>_xlfn.XLOOKUP(C681,'2025'!C:C,'2025'!B:B,"")</f>
        <v>45757.822916666999</v>
      </c>
      <c r="L681" s="19">
        <f t="shared" si="41"/>
        <v>45757.822916666999</v>
      </c>
      <c r="M681" s="16" cm="1">
        <f t="array" ref="M681">IFERROR(_xlfn.LET(
_xlpm.x,TRIM(C681),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681" s="16" t="b">
        <f t="shared" si="42"/>
        <v>0</v>
      </c>
    </row>
    <row r="682" spans="1:14" x14ac:dyDescent="0.25">
      <c r="A682" s="5" t="s">
        <v>610</v>
      </c>
      <c r="B682" s="16">
        <v>261</v>
      </c>
      <c r="C682" s="16" t="str">
        <v>Smiley - A5</v>
      </c>
      <c r="D682" s="6">
        <f>_xlfn.XLOOKUP(C682,'2023'!C:C,'2023'!A:A,"")</f>
        <v>45029.787499999999</v>
      </c>
      <c r="E682" s="6">
        <f>_xlfn.XLOOKUP(C682,'2023'!C:C,'2023'!B:B,"")</f>
        <v>45027.716666667002</v>
      </c>
      <c r="F682" s="19">
        <f t="shared" si="43"/>
        <v>45027.716666667002</v>
      </c>
      <c r="G682" s="6">
        <f>_xlfn.XLOOKUP(C682,'2024'!C:C,'2024'!A:A,"")</f>
        <v>45392.85</v>
      </c>
      <c r="H682" s="6">
        <f>_xlfn.XLOOKUP(C683,'2024'!C:C,'2024'!B:B,"")</f>
        <v>45391.714583333</v>
      </c>
      <c r="I682" s="19">
        <f t="shared" si="40"/>
        <v>45391.714583333</v>
      </c>
      <c r="J682" s="6" t="str">
        <f>_xlfn.XLOOKUP(C682,'2025'!C:C,'2025'!A:A,"")</f>
        <v/>
      </c>
      <c r="K682" s="6" t="str">
        <f>_xlfn.XLOOKUP(C682,'2025'!C:C,'2025'!B:B,"")</f>
        <v/>
      </c>
      <c r="L682" s="19" t="str">
        <f t="shared" si="41"/>
        <v/>
      </c>
      <c r="M682" s="16" cm="1">
        <f t="array" ref="M682">IFERROR(_xlfn.LET(
_xlpm.x,TRIM(C682),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682" s="16" t="b">
        <f t="shared" si="42"/>
        <v>0</v>
      </c>
    </row>
    <row r="683" spans="1:14" x14ac:dyDescent="0.25">
      <c r="A683" s="5" t="s">
        <v>674</v>
      </c>
      <c r="B683" s="16">
        <v>134</v>
      </c>
      <c r="C683" s="16" t="str">
        <v>Sontag - SNTG 110 - 111</v>
      </c>
      <c r="D683" s="6">
        <f>_xlfn.XLOOKUP(C683,'2023'!C:C,'2023'!A:A,"")</f>
        <v>45027.839583333</v>
      </c>
      <c r="E683" s="6">
        <f>_xlfn.XLOOKUP(C683,'2023'!C:C,'2023'!B:B,"")</f>
        <v>45027.710416667003</v>
      </c>
      <c r="F683" s="19">
        <f t="shared" si="43"/>
        <v>45027.710416667003</v>
      </c>
      <c r="G683" s="6">
        <f>_xlfn.XLOOKUP(C683,'2024'!C:C,'2024'!A:A,"")</f>
        <v>45391.722916667</v>
      </c>
      <c r="H683" s="6">
        <f>_xlfn.XLOOKUP(C684,'2024'!C:C,'2024'!B:B,"")</f>
        <v>45391.710416667003</v>
      </c>
      <c r="I683" s="19">
        <f t="shared" si="40"/>
        <v>45391.710416667003</v>
      </c>
      <c r="J683" s="6">
        <f>_xlfn.XLOOKUP(C683,'2025'!C:C,'2025'!A:A,"")</f>
        <v>45755.887499999997</v>
      </c>
      <c r="K683" s="6">
        <f>_xlfn.XLOOKUP(C683,'2025'!C:C,'2025'!B:B,"")</f>
        <v>45755.724999999999</v>
      </c>
      <c r="L683" s="19">
        <f t="shared" si="41"/>
        <v>45755.724999999999</v>
      </c>
      <c r="M683" s="16" cm="1">
        <f t="array" ref="M683">IFERROR(_xlfn.LET(
_xlpm.x,TRIM(C683),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3" s="16" t="b">
        <f t="shared" si="42"/>
        <v>1</v>
      </c>
    </row>
    <row r="684" spans="1:14" x14ac:dyDescent="0.25">
      <c r="A684" s="5" t="s">
        <v>674</v>
      </c>
      <c r="B684" s="16">
        <v>146</v>
      </c>
      <c r="C684" s="16" t="str">
        <v>Sontag - SNTG 110 - 112</v>
      </c>
      <c r="D684" s="6">
        <f>_xlfn.XLOOKUP(C684,'2023'!C:C,'2023'!A:A,"")</f>
        <v>45027.722916667</v>
      </c>
      <c r="E684" s="6">
        <f>_xlfn.XLOOKUP(C684,'2023'!C:C,'2023'!B:B,"")</f>
        <v>45027.71875</v>
      </c>
      <c r="F684" s="19">
        <f t="shared" si="43"/>
        <v>45027.71875</v>
      </c>
      <c r="G684" s="6">
        <f>_xlfn.XLOOKUP(C684,'2024'!C:C,'2024'!A:A,"")</f>
        <v>45391.8</v>
      </c>
      <c r="H684" s="6">
        <f>_xlfn.XLOOKUP(C685,'2024'!C:C,'2024'!B:B,"")</f>
        <v>45391.745833333</v>
      </c>
      <c r="I684" s="19">
        <f t="shared" si="40"/>
        <v>45391.745833333</v>
      </c>
      <c r="J684" s="6">
        <f>_xlfn.XLOOKUP(C684,'2025'!C:C,'2025'!A:A,"")</f>
        <v>45755.870833333</v>
      </c>
      <c r="K684" s="6">
        <f>_xlfn.XLOOKUP(C684,'2025'!C:C,'2025'!B:B,"")</f>
        <v>45755.724999999999</v>
      </c>
      <c r="L684" s="19">
        <f t="shared" si="41"/>
        <v>45755.724999999999</v>
      </c>
      <c r="M684" s="16" cm="1">
        <f t="array" ref="M684">IFERROR(_xlfn.LET(
_xlpm.x,TRIM(C684),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4" s="16" t="b">
        <f t="shared" si="42"/>
        <v>1</v>
      </c>
    </row>
    <row r="685" spans="1:14" x14ac:dyDescent="0.25">
      <c r="A685" s="5" t="s">
        <v>674</v>
      </c>
      <c r="B685" s="16">
        <v>137</v>
      </c>
      <c r="C685" s="16" t="str">
        <v>Sontag - SNTG 110 - 113</v>
      </c>
      <c r="D685" s="6">
        <f>_xlfn.XLOOKUP(C685,'2023'!C:C,'2023'!A:A,"")</f>
        <v>45027.883333332997</v>
      </c>
      <c r="E685" s="6">
        <f>_xlfn.XLOOKUP(C685,'2023'!C:C,'2023'!B:B,"")</f>
        <v>45029.710416667003</v>
      </c>
      <c r="F685" s="19">
        <f t="shared" si="43"/>
        <v>45027.883333332997</v>
      </c>
      <c r="G685" s="6">
        <f>_xlfn.XLOOKUP(C685,'2024'!C:C,'2024'!A:A,"")</f>
        <v>45391.729166666999</v>
      </c>
      <c r="H685" s="6">
        <f>_xlfn.XLOOKUP(C686,'2024'!C:C,'2024'!B:B,"")</f>
        <v>45391.729166666999</v>
      </c>
      <c r="I685" s="19">
        <f t="shared" si="40"/>
        <v>45391.729166666999</v>
      </c>
      <c r="J685" s="6">
        <f>_xlfn.XLOOKUP(C685,'2025'!C:C,'2025'!A:A,"")</f>
        <v>45755.724999999999</v>
      </c>
      <c r="K685" s="6">
        <f>_xlfn.XLOOKUP(C685,'2025'!C:C,'2025'!B:B,"")</f>
        <v>45755.724999999999</v>
      </c>
      <c r="L685" s="19">
        <f t="shared" si="41"/>
        <v>45755.724999999999</v>
      </c>
      <c r="M685" s="16" cm="1">
        <f t="array" ref="M685">IFERROR(_xlfn.LET(
_xlpm.x,TRIM(C685),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5" s="16" t="b">
        <f t="shared" si="42"/>
        <v>1</v>
      </c>
    </row>
    <row r="686" spans="1:14" x14ac:dyDescent="0.25">
      <c r="A686" s="5" t="s">
        <v>686</v>
      </c>
      <c r="B686" s="16">
        <v>151</v>
      </c>
      <c r="C686" s="16" t="str">
        <v>Sontag - SNTG 110 - 114</v>
      </c>
      <c r="D686" s="6">
        <f>_xlfn.XLOOKUP(C686,'2023'!C:C,'2023'!A:A,"")</f>
        <v>45027.902083333</v>
      </c>
      <c r="E686" s="6">
        <f>_xlfn.XLOOKUP(C686,'2023'!C:C,'2023'!B:B,"")</f>
        <v>45027.85</v>
      </c>
      <c r="F686" s="19">
        <f t="shared" si="43"/>
        <v>45027.85</v>
      </c>
      <c r="G686" s="6">
        <f>_xlfn.XLOOKUP(C686,'2024'!C:C,'2024'!A:A,"")</f>
        <v>45391.845833332998</v>
      </c>
      <c r="H686" s="6">
        <f>_xlfn.XLOOKUP(C687,'2024'!C:C,'2024'!B:B,"")</f>
        <v>45391.710416667003</v>
      </c>
      <c r="I686" s="19">
        <f t="shared" si="40"/>
        <v>45391.710416667003</v>
      </c>
      <c r="J686" s="6">
        <f>_xlfn.XLOOKUP(C686,'2025'!C:C,'2025'!A:A,"")</f>
        <v>45755.831250000003</v>
      </c>
      <c r="K686" s="6">
        <f>_xlfn.XLOOKUP(C686,'2025'!C:C,'2025'!B:B,"")</f>
        <v>45755.724999999999</v>
      </c>
      <c r="L686" s="19">
        <f t="shared" si="41"/>
        <v>45755.724999999999</v>
      </c>
      <c r="M686" s="16" cm="1">
        <f t="array" ref="M686">IFERROR(_xlfn.LET(
_xlpm.x,TRIM(C686),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6" s="16" t="b">
        <f t="shared" si="42"/>
        <v>1</v>
      </c>
    </row>
    <row r="687" spans="1:14" x14ac:dyDescent="0.25">
      <c r="A687" s="5" t="s">
        <v>686</v>
      </c>
      <c r="B687" s="16">
        <v>135</v>
      </c>
      <c r="C687" s="16" t="str">
        <v>Sontag - SNTG 120 - 121</v>
      </c>
      <c r="D687" s="6">
        <f>_xlfn.XLOOKUP(C687,'2023'!C:C,'2023'!A:A,"")</f>
        <v>45027.720833332998</v>
      </c>
      <c r="E687" s="6" t="str">
        <f>_xlfn.XLOOKUP(C687,'2023'!C:C,'2023'!B:B,"")</f>
        <v>No Selection Time Issued</v>
      </c>
      <c r="F687" s="19">
        <f t="shared" si="43"/>
        <v>45027.720833332998</v>
      </c>
      <c r="G687" s="6">
        <f>_xlfn.XLOOKUP(C687,'2024'!C:C,'2024'!A:A,"")</f>
        <v>45391.724999999999</v>
      </c>
      <c r="H687" s="6">
        <f>_xlfn.XLOOKUP(C688,'2024'!C:C,'2024'!B:B,"")</f>
        <v>45391.762499999997</v>
      </c>
      <c r="I687" s="19">
        <f t="shared" si="40"/>
        <v>45391.724999999999</v>
      </c>
      <c r="J687" s="6">
        <f>_xlfn.XLOOKUP(C687,'2025'!C:C,'2025'!A:A,"")</f>
        <v>45755.889583333003</v>
      </c>
      <c r="K687" s="6">
        <f>_xlfn.XLOOKUP(C687,'2025'!C:C,'2025'!B:B,"")</f>
        <v>45755.716666667002</v>
      </c>
      <c r="L687" s="19">
        <f t="shared" si="41"/>
        <v>45755.716666667002</v>
      </c>
      <c r="M687" s="16" cm="1">
        <f t="array" ref="M687">IFERROR(_xlfn.LET(
_xlpm.x,TRIM(C687),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7" s="16" t="b">
        <f t="shared" si="42"/>
        <v>1</v>
      </c>
    </row>
    <row r="688" spans="1:14" x14ac:dyDescent="0.25">
      <c r="A688" s="5" t="s">
        <v>686</v>
      </c>
      <c r="B688" s="16">
        <v>151</v>
      </c>
      <c r="C688" s="16" t="str">
        <v>Sontag - SNTG 120 - 122</v>
      </c>
      <c r="D688" s="6">
        <f>_xlfn.XLOOKUP(C688,'2023'!C:C,'2023'!A:A,"")</f>
        <v>45027.768750000003</v>
      </c>
      <c r="E688" s="6">
        <f>_xlfn.XLOOKUP(C688,'2023'!C:C,'2023'!B:B,"")</f>
        <v>45027.716666667002</v>
      </c>
      <c r="F688" s="19">
        <f t="shared" si="43"/>
        <v>45027.716666667002</v>
      </c>
      <c r="G688" s="6">
        <f>_xlfn.XLOOKUP(C688,'2024'!C:C,'2024'!A:A,"")</f>
        <v>45391.875</v>
      </c>
      <c r="H688" s="6">
        <f>_xlfn.XLOOKUP(C689,'2024'!C:C,'2024'!B:B,"")</f>
        <v>45392.743750000001</v>
      </c>
      <c r="I688" s="19">
        <f t="shared" si="40"/>
        <v>45391.875</v>
      </c>
      <c r="J688" s="6">
        <f>_xlfn.XLOOKUP(C688,'2025'!C:C,'2025'!A:A,"")</f>
        <v>45755.716666667002</v>
      </c>
      <c r="K688" s="6">
        <f>_xlfn.XLOOKUP(C688,'2025'!C:C,'2025'!B:B,"")</f>
        <v>45755.716666667002</v>
      </c>
      <c r="L688" s="19">
        <f t="shared" si="41"/>
        <v>45755.716666667002</v>
      </c>
      <c r="M688" s="16" cm="1">
        <f t="array" ref="M688">IFERROR(_xlfn.LET(
_xlpm.x,TRIM(C688),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8" s="16" t="b">
        <f t="shared" si="42"/>
        <v>1</v>
      </c>
    </row>
    <row r="689" spans="1:14" x14ac:dyDescent="0.25">
      <c r="A689" s="5" t="s">
        <v>123</v>
      </c>
      <c r="B689" s="16">
        <v>137</v>
      </c>
      <c r="C689" s="16" t="str">
        <v>Sontag - SNTG 120 - 123</v>
      </c>
      <c r="D689" s="6">
        <f>_xlfn.XLOOKUP(C689,'2023'!C:C,'2023'!A:A,"")</f>
        <v>45027.841666667002</v>
      </c>
      <c r="E689" s="6" t="str">
        <f>_xlfn.XLOOKUP(C689,'2023'!C:C,'2023'!B:B,"")</f>
        <v>No Selection Time Issued</v>
      </c>
      <c r="F689" s="19">
        <f t="shared" si="43"/>
        <v>45027.841666667002</v>
      </c>
      <c r="G689" s="6">
        <f>_xlfn.XLOOKUP(C689,'2024'!C:C,'2024'!A:A,"")</f>
        <v>45391.835416667003</v>
      </c>
      <c r="H689" s="6">
        <f>_xlfn.XLOOKUP(C690,'2024'!C:C,'2024'!B:B,"")</f>
        <v>45391.724999999999</v>
      </c>
      <c r="I689" s="19">
        <f t="shared" si="40"/>
        <v>45391.724999999999</v>
      </c>
      <c r="J689" s="6">
        <f>_xlfn.XLOOKUP(C689,'2025'!C:C,'2025'!A:A,"")</f>
        <v>45755.845833332998</v>
      </c>
      <c r="K689" s="6">
        <f>_xlfn.XLOOKUP(C689,'2025'!C:C,'2025'!B:B,"")</f>
        <v>45755.716666667002</v>
      </c>
      <c r="L689" s="19">
        <f t="shared" si="41"/>
        <v>45755.716666667002</v>
      </c>
      <c r="M689" s="16" cm="1">
        <f t="array" ref="M689">IFERROR(_xlfn.LET(
_xlpm.x,TRIM(C689),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89" s="16" t="b">
        <f t="shared" si="42"/>
        <v>1</v>
      </c>
    </row>
    <row r="690" spans="1:14" x14ac:dyDescent="0.25">
      <c r="A690" s="5" t="s">
        <v>123</v>
      </c>
      <c r="B690" s="16">
        <v>153</v>
      </c>
      <c r="C690" s="16" t="str">
        <v>Sontag - SNTG 120 - 124</v>
      </c>
      <c r="D690" s="6">
        <f>_xlfn.XLOOKUP(C690,'2023'!C:C,'2023'!A:A,"")</f>
        <v>45027.733333333003</v>
      </c>
      <c r="E690" s="6" t="str">
        <f>_xlfn.XLOOKUP(C690,'2023'!C:C,'2023'!B:B,"")</f>
        <v>No Selection Time Issued</v>
      </c>
      <c r="F690" s="19">
        <f t="shared" si="43"/>
        <v>45027.733333333003</v>
      </c>
      <c r="G690" s="6">
        <f>_xlfn.XLOOKUP(C690,'2024'!C:C,'2024'!A:A,"")</f>
        <v>45391.90625</v>
      </c>
      <c r="H690" s="6">
        <f>_xlfn.XLOOKUP(C691,'2024'!C:C,'2024'!B:B,"")</f>
        <v>45391.9</v>
      </c>
      <c r="I690" s="19">
        <f t="shared" si="40"/>
        <v>45391.9</v>
      </c>
      <c r="J690" s="6">
        <f>_xlfn.XLOOKUP(C690,'2025'!C:C,'2025'!A:A,"")</f>
        <v>45755.772916667003</v>
      </c>
      <c r="K690" s="6">
        <f>_xlfn.XLOOKUP(C690,'2025'!C:C,'2025'!B:B,"")</f>
        <v>45755.716666667002</v>
      </c>
      <c r="L690" s="19">
        <f t="shared" si="41"/>
        <v>45755.716666667002</v>
      </c>
      <c r="M690" s="16" cm="1">
        <f t="array" ref="M690">IFERROR(_xlfn.LET(
_xlpm.x,TRIM(C690),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0" s="16" t="b">
        <f t="shared" si="42"/>
        <v>1</v>
      </c>
    </row>
    <row r="691" spans="1:14" x14ac:dyDescent="0.25">
      <c r="A691" s="5" t="s">
        <v>123</v>
      </c>
      <c r="B691" s="16">
        <v>139</v>
      </c>
      <c r="C691" s="16" t="str">
        <v>Sontag - SNTG 130 - 131</v>
      </c>
      <c r="D691" s="6">
        <f>_xlfn.XLOOKUP(C691,'2023'!C:C,'2023'!A:A,"")</f>
        <v>45027.714583333</v>
      </c>
      <c r="E691" s="6">
        <f>_xlfn.XLOOKUP(C691,'2023'!C:C,'2023'!B:B,"")</f>
        <v>45029.731249999997</v>
      </c>
      <c r="F691" s="19">
        <f t="shared" si="43"/>
        <v>45027.714583333</v>
      </c>
      <c r="G691" s="6">
        <f>_xlfn.XLOOKUP(C691,'2024'!C:C,'2024'!A:A,"")</f>
        <v>45391.908333332998</v>
      </c>
      <c r="H691" s="6">
        <f>_xlfn.XLOOKUP(C692,'2024'!C:C,'2024'!B:B,"")</f>
        <v>45391.745833333</v>
      </c>
      <c r="I691" s="19">
        <f t="shared" si="40"/>
        <v>45391.745833333</v>
      </c>
      <c r="J691" s="6">
        <f>_xlfn.XLOOKUP(C691,'2025'!C:C,'2025'!A:A,"")</f>
        <v>45755.710416667003</v>
      </c>
      <c r="K691" s="6">
        <f>_xlfn.XLOOKUP(C691,'2025'!C:C,'2025'!B:B,"")</f>
        <v>45755.710416667003</v>
      </c>
      <c r="L691" s="19">
        <f t="shared" si="41"/>
        <v>45755.710416667003</v>
      </c>
      <c r="M691" s="16" cm="1">
        <f t="array" ref="M691">IFERROR(_xlfn.LET(
_xlpm.x,TRIM(C691),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1" s="16" t="b">
        <f t="shared" si="42"/>
        <v>1</v>
      </c>
    </row>
    <row r="692" spans="1:14" x14ac:dyDescent="0.25">
      <c r="A692" s="5" t="s">
        <v>145</v>
      </c>
      <c r="B692" s="16">
        <v>143</v>
      </c>
      <c r="C692" s="16" t="str">
        <v>Sontag - SNTG 130 - 132</v>
      </c>
      <c r="D692" s="6">
        <f>_xlfn.XLOOKUP(C692,'2023'!C:C,'2023'!A:A,"")</f>
        <v>45027.78125</v>
      </c>
      <c r="E692" s="6">
        <f>_xlfn.XLOOKUP(C692,'2023'!C:C,'2023'!B:B,"")</f>
        <v>45027.708333333001</v>
      </c>
      <c r="F692" s="19">
        <f t="shared" si="43"/>
        <v>45027.708333333001</v>
      </c>
      <c r="G692" s="6">
        <f>_xlfn.XLOOKUP(C692,'2024'!C:C,'2024'!A:A,"")</f>
        <v>45391.760416666999</v>
      </c>
      <c r="H692" s="6">
        <f>_xlfn.XLOOKUP(C693,'2024'!C:C,'2024'!B:B,"")</f>
        <v>45392.716666667002</v>
      </c>
      <c r="I692" s="19">
        <f t="shared" si="40"/>
        <v>45391.760416666999</v>
      </c>
      <c r="J692" s="6">
        <f>_xlfn.XLOOKUP(C692,'2025'!C:C,'2025'!A:A,"")</f>
        <v>45755.818749999999</v>
      </c>
      <c r="K692" s="6">
        <f>_xlfn.XLOOKUP(C692,'2025'!C:C,'2025'!B:B,"")</f>
        <v>45755.710416667003</v>
      </c>
      <c r="L692" s="19">
        <f t="shared" si="41"/>
        <v>45755.710416667003</v>
      </c>
      <c r="M692" s="16" cm="1">
        <f t="array" ref="M692">IFERROR(_xlfn.LET(
_xlpm.x,TRIM(C692),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2" s="16" t="b">
        <f t="shared" si="42"/>
        <v>1</v>
      </c>
    </row>
    <row r="693" spans="1:14" x14ac:dyDescent="0.25">
      <c r="A693" s="5" t="s">
        <v>145</v>
      </c>
      <c r="B693" s="16">
        <v>143</v>
      </c>
      <c r="C693" s="16" t="str">
        <v>Sontag - SNTG 130 - 133</v>
      </c>
      <c r="D693" s="6">
        <f>_xlfn.XLOOKUP(C693,'2023'!C:C,'2023'!A:A,"")</f>
        <v>45027.875</v>
      </c>
      <c r="E693" s="6" t="str">
        <f>_xlfn.XLOOKUP(C693,'2023'!C:C,'2023'!B:B,"")</f>
        <v>No Selection Time Issued</v>
      </c>
      <c r="F693" s="19">
        <f t="shared" si="43"/>
        <v>45027.875</v>
      </c>
      <c r="G693" s="6">
        <f>_xlfn.XLOOKUP(C693,'2024'!C:C,'2024'!A:A,"")</f>
        <v>45391.712500000001</v>
      </c>
      <c r="H693" s="6">
        <f>_xlfn.XLOOKUP(C694,'2024'!C:C,'2024'!B:B,"")</f>
        <v>45392.831250000003</v>
      </c>
      <c r="I693" s="19">
        <f t="shared" si="40"/>
        <v>45391.712500000001</v>
      </c>
      <c r="J693" s="6">
        <f>_xlfn.XLOOKUP(C693,'2025'!C:C,'2025'!A:A,"")</f>
        <v>45755.775000000001</v>
      </c>
      <c r="K693" s="6">
        <f>_xlfn.XLOOKUP(C693,'2025'!C:C,'2025'!B:B,"")</f>
        <v>45755.710416667003</v>
      </c>
      <c r="L693" s="19">
        <f t="shared" si="41"/>
        <v>45755.710416667003</v>
      </c>
      <c r="M693" s="16" cm="1">
        <f t="array" ref="M693">IFERROR(_xlfn.LET(
_xlpm.x,TRIM(C693),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3" s="16" t="b">
        <f t="shared" si="42"/>
        <v>1</v>
      </c>
    </row>
    <row r="694" spans="1:14" x14ac:dyDescent="0.25">
      <c r="A694" s="5" t="s">
        <v>145</v>
      </c>
      <c r="B694" s="16">
        <v>143</v>
      </c>
      <c r="C694" s="16" t="str">
        <v>Sontag - SNTG 130 - 134</v>
      </c>
      <c r="D694" s="6">
        <f>_xlfn.XLOOKUP(C694,'2023'!C:C,'2023'!A:A,"")</f>
        <v>45027.877083332998</v>
      </c>
      <c r="E694" s="6" t="str">
        <f>_xlfn.XLOOKUP(C694,'2023'!C:C,'2023'!B:B,"")</f>
        <v>No Selection Time Issued</v>
      </c>
      <c r="F694" s="19">
        <f t="shared" si="43"/>
        <v>45027.877083332998</v>
      </c>
      <c r="G694" s="6">
        <f>_xlfn.XLOOKUP(C694,'2024'!C:C,'2024'!A:A,"")</f>
        <v>45391.741666667003</v>
      </c>
      <c r="H694" s="6">
        <f>_xlfn.XLOOKUP(C695,'2024'!C:C,'2024'!B:B,"")</f>
        <v>45392.714583333</v>
      </c>
      <c r="I694" s="19">
        <f t="shared" si="40"/>
        <v>45391.741666667003</v>
      </c>
      <c r="J694" s="6">
        <f>_xlfn.XLOOKUP(C694,'2025'!C:C,'2025'!A:A,"")</f>
        <v>45755.8</v>
      </c>
      <c r="K694" s="6">
        <f>_xlfn.XLOOKUP(C694,'2025'!C:C,'2025'!B:B,"")</f>
        <v>45755.710416667003</v>
      </c>
      <c r="L694" s="19">
        <f t="shared" si="41"/>
        <v>45755.710416667003</v>
      </c>
      <c r="M694" s="16" cm="1">
        <f t="array" ref="M694">IFERROR(_xlfn.LET(
_xlpm.x,TRIM(C694),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4" s="16" t="b">
        <f t="shared" si="42"/>
        <v>1</v>
      </c>
    </row>
    <row r="695" spans="1:14" x14ac:dyDescent="0.25">
      <c r="A695" s="5" t="s">
        <v>690</v>
      </c>
      <c r="B695" s="16">
        <v>147</v>
      </c>
      <c r="C695" s="16" t="str">
        <v>Sontag - SNTG 130 - 135</v>
      </c>
      <c r="D695" s="6">
        <f>_xlfn.XLOOKUP(C695,'2023'!C:C,'2023'!A:A,"")</f>
        <v>45028.85</v>
      </c>
      <c r="E695" s="6" t="str">
        <f>_xlfn.XLOOKUP(C695,'2023'!C:C,'2023'!B:B,"")</f>
        <v>No Selection Time Issued</v>
      </c>
      <c r="F695" s="19">
        <f t="shared" si="43"/>
        <v>45028.85</v>
      </c>
      <c r="G695" s="6">
        <f>_xlfn.XLOOKUP(C695,'2024'!C:C,'2024'!A:A,"")</f>
        <v>45391.837500000001</v>
      </c>
      <c r="H695" s="6">
        <f>_xlfn.XLOOKUP(C696,'2024'!C:C,'2024'!B:B,"")</f>
        <v>45392.714583333</v>
      </c>
      <c r="I695" s="19">
        <f t="shared" si="40"/>
        <v>45391.837500000001</v>
      </c>
      <c r="J695" s="6">
        <f>_xlfn.XLOOKUP(C695,'2025'!C:C,'2025'!A:A,"")</f>
        <v>45755.872916667002</v>
      </c>
      <c r="K695" s="6">
        <f>_xlfn.XLOOKUP(C695,'2025'!C:C,'2025'!B:B,"")</f>
        <v>45755.710416667003</v>
      </c>
      <c r="L695" s="19">
        <f t="shared" si="41"/>
        <v>45755.710416667003</v>
      </c>
      <c r="M695" s="16" cm="1">
        <f t="array" ref="M695">IFERROR(_xlfn.LET(
_xlpm.x,TRIM(C695),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5" s="16" t="b">
        <f t="shared" si="42"/>
        <v>1</v>
      </c>
    </row>
    <row r="696" spans="1:14" x14ac:dyDescent="0.25">
      <c r="A696" s="5" t="s">
        <v>690</v>
      </c>
      <c r="B696" s="16">
        <v>152</v>
      </c>
      <c r="C696" s="16" t="str">
        <v>Sontag - SNTG 130 - 136</v>
      </c>
      <c r="D696" s="6">
        <f>_xlfn.XLOOKUP(C696,'2023'!C:C,'2023'!A:A,"")</f>
        <v>45027.768750000003</v>
      </c>
      <c r="E696" s="6">
        <f>_xlfn.XLOOKUP(C696,'2023'!C:C,'2023'!B:B,"")</f>
        <v>45029.708333333001</v>
      </c>
      <c r="F696" s="19">
        <f t="shared" si="43"/>
        <v>45027.768750000003</v>
      </c>
      <c r="G696" s="6">
        <f>_xlfn.XLOOKUP(C696,'2024'!C:C,'2024'!A:A,"")</f>
        <v>45391.90625</v>
      </c>
      <c r="H696" s="6">
        <f>_xlfn.XLOOKUP(C697,'2024'!C:C,'2024'!B:B,"")</f>
        <v>45392.747916667002</v>
      </c>
      <c r="I696" s="19">
        <f t="shared" si="40"/>
        <v>45391.90625</v>
      </c>
      <c r="J696" s="6">
        <f>_xlfn.XLOOKUP(C696,'2025'!C:C,'2025'!A:A,"")</f>
        <v>45755.893750000003</v>
      </c>
      <c r="K696" s="6">
        <f>_xlfn.XLOOKUP(C696,'2025'!C:C,'2025'!B:B,"")</f>
        <v>45755.710416667003</v>
      </c>
      <c r="L696" s="19">
        <f t="shared" si="41"/>
        <v>45755.710416667003</v>
      </c>
      <c r="M696" s="16" cm="1">
        <f t="array" ref="M696">IFERROR(_xlfn.LET(
_xlpm.x,TRIM(C696),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6" s="16" t="b">
        <f t="shared" si="42"/>
        <v>1</v>
      </c>
    </row>
    <row r="697" spans="1:14" x14ac:dyDescent="0.25">
      <c r="A697" s="5" t="s">
        <v>690</v>
      </c>
      <c r="B697" s="16">
        <v>138</v>
      </c>
      <c r="C697" s="16" t="str">
        <v>Sontag - SNTG 140 - 141</v>
      </c>
      <c r="D697" s="6">
        <f>_xlfn.XLOOKUP(C697,'2023'!C:C,'2023'!A:A,"")</f>
        <v>45027.837500000001</v>
      </c>
      <c r="E697" s="6">
        <f>_xlfn.XLOOKUP(C697,'2023'!C:C,'2023'!B:B,"")</f>
        <v>45027.733333333003</v>
      </c>
      <c r="F697" s="19">
        <f t="shared" si="43"/>
        <v>45027.733333333003</v>
      </c>
      <c r="G697" s="6">
        <f>_xlfn.XLOOKUP(C697,'2024'!C:C,'2024'!A:A,"")</f>
        <v>45391.716666667002</v>
      </c>
      <c r="H697" s="6">
        <f>_xlfn.XLOOKUP(C698,'2024'!C:C,'2024'!B:B,"")</f>
        <v>45393.710416667003</v>
      </c>
      <c r="I697" s="19">
        <f t="shared" si="40"/>
        <v>45391.716666667002</v>
      </c>
      <c r="J697" s="6">
        <f>_xlfn.XLOOKUP(C697,'2025'!C:C,'2025'!A:A,"")</f>
        <v>45755.714583333</v>
      </c>
      <c r="K697" s="6">
        <f>_xlfn.XLOOKUP(C697,'2025'!C:C,'2025'!B:B,"")</f>
        <v>45755.714583333</v>
      </c>
      <c r="L697" s="19">
        <f t="shared" si="41"/>
        <v>45755.714583333</v>
      </c>
      <c r="M697" s="16" cm="1">
        <f t="array" ref="M697">IFERROR(_xlfn.LET(
_xlpm.x,TRIM(C697),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7" s="16" t="b">
        <f t="shared" si="42"/>
        <v>1</v>
      </c>
    </row>
    <row r="698" spans="1:14" x14ac:dyDescent="0.25">
      <c r="A698" s="5" t="s">
        <v>280</v>
      </c>
      <c r="B698" s="16">
        <v>152</v>
      </c>
      <c r="C698" s="16" t="str">
        <v>Sontag - SNTG 140 - 142</v>
      </c>
      <c r="D698" s="6">
        <f>_xlfn.XLOOKUP(C698,'2023'!C:C,'2023'!A:A,"")</f>
        <v>45027.791666666999</v>
      </c>
      <c r="E698" s="6">
        <f>_xlfn.XLOOKUP(C698,'2023'!C:C,'2023'!B:B,"")</f>
        <v>45029.716666667002</v>
      </c>
      <c r="F698" s="19">
        <f t="shared" si="43"/>
        <v>45027.791666666999</v>
      </c>
      <c r="G698" s="6">
        <f>_xlfn.XLOOKUP(C698,'2024'!C:C,'2024'!A:A,"")</f>
        <v>45391.877083332998</v>
      </c>
      <c r="H698" s="6">
        <f>_xlfn.XLOOKUP(C699,'2024'!C:C,'2024'!B:B,"")</f>
        <v>45391.766666666997</v>
      </c>
      <c r="I698" s="19">
        <f t="shared" si="40"/>
        <v>45391.766666666997</v>
      </c>
      <c r="J698" s="6">
        <f>_xlfn.XLOOKUP(C698,'2025'!C:C,'2025'!A:A,"")</f>
        <v>45756.762499999997</v>
      </c>
      <c r="K698" s="6">
        <f>_xlfn.XLOOKUP(C698,'2025'!C:C,'2025'!B:B,"")</f>
        <v>45755.714583333</v>
      </c>
      <c r="L698" s="19">
        <f t="shared" si="41"/>
        <v>45755.714583333</v>
      </c>
      <c r="M698" s="16" cm="1">
        <f t="array" ref="M698">IFERROR(_xlfn.LET(
_xlpm.x,TRIM(C698),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8" s="16" t="b">
        <f t="shared" si="42"/>
        <v>1</v>
      </c>
    </row>
    <row r="699" spans="1:14" x14ac:dyDescent="0.25">
      <c r="A699" s="5" t="s">
        <v>280</v>
      </c>
      <c r="B699" s="16">
        <v>137</v>
      </c>
      <c r="C699" s="16" t="str">
        <v>Sontag - SNTG 140 - 143</v>
      </c>
      <c r="D699" s="6">
        <f>_xlfn.XLOOKUP(C699,'2023'!C:C,'2023'!A:A,"")</f>
        <v>45027.783333332998</v>
      </c>
      <c r="E699" s="6" t="str">
        <f>_xlfn.XLOOKUP(C699,'2023'!C:C,'2023'!B:B,"")</f>
        <v>No Selection Time Issued</v>
      </c>
      <c r="F699" s="19">
        <f t="shared" si="43"/>
        <v>45027.783333332998</v>
      </c>
      <c r="G699" s="6">
        <f>_xlfn.XLOOKUP(C699,'2024'!C:C,'2024'!A:A,"")</f>
        <v>45391.831250000003</v>
      </c>
      <c r="H699" s="6">
        <f>_xlfn.XLOOKUP(C700,'2024'!C:C,'2024'!B:B,"")</f>
        <v>45393.737500000003</v>
      </c>
      <c r="I699" s="19">
        <f t="shared" si="40"/>
        <v>45391.831250000003</v>
      </c>
      <c r="J699" s="6">
        <f>_xlfn.XLOOKUP(C699,'2025'!C:C,'2025'!A:A,"")</f>
        <v>45756.785416667</v>
      </c>
      <c r="K699" s="6">
        <f>_xlfn.XLOOKUP(C699,'2025'!C:C,'2025'!B:B,"")</f>
        <v>45755.714583333</v>
      </c>
      <c r="L699" s="19">
        <f t="shared" si="41"/>
        <v>45755.714583333</v>
      </c>
      <c r="M699" s="16" cm="1">
        <f t="array" ref="M699">IFERROR(_xlfn.LET(
_xlpm.x,TRIM(C699),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699" s="16" t="b">
        <f t="shared" si="42"/>
        <v>1</v>
      </c>
    </row>
    <row r="700" spans="1:14" x14ac:dyDescent="0.25">
      <c r="A700" s="5" t="s">
        <v>280</v>
      </c>
      <c r="B700" s="16">
        <v>151</v>
      </c>
      <c r="C700" s="16" t="str">
        <v>Sontag - SNTG 140 - 144</v>
      </c>
      <c r="D700" s="6">
        <f>_xlfn.XLOOKUP(C700,'2023'!C:C,'2023'!A:A,"")</f>
        <v>45027.722916667</v>
      </c>
      <c r="E700" s="6" t="str">
        <f>_xlfn.XLOOKUP(C700,'2023'!C:C,'2023'!B:B,"")</f>
        <v>No Selection Time Issued</v>
      </c>
      <c r="F700" s="19">
        <f t="shared" si="43"/>
        <v>45027.722916667</v>
      </c>
      <c r="G700" s="6">
        <f>_xlfn.XLOOKUP(C700,'2024'!C:C,'2024'!A:A,"")</f>
        <v>45391.831250000003</v>
      </c>
      <c r="H700" s="6">
        <f>_xlfn.XLOOKUP(C701,'2024'!C:C,'2024'!B:B,"")</f>
        <v>45391.731249999997</v>
      </c>
      <c r="I700" s="19">
        <f t="shared" si="40"/>
        <v>45391.731249999997</v>
      </c>
      <c r="J700" s="6">
        <f>_xlfn.XLOOKUP(C700,'2025'!C:C,'2025'!A:A,"")</f>
        <v>45756.814583332998</v>
      </c>
      <c r="K700" s="6">
        <f>_xlfn.XLOOKUP(C700,'2025'!C:C,'2025'!B:B,"")</f>
        <v>45755.714583333</v>
      </c>
      <c r="L700" s="19">
        <f t="shared" si="41"/>
        <v>45755.714583333</v>
      </c>
      <c r="M700" s="16" cm="1">
        <f t="array" ref="M700">IFERROR(_xlfn.LET(
_xlpm.x,TRIM(C700),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0" s="16" t="b">
        <f t="shared" si="42"/>
        <v>1</v>
      </c>
    </row>
    <row r="701" spans="1:14" x14ac:dyDescent="0.25">
      <c r="A701" s="5" t="s">
        <v>208</v>
      </c>
      <c r="B701" s="16">
        <v>136</v>
      </c>
      <c r="C701" s="16" t="str">
        <v>Sontag - SNTG 150 - 151</v>
      </c>
      <c r="D701" s="6">
        <f>_xlfn.XLOOKUP(C701,'2023'!C:C,'2023'!A:A,"")</f>
        <v>45028.854166666999</v>
      </c>
      <c r="E701" s="6" t="str">
        <f>_xlfn.XLOOKUP(C701,'2023'!C:C,'2023'!B:B,"")</f>
        <v>No Selection Time Issued</v>
      </c>
      <c r="F701" s="19">
        <f t="shared" si="43"/>
        <v>45028.854166666999</v>
      </c>
      <c r="G701" s="6">
        <f>_xlfn.XLOOKUP(C701,'2024'!C:C,'2024'!A:A,"")</f>
        <v>45391.875</v>
      </c>
      <c r="H701" s="6">
        <f>_xlfn.XLOOKUP(C702,'2024'!C:C,'2024'!B:B,"")</f>
        <v>45391.708333333001</v>
      </c>
      <c r="I701" s="19">
        <f t="shared" si="40"/>
        <v>45391.708333333001</v>
      </c>
      <c r="J701" s="6">
        <f>_xlfn.XLOOKUP(C701,'2025'!C:C,'2025'!A:A,"")</f>
        <v>45755.71875</v>
      </c>
      <c r="K701" s="6">
        <f>_xlfn.XLOOKUP(C701,'2025'!C:C,'2025'!B:B,"")</f>
        <v>45755.71875</v>
      </c>
      <c r="L701" s="19">
        <f t="shared" si="41"/>
        <v>45755.71875</v>
      </c>
      <c r="M701" s="16" cm="1">
        <f t="array" ref="M701">IFERROR(_xlfn.LET(
_xlpm.x,TRIM(C701),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1" s="16" t="b">
        <f t="shared" si="42"/>
        <v>1</v>
      </c>
    </row>
    <row r="702" spans="1:14" x14ac:dyDescent="0.25">
      <c r="A702" s="5" t="s">
        <v>208</v>
      </c>
      <c r="B702" s="16">
        <v>152</v>
      </c>
      <c r="C702" s="16" t="str">
        <v>Sontag - SNTG 150 - 152</v>
      </c>
      <c r="D702" s="6">
        <f>_xlfn.XLOOKUP(C702,'2023'!C:C,'2023'!A:A,"")</f>
        <v>45027.795833333003</v>
      </c>
      <c r="E702" s="6">
        <f>_xlfn.XLOOKUP(C702,'2023'!C:C,'2023'!B:B,"")</f>
        <v>45027.710416667003</v>
      </c>
      <c r="F702" s="19">
        <f t="shared" si="43"/>
        <v>45027.710416667003</v>
      </c>
      <c r="G702" s="6">
        <f>_xlfn.XLOOKUP(C702,'2024'!C:C,'2024'!A:A,"")</f>
        <v>45391.85</v>
      </c>
      <c r="H702" s="6">
        <f>_xlfn.XLOOKUP(C703,'2024'!C:C,'2024'!B:B,"")</f>
        <v>45391.712500000001</v>
      </c>
      <c r="I702" s="19">
        <f t="shared" si="40"/>
        <v>45391.712500000001</v>
      </c>
      <c r="J702" s="6">
        <f>_xlfn.XLOOKUP(C702,'2025'!C:C,'2025'!A:A,"")</f>
        <v>45756.854166666999</v>
      </c>
      <c r="K702" s="6">
        <f>_xlfn.XLOOKUP(C702,'2025'!C:C,'2025'!B:B,"")</f>
        <v>45755.71875</v>
      </c>
      <c r="L702" s="19">
        <f t="shared" si="41"/>
        <v>45755.71875</v>
      </c>
      <c r="M702" s="16" cm="1">
        <f t="array" ref="M702">IFERROR(_xlfn.LET(
_xlpm.x,TRIM(C702),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2" s="16" t="b">
        <f t="shared" si="42"/>
        <v>1</v>
      </c>
    </row>
    <row r="703" spans="1:14" x14ac:dyDescent="0.25">
      <c r="A703" s="5" t="s">
        <v>208</v>
      </c>
      <c r="B703" s="16">
        <v>136</v>
      </c>
      <c r="C703" s="16" t="str">
        <v>Sontag - SNTG 150 - 153</v>
      </c>
      <c r="D703" s="6">
        <f>_xlfn.XLOOKUP(C703,'2023'!C:C,'2023'!A:A,"")</f>
        <v>45027.90625</v>
      </c>
      <c r="E703" s="6" t="str">
        <f>_xlfn.XLOOKUP(C703,'2023'!C:C,'2023'!B:B,"")</f>
        <v>No Selection Time Issued</v>
      </c>
      <c r="F703" s="19">
        <f t="shared" si="43"/>
        <v>45027.90625</v>
      </c>
      <c r="G703" s="6">
        <f>_xlfn.XLOOKUP(C703,'2024'!C:C,'2024'!A:A,"")</f>
        <v>45392.85</v>
      </c>
      <c r="H703" s="6">
        <f>_xlfn.XLOOKUP(C704,'2024'!C:C,'2024'!B:B,"")</f>
        <v>45391.712500000001</v>
      </c>
      <c r="I703" s="19">
        <f t="shared" si="40"/>
        <v>45391.712500000001</v>
      </c>
      <c r="J703" s="6">
        <f>_xlfn.XLOOKUP(C703,'2025'!C:C,'2025'!A:A,"")</f>
        <v>45755.879166667</v>
      </c>
      <c r="K703" s="6">
        <f>_xlfn.XLOOKUP(C703,'2025'!C:C,'2025'!B:B,"")</f>
        <v>45755.71875</v>
      </c>
      <c r="L703" s="19">
        <f t="shared" si="41"/>
        <v>45755.71875</v>
      </c>
      <c r="M703" s="16" cm="1">
        <f t="array" ref="M703">IFERROR(_xlfn.LET(
_xlpm.x,TRIM(C703),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3" s="16" t="b">
        <f t="shared" si="42"/>
        <v>1</v>
      </c>
    </row>
    <row r="704" spans="1:14" x14ac:dyDescent="0.25">
      <c r="A704" s="5" t="s">
        <v>676</v>
      </c>
      <c r="B704" s="16">
        <v>151</v>
      </c>
      <c r="C704" s="16" t="str">
        <v>Sontag - SNTG 150 - 154</v>
      </c>
      <c r="D704" s="6">
        <f>_xlfn.XLOOKUP(C704,'2023'!C:C,'2023'!A:A,"")</f>
        <v>45027.716666667002</v>
      </c>
      <c r="E704" s="6">
        <f>_xlfn.XLOOKUP(C704,'2023'!C:C,'2023'!B:B,"")</f>
        <v>45027.75</v>
      </c>
      <c r="F704" s="19">
        <f t="shared" si="43"/>
        <v>45027.716666667002</v>
      </c>
      <c r="G704" s="6">
        <f>_xlfn.XLOOKUP(C704,'2024'!C:C,'2024'!A:A,"")</f>
        <v>45391.724999999999</v>
      </c>
      <c r="H704" s="6">
        <f>_xlfn.XLOOKUP(C705,'2024'!C:C,'2024'!B:B,"")</f>
        <v>45392.852083332997</v>
      </c>
      <c r="I704" s="19">
        <f t="shared" si="40"/>
        <v>45391.724999999999</v>
      </c>
      <c r="J704" s="6">
        <f>_xlfn.XLOOKUP(C704,'2025'!C:C,'2025'!A:A,"")</f>
        <v>45755.829166666997</v>
      </c>
      <c r="K704" s="6">
        <f>_xlfn.XLOOKUP(C704,'2025'!C:C,'2025'!B:B,"")</f>
        <v>45755.71875</v>
      </c>
      <c r="L704" s="19">
        <f t="shared" si="41"/>
        <v>45755.71875</v>
      </c>
      <c r="M704" s="16" cm="1">
        <f t="array" ref="M704">IFERROR(_xlfn.LET(
_xlpm.x,TRIM(C704),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4" s="16" t="b">
        <f t="shared" si="42"/>
        <v>1</v>
      </c>
    </row>
    <row r="705" spans="1:14" x14ac:dyDescent="0.25">
      <c r="A705" s="5" t="s">
        <v>676</v>
      </c>
      <c r="B705" s="16">
        <v>141</v>
      </c>
      <c r="C705" s="16" t="str">
        <v>Sontag - SNTG 160 - 161</v>
      </c>
      <c r="D705" s="6">
        <f>_xlfn.XLOOKUP(C705,'2023'!C:C,'2023'!A:A,"")</f>
        <v>45028.747916667002</v>
      </c>
      <c r="E705" s="6" t="str">
        <f>_xlfn.XLOOKUP(C705,'2023'!C:C,'2023'!B:B,"")</f>
        <v>No Selection Time Issued</v>
      </c>
      <c r="F705" s="19">
        <f t="shared" si="43"/>
        <v>45028.747916667002</v>
      </c>
      <c r="G705" s="6">
        <f>_xlfn.XLOOKUP(C705,'2024'!C:C,'2024'!A:A,"")</f>
        <v>45391.712500000001</v>
      </c>
      <c r="H705" s="6">
        <f>_xlfn.XLOOKUP(C706,'2024'!C:C,'2024'!B:B,"")</f>
        <v>45393.789583332997</v>
      </c>
      <c r="I705" s="19">
        <f t="shared" si="40"/>
        <v>45391.712500000001</v>
      </c>
      <c r="J705" s="6">
        <f>_xlfn.XLOOKUP(C705,'2025'!C:C,'2025'!A:A,"")</f>
        <v>45755.783333332998</v>
      </c>
      <c r="K705" s="6">
        <f>_xlfn.XLOOKUP(C705,'2025'!C:C,'2025'!B:B,"")</f>
        <v>45755.712500000001</v>
      </c>
      <c r="L705" s="19">
        <f t="shared" si="41"/>
        <v>45755.712500000001</v>
      </c>
      <c r="M705" s="16" cm="1">
        <f t="array" ref="M705">IFERROR(_xlfn.LET(
_xlpm.x,TRIM(C705),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5" s="16" t="b">
        <f t="shared" si="42"/>
        <v>1</v>
      </c>
    </row>
    <row r="706" spans="1:14" x14ac:dyDescent="0.25">
      <c r="A706" s="5" t="s">
        <v>676</v>
      </c>
      <c r="B706" s="16">
        <v>144</v>
      </c>
      <c r="C706" s="16" t="str">
        <v>Sontag - SNTG 160 - 162</v>
      </c>
      <c r="D706" s="6">
        <f>_xlfn.XLOOKUP(C706,'2023'!C:C,'2023'!A:A,"")</f>
        <v>45028.772916667003</v>
      </c>
      <c r="E706" s="6" t="str">
        <f>_xlfn.XLOOKUP(C706,'2023'!C:C,'2023'!B:B,"")</f>
        <v>No Selection Time Issued</v>
      </c>
      <c r="F706" s="19">
        <f t="shared" si="43"/>
        <v>45028.772916667003</v>
      </c>
      <c r="G706" s="6">
        <f>_xlfn.XLOOKUP(C706,'2024'!C:C,'2024'!A:A,"")</f>
        <v>45391.875</v>
      </c>
      <c r="H706" s="6">
        <f>_xlfn.XLOOKUP(C707,'2024'!C:C,'2024'!B:B,"")</f>
        <v>45392.75</v>
      </c>
      <c r="I706" s="19">
        <f t="shared" ref="I706:I769" si="44">_xlfn.LET(
_xlpm.ind,G706,
_xlpm.grp,H706,
IF(AND(NOT(ISNUMBER(_xlpm.ind)),NOT(ISNUMBER(_xlpm.grp))),"",
MIN(IF(ISNUMBER(_xlpm.ind),_xlpm.ind,1E+99),IF(ISNUMBER(_xlpm.grp),_xlpm.grp,1E+99))
)
)</f>
        <v>45391.875</v>
      </c>
      <c r="J706" s="6">
        <f>_xlfn.XLOOKUP(C706,'2025'!C:C,'2025'!A:A,"")</f>
        <v>45755.879166667</v>
      </c>
      <c r="K706" s="6">
        <f>_xlfn.XLOOKUP(C706,'2025'!C:C,'2025'!B:B,"")</f>
        <v>45755.712500000001</v>
      </c>
      <c r="L706" s="19">
        <f t="shared" ref="L706:L769" si="45">_xlfn.LET(_xlpm.ind,J706,_xlpm.grp,K706,IF(AND(NOT(ISNUMBER(_xlpm.ind)),NOT(ISNUMBER(_xlpm.grp))),"",MIN(IF(ISNUMBER(_xlpm.ind),_xlpm.ind,1E+99),IF(ISNUMBER(_xlpm.grp),_xlpm.grp,1E+99))))</f>
        <v>45755.712500000001</v>
      </c>
      <c r="M706" s="16" cm="1">
        <f t="array" ref="M706">IFERROR(_xlfn.LET(
_xlpm.x,TRIM(C706),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6" s="16" t="b">
        <f t="shared" ref="N706:N769" si="46">OR(_xlfn.TEXTBEFORE(C706," - ")="Blaisdell",_xlfn.TEXTBEFORE(C706," - ")="Mudd",_xlfn.TEXTBEFORE(C706," - ")="Dialynas",_xlfn.TEXTBEFORE(C706," - ")="Sontag")</f>
        <v>1</v>
      </c>
    </row>
    <row r="707" spans="1:14" x14ac:dyDescent="0.25">
      <c r="A707" s="5" t="s">
        <v>549</v>
      </c>
      <c r="B707" s="16">
        <v>138</v>
      </c>
      <c r="C707" s="16" t="str">
        <v>Sontag - SNTG 160 - 163</v>
      </c>
      <c r="D707" s="6">
        <f>_xlfn.XLOOKUP(C707,'2023'!C:C,'2023'!A:A,"")</f>
        <v>45028.731249999997</v>
      </c>
      <c r="E707" s="6">
        <f>_xlfn.XLOOKUP(C707,'2023'!C:C,'2023'!B:B,"")</f>
        <v>45028.733333333003</v>
      </c>
      <c r="F707" s="19">
        <f t="shared" ref="F707:F770" si="47">_xlfn.LET(
_xlpm.ind,D707,
_xlpm.grp,E707,
IF(AND(NOT(ISNUMBER(_xlpm.ind)),NOT(ISNUMBER(_xlpm.grp))),"",
MIN(IF(ISNUMBER(_xlpm.ind),_xlpm.ind,1E+99),IF(ISNUMBER(_xlpm.grp),_xlpm.grp,1E+99))
)
)</f>
        <v>45028.731249999997</v>
      </c>
      <c r="G707" s="6">
        <f>_xlfn.XLOOKUP(C707,'2024'!C:C,'2024'!A:A,"")</f>
        <v>45391.837500000001</v>
      </c>
      <c r="H707" s="6">
        <f>_xlfn.XLOOKUP(C708,'2024'!C:C,'2024'!B:B,"")</f>
        <v>45392.729166666999</v>
      </c>
      <c r="I707" s="19">
        <f t="shared" si="44"/>
        <v>45391.837500000001</v>
      </c>
      <c r="J707" s="6">
        <f>_xlfn.XLOOKUP(C707,'2025'!C:C,'2025'!A:A,"")</f>
        <v>45755.895833333001</v>
      </c>
      <c r="K707" s="6">
        <f>_xlfn.XLOOKUP(C707,'2025'!C:C,'2025'!B:B,"")</f>
        <v>45755.712500000001</v>
      </c>
      <c r="L707" s="19">
        <f t="shared" si="45"/>
        <v>45755.712500000001</v>
      </c>
      <c r="M707" s="16" cm="1">
        <f t="array" ref="M707">IFERROR(_xlfn.LET(
_xlpm.x,TRIM(C707),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7" s="16" t="b">
        <f t="shared" si="46"/>
        <v>1</v>
      </c>
    </row>
    <row r="708" spans="1:14" x14ac:dyDescent="0.25">
      <c r="A708" s="5" t="s">
        <v>719</v>
      </c>
      <c r="B708" s="16">
        <v>144</v>
      </c>
      <c r="C708" s="16" t="str">
        <v>Sontag - SNTG 160 - 164</v>
      </c>
      <c r="D708" s="6">
        <f>_xlfn.XLOOKUP(C708,'2023'!C:C,'2023'!A:A,"")</f>
        <v>45028.84375</v>
      </c>
      <c r="E708" s="6">
        <f>_xlfn.XLOOKUP(C708,'2023'!C:C,'2023'!B:B,"")</f>
        <v>45029.722916667</v>
      </c>
      <c r="F708" s="19">
        <f t="shared" si="47"/>
        <v>45028.84375</v>
      </c>
      <c r="G708" s="6">
        <f>_xlfn.XLOOKUP(C708,'2024'!C:C,'2024'!A:A,"")</f>
        <v>45391.881249999999</v>
      </c>
      <c r="H708" s="6">
        <f>_xlfn.XLOOKUP(C709,'2024'!C:C,'2024'!B:B,"")</f>
        <v>45393.741666667003</v>
      </c>
      <c r="I708" s="19">
        <f t="shared" si="44"/>
        <v>45391.881249999999</v>
      </c>
      <c r="J708" s="6">
        <f>_xlfn.XLOOKUP(C708,'2025'!C:C,'2025'!A:A,"")</f>
        <v>45755.837500000001</v>
      </c>
      <c r="K708" s="6">
        <f>_xlfn.XLOOKUP(C708,'2025'!C:C,'2025'!B:B,"")</f>
        <v>45755.712500000001</v>
      </c>
      <c r="L708" s="19">
        <f t="shared" si="45"/>
        <v>45755.712500000001</v>
      </c>
      <c r="M708" s="16" cm="1">
        <f t="array" ref="M708">IFERROR(_xlfn.LET(
_xlpm.x,TRIM(C708),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8" s="16" t="b">
        <f t="shared" si="46"/>
        <v>1</v>
      </c>
    </row>
    <row r="709" spans="1:14" x14ac:dyDescent="0.25">
      <c r="A709" s="5" t="s">
        <v>376</v>
      </c>
      <c r="B709" s="16">
        <v>141</v>
      </c>
      <c r="C709" s="16" t="str">
        <v>Sontag - SNTG 160 - 165</v>
      </c>
      <c r="D709" s="6">
        <f>_xlfn.XLOOKUP(C709,'2023'!C:C,'2023'!A:A,"")</f>
        <v>45027.820833332997</v>
      </c>
      <c r="E709" s="6" t="str">
        <f>_xlfn.XLOOKUP(C709,'2023'!C:C,'2023'!B:B,"")</f>
        <v>No Selection Time Issued</v>
      </c>
      <c r="F709" s="19">
        <f t="shared" si="47"/>
        <v>45027.820833332997</v>
      </c>
      <c r="G709" s="6">
        <f>_xlfn.XLOOKUP(C709,'2024'!C:C,'2024'!A:A,"")</f>
        <v>45391.868750000001</v>
      </c>
      <c r="H709" s="6">
        <f>_xlfn.XLOOKUP(C710,'2024'!C:C,'2024'!B:B,"")</f>
        <v>45391.762499999997</v>
      </c>
      <c r="I709" s="19">
        <f t="shared" si="44"/>
        <v>45391.762499999997</v>
      </c>
      <c r="J709" s="6">
        <f>_xlfn.XLOOKUP(C709,'2025'!C:C,'2025'!A:A,"")</f>
        <v>45755.712500000001</v>
      </c>
      <c r="K709" s="6">
        <f>_xlfn.XLOOKUP(C709,'2025'!C:C,'2025'!B:B,"")</f>
        <v>45755.712500000001</v>
      </c>
      <c r="L709" s="19">
        <f t="shared" si="45"/>
        <v>45755.712500000001</v>
      </c>
      <c r="M709" s="16" cm="1">
        <f t="array" ref="M709">IFERROR(_xlfn.LET(
_xlpm.x,TRIM(C709),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09" s="16" t="b">
        <f t="shared" si="46"/>
        <v>1</v>
      </c>
    </row>
    <row r="710" spans="1:14" x14ac:dyDescent="0.25">
      <c r="A710" s="5" t="s">
        <v>376</v>
      </c>
      <c r="B710" s="16">
        <v>150</v>
      </c>
      <c r="C710" s="16" t="str">
        <v>Sontag - SNTG 160 - 166</v>
      </c>
      <c r="D710" s="6">
        <f>_xlfn.XLOOKUP(C710,'2023'!C:C,'2023'!A:A,"")</f>
        <v>45027.708333333001</v>
      </c>
      <c r="E710" s="6" t="str">
        <f>_xlfn.XLOOKUP(C710,'2023'!C:C,'2023'!B:B,"")</f>
        <v>No Selection Time Issued</v>
      </c>
      <c r="F710" s="19">
        <f t="shared" si="47"/>
        <v>45027.708333333001</v>
      </c>
      <c r="G710" s="6">
        <f>_xlfn.XLOOKUP(C710,'2024'!C:C,'2024'!A:A,"")</f>
        <v>45391.783333332998</v>
      </c>
      <c r="H710" s="6">
        <f>_xlfn.XLOOKUP(C711,'2024'!C:C,'2024'!B:B,"")</f>
        <v>45392.720833332998</v>
      </c>
      <c r="I710" s="19">
        <f t="shared" si="44"/>
        <v>45391.783333332998</v>
      </c>
      <c r="J710" s="6">
        <f>_xlfn.XLOOKUP(C710,'2025'!C:C,'2025'!A:A,"")</f>
        <v>45755.770833333001</v>
      </c>
      <c r="K710" s="6">
        <f>_xlfn.XLOOKUP(C710,'2025'!C:C,'2025'!B:B,"")</f>
        <v>45755.712500000001</v>
      </c>
      <c r="L710" s="19">
        <f t="shared" si="45"/>
        <v>45755.712500000001</v>
      </c>
      <c r="M710" s="16" cm="1">
        <f t="array" ref="M710">IFERROR(_xlfn.LET(
_xlpm.x,TRIM(C710),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0" s="16" t="b">
        <f t="shared" si="46"/>
        <v>1</v>
      </c>
    </row>
    <row r="711" spans="1:14" x14ac:dyDescent="0.25">
      <c r="A711" s="5" t="s">
        <v>376</v>
      </c>
      <c r="B711" s="16">
        <v>134</v>
      </c>
      <c r="C711" s="16" t="str">
        <v>Sontag - SNTG 210 - 211</v>
      </c>
      <c r="D711" s="6">
        <f>_xlfn.XLOOKUP(C711,'2023'!C:C,'2023'!A:A,"")</f>
        <v>45027.716666667002</v>
      </c>
      <c r="E711" s="6">
        <f>_xlfn.XLOOKUP(C711,'2023'!C:C,'2023'!B:B,"")</f>
        <v>45027.789583332997</v>
      </c>
      <c r="F711" s="19">
        <f t="shared" si="47"/>
        <v>45027.716666667002</v>
      </c>
      <c r="G711" s="6">
        <f>_xlfn.XLOOKUP(C711,'2024'!C:C,'2024'!A:A,"")</f>
        <v>45391.910416667</v>
      </c>
      <c r="H711" s="6">
        <f>_xlfn.XLOOKUP(C712,'2024'!C:C,'2024'!B:B,"")</f>
        <v>45391.708333333001</v>
      </c>
      <c r="I711" s="19">
        <f t="shared" si="44"/>
        <v>45391.708333333001</v>
      </c>
      <c r="J711" s="6">
        <f>_xlfn.XLOOKUP(C711,'2025'!C:C,'2025'!A:A,"")</f>
        <v>45755.716666667002</v>
      </c>
      <c r="K711" s="6">
        <f>_xlfn.XLOOKUP(C711,'2025'!C:C,'2025'!B:B,"")</f>
        <v>45755.716666667002</v>
      </c>
      <c r="L711" s="19">
        <f t="shared" si="45"/>
        <v>45755.716666667002</v>
      </c>
      <c r="M711" s="16" cm="1">
        <f t="array" ref="M711">IFERROR(_xlfn.LET(
_xlpm.x,TRIM(C711),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1" s="16" t="b">
        <f t="shared" si="46"/>
        <v>1</v>
      </c>
    </row>
    <row r="712" spans="1:14" x14ac:dyDescent="0.25">
      <c r="A712" s="5" t="s">
        <v>381</v>
      </c>
      <c r="B712" s="16">
        <v>147</v>
      </c>
      <c r="C712" s="16" t="str">
        <v>Sontag - SNTG 210 - 212</v>
      </c>
      <c r="D712" s="6">
        <f>_xlfn.XLOOKUP(C712,'2023'!C:C,'2023'!A:A,"")</f>
        <v>45027.820833332997</v>
      </c>
      <c r="E712" s="6">
        <f>_xlfn.XLOOKUP(C712,'2023'!C:C,'2023'!B:B,"")</f>
        <v>45028.733333333003</v>
      </c>
      <c r="F712" s="19">
        <f t="shared" si="47"/>
        <v>45027.820833332997</v>
      </c>
      <c r="G712" s="6">
        <f>_xlfn.XLOOKUP(C712,'2024'!C:C,'2024'!A:A,"")</f>
        <v>45391.71875</v>
      </c>
      <c r="H712" s="6">
        <f>_xlfn.XLOOKUP(C713,'2024'!C:C,'2024'!B:B,"")</f>
        <v>45392.720833332998</v>
      </c>
      <c r="I712" s="19">
        <f t="shared" si="44"/>
        <v>45391.71875</v>
      </c>
      <c r="J712" s="6">
        <f>_xlfn.XLOOKUP(C712,'2025'!C:C,'2025'!A:A,"")</f>
        <v>45755.835416667003</v>
      </c>
      <c r="K712" s="6">
        <f>_xlfn.XLOOKUP(C712,'2025'!C:C,'2025'!B:B,"")</f>
        <v>45755.716666667002</v>
      </c>
      <c r="L712" s="19">
        <f t="shared" si="45"/>
        <v>45755.716666667002</v>
      </c>
      <c r="M712" s="16" cm="1">
        <f t="array" ref="M712">IFERROR(_xlfn.LET(
_xlpm.x,TRIM(C712),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2" s="16" t="b">
        <f t="shared" si="46"/>
        <v>1</v>
      </c>
    </row>
    <row r="713" spans="1:14" x14ac:dyDescent="0.25">
      <c r="A713" s="5" t="s">
        <v>381</v>
      </c>
      <c r="B713" s="16">
        <v>136</v>
      </c>
      <c r="C713" s="16" t="str">
        <v>Sontag - SNTG 210 - 213</v>
      </c>
      <c r="D713" s="6">
        <f>_xlfn.XLOOKUP(C713,'2023'!C:C,'2023'!A:A,"")</f>
        <v>45027.854166666999</v>
      </c>
      <c r="E713" s="6">
        <f>_xlfn.XLOOKUP(C713,'2023'!C:C,'2023'!B:B,"")</f>
        <v>45027.710416667003</v>
      </c>
      <c r="F713" s="19">
        <f t="shared" si="47"/>
        <v>45027.710416667003</v>
      </c>
      <c r="G713" s="6">
        <f>_xlfn.XLOOKUP(C713,'2024'!C:C,'2024'!A:A,"")</f>
        <v>45391.727083332997</v>
      </c>
      <c r="H713" s="6">
        <f>_xlfn.XLOOKUP(C714,'2024'!C:C,'2024'!B:B,"")</f>
        <v>45393.770833333001</v>
      </c>
      <c r="I713" s="19">
        <f t="shared" si="44"/>
        <v>45391.727083332997</v>
      </c>
      <c r="J713" s="6">
        <f>_xlfn.XLOOKUP(C713,'2025'!C:C,'2025'!A:A,"")</f>
        <v>45755.877083332998</v>
      </c>
      <c r="K713" s="6">
        <f>_xlfn.XLOOKUP(C713,'2025'!C:C,'2025'!B:B,"")</f>
        <v>45755.716666667002</v>
      </c>
      <c r="L713" s="19">
        <f t="shared" si="45"/>
        <v>45755.716666667002</v>
      </c>
      <c r="M713" s="16" cm="1">
        <f t="array" ref="M713">IFERROR(_xlfn.LET(
_xlpm.x,TRIM(C713),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3" s="16" t="b">
        <f t="shared" si="46"/>
        <v>1</v>
      </c>
    </row>
    <row r="714" spans="1:14" x14ac:dyDescent="0.25">
      <c r="A714" s="5" t="s">
        <v>381</v>
      </c>
      <c r="B714" s="16">
        <v>154</v>
      </c>
      <c r="C714" s="16" t="str">
        <v>Sontag - SNTG 210 - 214</v>
      </c>
      <c r="D714" s="6">
        <f>_xlfn.XLOOKUP(C714,'2023'!C:C,'2023'!A:A,"")</f>
        <v>45027.868750000001</v>
      </c>
      <c r="E714" s="6" t="str">
        <f>_xlfn.XLOOKUP(C714,'2023'!C:C,'2023'!B:B,"")</f>
        <v>No Selection Time Issued</v>
      </c>
      <c r="F714" s="19">
        <f t="shared" si="47"/>
        <v>45027.868750000001</v>
      </c>
      <c r="G714" s="6">
        <f>_xlfn.XLOOKUP(C714,'2024'!C:C,'2024'!A:A,"")</f>
        <v>45392.741666667003</v>
      </c>
      <c r="H714" s="6">
        <f>_xlfn.XLOOKUP(C715,'2024'!C:C,'2024'!B:B,"")</f>
        <v>45393.791666666999</v>
      </c>
      <c r="I714" s="19">
        <f t="shared" si="44"/>
        <v>45392.741666667003</v>
      </c>
      <c r="J714" s="6">
        <f>_xlfn.XLOOKUP(C714,'2025'!C:C,'2025'!A:A,"")</f>
        <v>45755.885416666999</v>
      </c>
      <c r="K714" s="6">
        <f>_xlfn.XLOOKUP(C714,'2025'!C:C,'2025'!B:B,"")</f>
        <v>45755.716666667002</v>
      </c>
      <c r="L714" s="19">
        <f t="shared" si="45"/>
        <v>45755.716666667002</v>
      </c>
      <c r="M714" s="16" cm="1">
        <f t="array" ref="M714">IFERROR(_xlfn.LET(
_xlpm.x,TRIM(C714),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4" s="16" t="b">
        <f t="shared" si="46"/>
        <v>1</v>
      </c>
    </row>
    <row r="715" spans="1:14" x14ac:dyDescent="0.25">
      <c r="A715" s="5" t="s">
        <v>774</v>
      </c>
      <c r="B715" s="16">
        <v>135</v>
      </c>
      <c r="C715" s="16" t="str">
        <v>Sontag - SNTG 220 - 221</v>
      </c>
      <c r="D715" s="6">
        <f>_xlfn.XLOOKUP(C715,'2023'!C:C,'2023'!A:A,"")</f>
        <v>45027.716666667002</v>
      </c>
      <c r="E715" s="6">
        <f>_xlfn.XLOOKUP(C715,'2023'!C:C,'2023'!B:B,"")</f>
        <v>45027.731249999997</v>
      </c>
      <c r="F715" s="19">
        <f t="shared" si="47"/>
        <v>45027.716666667002</v>
      </c>
      <c r="G715" s="6">
        <f>_xlfn.XLOOKUP(C715,'2024'!C:C,'2024'!A:A,"")</f>
        <v>45391.864583333001</v>
      </c>
      <c r="H715" s="6">
        <f>_xlfn.XLOOKUP(C716,'2024'!C:C,'2024'!B:B,"")</f>
        <v>45392.735416666997</v>
      </c>
      <c r="I715" s="19">
        <f t="shared" si="44"/>
        <v>45391.864583333001</v>
      </c>
      <c r="J715" s="6">
        <f>_xlfn.XLOOKUP(C715,'2025'!C:C,'2025'!A:A,"")</f>
        <v>45755.897916667003</v>
      </c>
      <c r="K715" s="6">
        <f>_xlfn.XLOOKUP(C715,'2025'!C:C,'2025'!B:B,"")</f>
        <v>45755.712500000001</v>
      </c>
      <c r="L715" s="19">
        <f t="shared" si="45"/>
        <v>45755.712500000001</v>
      </c>
      <c r="M715" s="16" cm="1">
        <f t="array" ref="M715">IFERROR(_xlfn.LET(
_xlpm.x,TRIM(C715),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5" s="16" t="b">
        <f t="shared" si="46"/>
        <v>1</v>
      </c>
    </row>
    <row r="716" spans="1:14" x14ac:dyDescent="0.25">
      <c r="A716" s="5" t="s">
        <v>774</v>
      </c>
      <c r="B716" s="16">
        <v>151</v>
      </c>
      <c r="C716" s="16" t="str">
        <v>Sontag - SNTG 220 - 222</v>
      </c>
      <c r="D716" s="6">
        <f>_xlfn.XLOOKUP(C716,'2023'!C:C,'2023'!A:A,"")</f>
        <v>45027.837500000001</v>
      </c>
      <c r="E716" s="6" t="str">
        <f>_xlfn.XLOOKUP(C716,'2023'!C:C,'2023'!B:B,"")</f>
        <v>No Selection Time Issued</v>
      </c>
      <c r="F716" s="19">
        <f t="shared" si="47"/>
        <v>45027.837500000001</v>
      </c>
      <c r="G716" s="6">
        <f>_xlfn.XLOOKUP(C716,'2024'!C:C,'2024'!A:A,"")</f>
        <v>45391.852083332997</v>
      </c>
      <c r="H716" s="6">
        <f>_xlfn.XLOOKUP(C717,'2024'!C:C,'2024'!B:B,"")</f>
        <v>45391.75</v>
      </c>
      <c r="I716" s="19">
        <f t="shared" si="44"/>
        <v>45391.75</v>
      </c>
      <c r="J716" s="6">
        <f>_xlfn.XLOOKUP(C716,'2025'!C:C,'2025'!A:A,"")</f>
        <v>45755.712500000001</v>
      </c>
      <c r="K716" s="6">
        <f>_xlfn.XLOOKUP(C716,'2025'!C:C,'2025'!B:B,"")</f>
        <v>45755.712500000001</v>
      </c>
      <c r="L716" s="19">
        <f t="shared" si="45"/>
        <v>45755.712500000001</v>
      </c>
      <c r="M716" s="16" cm="1">
        <f t="array" ref="M716">IFERROR(_xlfn.LET(
_xlpm.x,TRIM(C716),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6" s="16" t="b">
        <f t="shared" si="46"/>
        <v>1</v>
      </c>
    </row>
    <row r="717" spans="1:14" x14ac:dyDescent="0.25">
      <c r="A717" s="5" t="s">
        <v>778</v>
      </c>
      <c r="B717" s="16">
        <v>136</v>
      </c>
      <c r="C717" s="16" t="str">
        <v>Sontag - SNTG 220 - 223</v>
      </c>
      <c r="D717" s="6">
        <f>_xlfn.XLOOKUP(C717,'2023'!C:C,'2023'!A:A,"")</f>
        <v>45027.829166666997</v>
      </c>
      <c r="E717" s="6">
        <f>_xlfn.XLOOKUP(C717,'2023'!C:C,'2023'!B:B,"")</f>
        <v>45029.841666667002</v>
      </c>
      <c r="F717" s="19">
        <f t="shared" si="47"/>
        <v>45027.829166666997</v>
      </c>
      <c r="G717" s="6">
        <f>_xlfn.XLOOKUP(C717,'2024'!C:C,'2024'!A:A,"")</f>
        <v>45391.893750000003</v>
      </c>
      <c r="H717" s="6">
        <f>_xlfn.XLOOKUP(C718,'2024'!C:C,'2024'!B:B,"")</f>
        <v>45392.762499999997</v>
      </c>
      <c r="I717" s="19">
        <f t="shared" si="44"/>
        <v>45391.893750000003</v>
      </c>
      <c r="J717" s="6">
        <f>_xlfn.XLOOKUP(C717,'2025'!C:C,'2025'!A:A,"")</f>
        <v>45756.783333332998</v>
      </c>
      <c r="K717" s="6">
        <f>_xlfn.XLOOKUP(C717,'2025'!C:C,'2025'!B:B,"")</f>
        <v>45755.712500000001</v>
      </c>
      <c r="L717" s="19">
        <f t="shared" si="45"/>
        <v>45755.712500000001</v>
      </c>
      <c r="M717" s="16" cm="1">
        <f t="array" ref="M717">IFERROR(_xlfn.LET(
_xlpm.x,TRIM(C717),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7" s="16" t="b">
        <f t="shared" si="46"/>
        <v>1</v>
      </c>
    </row>
    <row r="718" spans="1:14" x14ac:dyDescent="0.25">
      <c r="A718" s="5" t="s">
        <v>778</v>
      </c>
      <c r="B718" s="16">
        <v>153</v>
      </c>
      <c r="C718" s="16" t="str">
        <v>Sontag - SNTG 220 - 224</v>
      </c>
      <c r="D718" s="6">
        <f>_xlfn.XLOOKUP(C718,'2023'!C:C,'2023'!A:A,"")</f>
        <v>45028.833333333001</v>
      </c>
      <c r="E718" s="6">
        <f>_xlfn.XLOOKUP(C718,'2023'!C:C,'2023'!B:B,"")</f>
        <v>45029.71875</v>
      </c>
      <c r="F718" s="19">
        <f t="shared" si="47"/>
        <v>45028.833333333001</v>
      </c>
      <c r="G718" s="6">
        <f>_xlfn.XLOOKUP(C718,'2024'!C:C,'2024'!A:A,"")</f>
        <v>45391.714583333</v>
      </c>
      <c r="H718" s="6">
        <f>_xlfn.XLOOKUP(C719,'2024'!C:C,'2024'!B:B,"")</f>
        <v>45392.733333333003</v>
      </c>
      <c r="I718" s="19">
        <f t="shared" si="44"/>
        <v>45391.714583333</v>
      </c>
      <c r="J718" s="6">
        <f>_xlfn.XLOOKUP(C718,'2025'!C:C,'2025'!A:A,"")</f>
        <v>45755.902083333</v>
      </c>
      <c r="K718" s="6">
        <f>_xlfn.XLOOKUP(C718,'2025'!C:C,'2025'!B:B,"")</f>
        <v>45755.712500000001</v>
      </c>
      <c r="L718" s="19">
        <f t="shared" si="45"/>
        <v>45755.712500000001</v>
      </c>
      <c r="M718" s="16" cm="1">
        <f t="array" ref="M718">IFERROR(_xlfn.LET(
_xlpm.x,TRIM(C718),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8" s="16" t="b">
        <f t="shared" si="46"/>
        <v>1</v>
      </c>
    </row>
    <row r="719" spans="1:14" x14ac:dyDescent="0.25">
      <c r="A719" s="5" t="s">
        <v>679</v>
      </c>
      <c r="B719" s="16">
        <v>139</v>
      </c>
      <c r="C719" s="16" t="str">
        <v>Sontag - SNTG 230 - 231</v>
      </c>
      <c r="D719" s="6">
        <f>_xlfn.XLOOKUP(C719,'2023'!C:C,'2023'!A:A,"")</f>
        <v>45027.904166667002</v>
      </c>
      <c r="E719" s="6">
        <f>_xlfn.XLOOKUP(C719,'2023'!C:C,'2023'!B:B,"")</f>
        <v>45027.779166667002</v>
      </c>
      <c r="F719" s="19">
        <f t="shared" si="47"/>
        <v>45027.779166667002</v>
      </c>
      <c r="G719" s="6">
        <f>_xlfn.XLOOKUP(C719,'2024'!C:C,'2024'!A:A,"")</f>
        <v>45391.708333333001</v>
      </c>
      <c r="H719" s="6">
        <f>_xlfn.XLOOKUP(C720,'2024'!C:C,'2024'!B:B,"")</f>
        <v>45391.714583333</v>
      </c>
      <c r="I719" s="19">
        <f t="shared" si="44"/>
        <v>45391.708333333001</v>
      </c>
      <c r="J719" s="6">
        <f>_xlfn.XLOOKUP(C719,'2025'!C:C,'2025'!A:A,"")</f>
        <v>45755.883333332997</v>
      </c>
      <c r="K719" s="6">
        <f>_xlfn.XLOOKUP(C719,'2025'!C:C,'2025'!B:B,"")</f>
        <v>45755.708333333001</v>
      </c>
      <c r="L719" s="19">
        <f t="shared" si="45"/>
        <v>45755.708333333001</v>
      </c>
      <c r="M719" s="16" cm="1">
        <f t="array" ref="M719">IFERROR(_xlfn.LET(
_xlpm.x,TRIM(C719),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19" s="16" t="b">
        <f t="shared" si="46"/>
        <v>1</v>
      </c>
    </row>
    <row r="720" spans="1:14" x14ac:dyDescent="0.25">
      <c r="A720" s="5" t="s">
        <v>679</v>
      </c>
      <c r="B720" s="16">
        <v>143</v>
      </c>
      <c r="C720" s="16" t="str">
        <v>Sontag - SNTG 230 - 232</v>
      </c>
      <c r="D720" s="6">
        <f>_xlfn.XLOOKUP(C720,'2023'!C:C,'2023'!A:A,"")</f>
        <v>45027.712500000001</v>
      </c>
      <c r="E720" s="6" t="str">
        <f>_xlfn.XLOOKUP(C720,'2023'!C:C,'2023'!B:B,"")</f>
        <v>No Selection Time Issued</v>
      </c>
      <c r="F720" s="19">
        <f t="shared" si="47"/>
        <v>45027.712500000001</v>
      </c>
      <c r="G720" s="6">
        <f>_xlfn.XLOOKUP(C720,'2024'!C:C,'2024'!A:A,"")</f>
        <v>45391.889583333003</v>
      </c>
      <c r="H720" s="6">
        <f>_xlfn.XLOOKUP(C721,'2024'!C:C,'2024'!B:B,"")</f>
        <v>45392.735416666997</v>
      </c>
      <c r="I720" s="19">
        <f t="shared" si="44"/>
        <v>45391.889583333003</v>
      </c>
      <c r="J720" s="6">
        <f>_xlfn.XLOOKUP(C720,'2025'!C:C,'2025'!A:A,"")</f>
        <v>45755.827083333003</v>
      </c>
      <c r="K720" s="6">
        <f>_xlfn.XLOOKUP(C720,'2025'!C:C,'2025'!B:B,"")</f>
        <v>45755.708333333001</v>
      </c>
      <c r="L720" s="19">
        <f t="shared" si="45"/>
        <v>45755.708333333001</v>
      </c>
      <c r="M720" s="16" cm="1">
        <f t="array" ref="M720">IFERROR(_xlfn.LET(
_xlpm.x,TRIM(C720),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0" s="16" t="b">
        <f t="shared" si="46"/>
        <v>1</v>
      </c>
    </row>
    <row r="721" spans="1:14" x14ac:dyDescent="0.25">
      <c r="A721" s="5" t="s">
        <v>679</v>
      </c>
      <c r="B721" s="16">
        <v>143</v>
      </c>
      <c r="C721" s="16" t="str">
        <v>Sontag - SNTG 230 - 233</v>
      </c>
      <c r="D721" s="6">
        <f>_xlfn.XLOOKUP(C721,'2023'!C:C,'2023'!A:A,"")</f>
        <v>45028.820833332997</v>
      </c>
      <c r="E721" s="6" t="str">
        <f>_xlfn.XLOOKUP(C721,'2023'!C:C,'2023'!B:B,"")</f>
        <v>No Selection Time Issued</v>
      </c>
      <c r="F721" s="19">
        <f t="shared" si="47"/>
        <v>45028.820833332997</v>
      </c>
      <c r="G721" s="6">
        <f>_xlfn.XLOOKUP(C721,'2024'!C:C,'2024'!A:A,"")</f>
        <v>45391.787499999999</v>
      </c>
      <c r="H721" s="6">
        <f>_xlfn.XLOOKUP(C722,'2024'!C:C,'2024'!B:B,"")</f>
        <v>45391.772916667003</v>
      </c>
      <c r="I721" s="19">
        <f t="shared" si="44"/>
        <v>45391.772916667003</v>
      </c>
      <c r="J721" s="6">
        <f>_xlfn.XLOOKUP(C721,'2025'!C:C,'2025'!A:A,"")</f>
        <v>45755.764583333003</v>
      </c>
      <c r="K721" s="6">
        <f>_xlfn.XLOOKUP(C721,'2025'!C:C,'2025'!B:B,"")</f>
        <v>45755.708333333001</v>
      </c>
      <c r="L721" s="19">
        <f t="shared" si="45"/>
        <v>45755.708333333001</v>
      </c>
      <c r="M721" s="16" cm="1">
        <f t="array" ref="M721">IFERROR(_xlfn.LET(
_xlpm.x,TRIM(C721),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1" s="16" t="b">
        <f t="shared" si="46"/>
        <v>1</v>
      </c>
    </row>
    <row r="722" spans="1:14" x14ac:dyDescent="0.25">
      <c r="A722" s="5" t="s">
        <v>115</v>
      </c>
      <c r="B722" s="16">
        <v>143</v>
      </c>
      <c r="C722" s="16" t="str">
        <v>Sontag - SNTG 230 - 234</v>
      </c>
      <c r="D722" s="6">
        <f>_xlfn.XLOOKUP(C722,'2023'!C:C,'2023'!A:A,"")</f>
        <v>45027.787499999999</v>
      </c>
      <c r="E722" s="6" t="str">
        <f>_xlfn.XLOOKUP(C722,'2023'!C:C,'2023'!B:B,"")</f>
        <v>No Selection Time Issued</v>
      </c>
      <c r="F722" s="19">
        <f t="shared" si="47"/>
        <v>45027.787499999999</v>
      </c>
      <c r="G722" s="6">
        <f>_xlfn.XLOOKUP(C722,'2024'!C:C,'2024'!A:A,"")</f>
        <v>45391.764583333003</v>
      </c>
      <c r="H722" s="6">
        <f>_xlfn.XLOOKUP(C723,'2024'!C:C,'2024'!B:B,"")</f>
        <v>45392.71875</v>
      </c>
      <c r="I722" s="19">
        <f t="shared" si="44"/>
        <v>45391.764583333003</v>
      </c>
      <c r="J722" s="6">
        <f>_xlfn.XLOOKUP(C722,'2025'!C:C,'2025'!A:A,"")</f>
        <v>45755.891666666997</v>
      </c>
      <c r="K722" s="6">
        <f>_xlfn.XLOOKUP(C722,'2025'!C:C,'2025'!B:B,"")</f>
        <v>45755.708333333001</v>
      </c>
      <c r="L722" s="19">
        <f t="shared" si="45"/>
        <v>45755.708333333001</v>
      </c>
      <c r="M722" s="16" cm="1">
        <f t="array" ref="M722">IFERROR(_xlfn.LET(
_xlpm.x,TRIM(C722),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2" s="16" t="b">
        <f t="shared" si="46"/>
        <v>1</v>
      </c>
    </row>
    <row r="723" spans="1:14" x14ac:dyDescent="0.25">
      <c r="A723" s="5" t="s">
        <v>115</v>
      </c>
      <c r="B723" s="16">
        <v>147</v>
      </c>
      <c r="C723" s="16" t="str">
        <v>Sontag - SNTG 230 - 235</v>
      </c>
      <c r="D723" s="6">
        <f>_xlfn.XLOOKUP(C723,'2023'!C:C,'2023'!A:A,"")</f>
        <v>45027.90625</v>
      </c>
      <c r="E723" s="6">
        <f>_xlfn.XLOOKUP(C723,'2023'!C:C,'2023'!B:B,"")</f>
        <v>45027.745833333</v>
      </c>
      <c r="F723" s="19">
        <f t="shared" si="47"/>
        <v>45027.745833333</v>
      </c>
      <c r="G723" s="6">
        <f>_xlfn.XLOOKUP(C723,'2024'!C:C,'2024'!A:A,"")</f>
        <v>45391.839583333</v>
      </c>
      <c r="H723" s="6">
        <f>_xlfn.XLOOKUP(C724,'2024'!C:C,'2024'!B:B,"")</f>
        <v>45391.712500000001</v>
      </c>
      <c r="I723" s="19">
        <f t="shared" si="44"/>
        <v>45391.712500000001</v>
      </c>
      <c r="J723" s="6">
        <f>_xlfn.XLOOKUP(C723,'2025'!C:C,'2025'!A:A,"")</f>
        <v>45755.708333333001</v>
      </c>
      <c r="K723" s="6">
        <f>_xlfn.XLOOKUP(C723,'2025'!C:C,'2025'!B:B,"")</f>
        <v>45755.708333333001</v>
      </c>
      <c r="L723" s="19">
        <f t="shared" si="45"/>
        <v>45755.708333333001</v>
      </c>
      <c r="M723" s="16" cm="1">
        <f t="array" ref="M723">IFERROR(_xlfn.LET(
_xlpm.x,TRIM(C723),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3" s="16" t="b">
        <f t="shared" si="46"/>
        <v>1</v>
      </c>
    </row>
    <row r="724" spans="1:14" x14ac:dyDescent="0.25">
      <c r="A724" s="5" t="s">
        <v>115</v>
      </c>
      <c r="B724" s="16">
        <v>152</v>
      </c>
      <c r="C724" s="16" t="str">
        <v>Sontag - SNTG 230 - 236</v>
      </c>
      <c r="D724" s="6">
        <f>_xlfn.XLOOKUP(C724,'2023'!C:C,'2023'!A:A,"")</f>
        <v>45027.766666666997</v>
      </c>
      <c r="E724" s="6">
        <f>_xlfn.XLOOKUP(C724,'2023'!C:C,'2023'!B:B,"")</f>
        <v>45027.716666667002</v>
      </c>
      <c r="F724" s="19">
        <f t="shared" si="47"/>
        <v>45027.716666667002</v>
      </c>
      <c r="G724" s="6">
        <f>_xlfn.XLOOKUP(C724,'2024'!C:C,'2024'!A:A,"")</f>
        <v>45391.902083333</v>
      </c>
      <c r="H724" s="6">
        <f>_xlfn.XLOOKUP(C725,'2024'!C:C,'2024'!B:B,"")</f>
        <v>45391.735416666997</v>
      </c>
      <c r="I724" s="19">
        <f t="shared" si="44"/>
        <v>45391.735416666997</v>
      </c>
      <c r="J724" s="6">
        <f>_xlfn.XLOOKUP(C724,'2025'!C:C,'2025'!A:A,"")</f>
        <v>45755.893750000003</v>
      </c>
      <c r="K724" s="6">
        <f>_xlfn.XLOOKUP(C724,'2025'!C:C,'2025'!B:B,"")</f>
        <v>45755.708333333001</v>
      </c>
      <c r="L724" s="19">
        <f t="shared" si="45"/>
        <v>45755.708333333001</v>
      </c>
      <c r="M724" s="16" cm="1">
        <f t="array" ref="M724">IFERROR(_xlfn.LET(
_xlpm.x,TRIM(C724),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4" s="16" t="b">
        <f t="shared" si="46"/>
        <v>1</v>
      </c>
    </row>
    <row r="725" spans="1:14" x14ac:dyDescent="0.25">
      <c r="A725" s="5" t="s">
        <v>278</v>
      </c>
      <c r="B725" s="16">
        <v>138</v>
      </c>
      <c r="C725" s="16" t="str">
        <v>Sontag - SNTG 240 - 241</v>
      </c>
      <c r="D725" s="6">
        <f>_xlfn.XLOOKUP(C725,'2023'!C:C,'2023'!A:A,"")</f>
        <v>45027.75</v>
      </c>
      <c r="E725" s="6" t="str">
        <f>_xlfn.XLOOKUP(C725,'2023'!C:C,'2023'!B:B,"")</f>
        <v>No Selection Time Issued</v>
      </c>
      <c r="F725" s="19">
        <f t="shared" si="47"/>
        <v>45027.75</v>
      </c>
      <c r="G725" s="6">
        <f>_xlfn.XLOOKUP(C725,'2024'!C:C,'2024'!A:A,"")</f>
        <v>45391.835416667003</v>
      </c>
      <c r="H725" s="6">
        <f>_xlfn.XLOOKUP(C726,'2024'!C:C,'2024'!B:B,"")</f>
        <v>45391.708333333001</v>
      </c>
      <c r="I725" s="19">
        <f t="shared" si="44"/>
        <v>45391.708333333001</v>
      </c>
      <c r="J725" s="6">
        <f>_xlfn.XLOOKUP(C725,'2025'!C:C,'2025'!A:A,"")</f>
        <v>45755.883333332997</v>
      </c>
      <c r="K725" s="6">
        <f>_xlfn.XLOOKUP(C725,'2025'!C:C,'2025'!B:B,"")</f>
        <v>45755.714583333</v>
      </c>
      <c r="L725" s="19">
        <f t="shared" si="45"/>
        <v>45755.714583333</v>
      </c>
      <c r="M725" s="16" cm="1">
        <f t="array" ref="M725">IFERROR(_xlfn.LET(
_xlpm.x,TRIM(C725),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5" s="16" t="b">
        <f t="shared" si="46"/>
        <v>1</v>
      </c>
    </row>
    <row r="726" spans="1:14" x14ac:dyDescent="0.25">
      <c r="A726" s="5" t="s">
        <v>278</v>
      </c>
      <c r="B726" s="16">
        <v>152</v>
      </c>
      <c r="C726" s="16" t="str">
        <v>Sontag - SNTG 240 - 242</v>
      </c>
      <c r="D726" s="6">
        <f>_xlfn.XLOOKUP(C726,'2023'!C:C,'2023'!A:A,"")</f>
        <v>45027.8</v>
      </c>
      <c r="E726" s="6">
        <f>_xlfn.XLOOKUP(C726,'2023'!C:C,'2023'!B:B,"")</f>
        <v>45028.712500000001</v>
      </c>
      <c r="F726" s="19">
        <f t="shared" si="47"/>
        <v>45027.8</v>
      </c>
      <c r="G726" s="6">
        <f>_xlfn.XLOOKUP(C726,'2024'!C:C,'2024'!A:A,"")</f>
        <v>45391.881249999999</v>
      </c>
      <c r="H726" s="6">
        <f>_xlfn.XLOOKUP(C727,'2024'!C:C,'2024'!B:B,"")</f>
        <v>45391.743750000001</v>
      </c>
      <c r="I726" s="19">
        <f t="shared" si="44"/>
        <v>45391.743750000001</v>
      </c>
      <c r="J726" s="6">
        <f>_xlfn.XLOOKUP(C726,'2025'!C:C,'2025'!A:A,"")</f>
        <v>45755.714583333</v>
      </c>
      <c r="K726" s="6">
        <f>_xlfn.XLOOKUP(C726,'2025'!C:C,'2025'!B:B,"")</f>
        <v>45755.714583333</v>
      </c>
      <c r="L726" s="19">
        <f t="shared" si="45"/>
        <v>45755.714583333</v>
      </c>
      <c r="M726" s="16" cm="1">
        <f t="array" ref="M726">IFERROR(_xlfn.LET(
_xlpm.x,TRIM(C726),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6" s="16" t="b">
        <f t="shared" si="46"/>
        <v>1</v>
      </c>
    </row>
    <row r="727" spans="1:14" x14ac:dyDescent="0.25">
      <c r="A727" s="5" t="s">
        <v>278</v>
      </c>
      <c r="B727" s="16">
        <v>137</v>
      </c>
      <c r="C727" s="16" t="str">
        <v>Sontag - SNTG 240 - 243</v>
      </c>
      <c r="D727" s="6">
        <f>_xlfn.XLOOKUP(C727,'2023'!C:C,'2023'!A:A,"")</f>
        <v>45027.714583333</v>
      </c>
      <c r="E727" s="6">
        <f>_xlfn.XLOOKUP(C727,'2023'!C:C,'2023'!B:B,"")</f>
        <v>45027.739583333001</v>
      </c>
      <c r="F727" s="19">
        <f t="shared" si="47"/>
        <v>45027.714583333</v>
      </c>
      <c r="G727" s="6">
        <f>_xlfn.XLOOKUP(C727,'2024'!C:C,'2024'!A:A,"")</f>
        <v>45391.708333333001</v>
      </c>
      <c r="H727" s="6">
        <f>_xlfn.XLOOKUP(C728,'2024'!C:C,'2024'!B:B,"")</f>
        <v>45391.724999999999</v>
      </c>
      <c r="I727" s="19">
        <f t="shared" si="44"/>
        <v>45391.708333333001</v>
      </c>
      <c r="J727" s="6">
        <f>_xlfn.XLOOKUP(C727,'2025'!C:C,'2025'!A:A,"")</f>
        <v>45755.785416667</v>
      </c>
      <c r="K727" s="6">
        <f>_xlfn.XLOOKUP(C727,'2025'!C:C,'2025'!B:B,"")</f>
        <v>45755.714583333</v>
      </c>
      <c r="L727" s="19">
        <f t="shared" si="45"/>
        <v>45755.714583333</v>
      </c>
      <c r="M727" s="16" cm="1">
        <f t="array" ref="M727">IFERROR(_xlfn.LET(
_xlpm.x,TRIM(C727),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7" s="16" t="b">
        <f t="shared" si="46"/>
        <v>1</v>
      </c>
    </row>
    <row r="728" spans="1:14" x14ac:dyDescent="0.25">
      <c r="A728" s="5" t="s">
        <v>724</v>
      </c>
      <c r="B728" s="16">
        <v>151</v>
      </c>
      <c r="C728" s="16" t="str">
        <v>Sontag - SNTG 240 - 244</v>
      </c>
      <c r="D728" s="6">
        <f>_xlfn.XLOOKUP(C728,'2023'!C:C,'2023'!A:A,"")</f>
        <v>45027.824999999997</v>
      </c>
      <c r="E728" s="6" t="str">
        <f>_xlfn.XLOOKUP(C728,'2023'!C:C,'2023'!B:B,"")</f>
        <v>No Selection Time Issued</v>
      </c>
      <c r="F728" s="19">
        <f t="shared" si="47"/>
        <v>45027.824999999997</v>
      </c>
      <c r="G728" s="6">
        <f>_xlfn.XLOOKUP(C728,'2024'!C:C,'2024'!A:A,"")</f>
        <v>45391.831250000003</v>
      </c>
      <c r="H728" s="6">
        <f>_xlfn.XLOOKUP(C729,'2024'!C:C,'2024'!B:B,"")</f>
        <v>45391.731249999997</v>
      </c>
      <c r="I728" s="19">
        <f t="shared" si="44"/>
        <v>45391.731249999997</v>
      </c>
      <c r="J728" s="6">
        <f>_xlfn.XLOOKUP(C728,'2025'!C:C,'2025'!A:A,"")</f>
        <v>45756.84375</v>
      </c>
      <c r="K728" s="6">
        <f>_xlfn.XLOOKUP(C728,'2025'!C:C,'2025'!B:B,"")</f>
        <v>45755.714583333</v>
      </c>
      <c r="L728" s="19">
        <f t="shared" si="45"/>
        <v>45755.714583333</v>
      </c>
      <c r="M728" s="16" cm="1">
        <f t="array" ref="M728">IFERROR(_xlfn.LET(
_xlpm.x,TRIM(C728),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8" s="16" t="b">
        <f t="shared" si="46"/>
        <v>1</v>
      </c>
    </row>
    <row r="729" spans="1:14" x14ac:dyDescent="0.25">
      <c r="A729" s="5" t="s">
        <v>724</v>
      </c>
      <c r="B729" s="16">
        <v>136</v>
      </c>
      <c r="C729" s="16" t="str">
        <v>Sontag - SNTG 250 - 251</v>
      </c>
      <c r="D729" s="6">
        <f>_xlfn.XLOOKUP(C729,'2023'!C:C,'2023'!A:A,"")</f>
        <v>45027.724999999999</v>
      </c>
      <c r="E729" s="6">
        <f>_xlfn.XLOOKUP(C729,'2023'!C:C,'2023'!B:B,"")</f>
        <v>45029.833333333001</v>
      </c>
      <c r="F729" s="19">
        <f t="shared" si="47"/>
        <v>45027.724999999999</v>
      </c>
      <c r="G729" s="6">
        <f>_xlfn.XLOOKUP(C729,'2024'!C:C,'2024'!A:A,"")</f>
        <v>45391.720833332998</v>
      </c>
      <c r="H729" s="6">
        <f>_xlfn.XLOOKUP(C730,'2024'!C:C,'2024'!B:B,"")</f>
        <v>45392.75</v>
      </c>
      <c r="I729" s="19">
        <f t="shared" si="44"/>
        <v>45391.720833332998</v>
      </c>
      <c r="J729" s="6">
        <f>_xlfn.XLOOKUP(C729,'2025'!C:C,'2025'!A:A,"")</f>
        <v>45755.833333333001</v>
      </c>
      <c r="K729" s="6">
        <f>_xlfn.XLOOKUP(C729,'2025'!C:C,'2025'!B:B,"")</f>
        <v>45755.710416667003</v>
      </c>
      <c r="L729" s="19">
        <f t="shared" si="45"/>
        <v>45755.710416667003</v>
      </c>
      <c r="M729" s="16" cm="1">
        <f t="array" ref="M729">IFERROR(_xlfn.LET(
_xlpm.x,TRIM(C729),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29" s="16" t="b">
        <f t="shared" si="46"/>
        <v>1</v>
      </c>
    </row>
    <row r="730" spans="1:14" x14ac:dyDescent="0.25">
      <c r="A730" s="5" t="s">
        <v>724</v>
      </c>
      <c r="B730" s="16">
        <v>152</v>
      </c>
      <c r="C730" s="16" t="str">
        <v>Sontag - SNTG 250 - 252</v>
      </c>
      <c r="D730" s="6">
        <f>_xlfn.XLOOKUP(C730,'2023'!C:C,'2023'!A:A,"")</f>
        <v>45027.881249999999</v>
      </c>
      <c r="E730" s="6">
        <f>_xlfn.XLOOKUP(C730,'2023'!C:C,'2023'!B:B,"")</f>
        <v>45029.845833332998</v>
      </c>
      <c r="F730" s="19">
        <f t="shared" si="47"/>
        <v>45027.881249999999</v>
      </c>
      <c r="G730" s="6">
        <f>_xlfn.XLOOKUP(C730,'2024'!C:C,'2024'!A:A,"")</f>
        <v>45391.8</v>
      </c>
      <c r="H730" s="6">
        <f>_xlfn.XLOOKUP(C731,'2024'!C:C,'2024'!B:B,"")</f>
        <v>45391.731249999997</v>
      </c>
      <c r="I730" s="19">
        <f t="shared" si="44"/>
        <v>45391.731249999997</v>
      </c>
      <c r="J730" s="6">
        <f>_xlfn.XLOOKUP(C730,'2025'!C:C,'2025'!A:A,"")</f>
        <v>45755.772916667003</v>
      </c>
      <c r="K730" s="6">
        <f>_xlfn.XLOOKUP(C730,'2025'!C:C,'2025'!B:B,"")</f>
        <v>45755.710416667003</v>
      </c>
      <c r="L730" s="19">
        <f t="shared" si="45"/>
        <v>45755.710416667003</v>
      </c>
      <c r="M730" s="16" cm="1">
        <f t="array" ref="M730">IFERROR(_xlfn.LET(
_xlpm.x,TRIM(C730),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0" s="16" t="b">
        <f t="shared" si="46"/>
        <v>1</v>
      </c>
    </row>
    <row r="731" spans="1:14" x14ac:dyDescent="0.25">
      <c r="A731" s="5" t="s">
        <v>411</v>
      </c>
      <c r="B731" s="16">
        <v>136</v>
      </c>
      <c r="C731" s="16" t="str">
        <v>Sontag - SNTG 250 - 253</v>
      </c>
      <c r="D731" s="6">
        <f>_xlfn.XLOOKUP(C731,'2023'!C:C,'2023'!A:A,"")</f>
        <v>45027.708333333001</v>
      </c>
      <c r="E731" s="6">
        <f>_xlfn.XLOOKUP(C731,'2023'!C:C,'2023'!B:B,"")</f>
        <v>45027.720833332998</v>
      </c>
      <c r="F731" s="19">
        <f t="shared" si="47"/>
        <v>45027.708333333001</v>
      </c>
      <c r="G731" s="6">
        <f>_xlfn.XLOOKUP(C731,'2024'!C:C,'2024'!A:A,"")</f>
        <v>45391.779166667002</v>
      </c>
      <c r="H731" s="6">
        <f>_xlfn.XLOOKUP(C732,'2024'!C:C,'2024'!B:B,"")</f>
        <v>45391.731249999997</v>
      </c>
      <c r="I731" s="19">
        <f t="shared" si="44"/>
        <v>45391.731249999997</v>
      </c>
      <c r="J731" s="6">
        <f>_xlfn.XLOOKUP(C731,'2025'!C:C,'2025'!A:A,"")</f>
        <v>45755.893750000003</v>
      </c>
      <c r="K731" s="6">
        <f>_xlfn.XLOOKUP(C731,'2025'!C:C,'2025'!B:B,"")</f>
        <v>45755.710416667003</v>
      </c>
      <c r="L731" s="19">
        <f t="shared" si="45"/>
        <v>45755.710416667003</v>
      </c>
      <c r="M731" s="16" cm="1">
        <f t="array" ref="M731">IFERROR(_xlfn.LET(
_xlpm.x,TRIM(C731),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1" s="16" t="b">
        <f t="shared" si="46"/>
        <v>1</v>
      </c>
    </row>
    <row r="732" spans="1:14" x14ac:dyDescent="0.25">
      <c r="A732" s="5" t="s">
        <v>411</v>
      </c>
      <c r="B732" s="16">
        <v>151</v>
      </c>
      <c r="C732" s="16" t="str">
        <v>Sontag - SNTG 250 - 254</v>
      </c>
      <c r="D732" s="6">
        <f>_xlfn.XLOOKUP(C732,'2023'!C:C,'2023'!A:A,"")</f>
        <v>45027.827083333003</v>
      </c>
      <c r="E732" s="6">
        <f>_xlfn.XLOOKUP(C732,'2023'!C:C,'2023'!B:B,"")</f>
        <v>45028.833333333001</v>
      </c>
      <c r="F732" s="19">
        <f t="shared" si="47"/>
        <v>45027.827083333003</v>
      </c>
      <c r="G732" s="6">
        <f>_xlfn.XLOOKUP(C732,'2024'!C:C,'2024'!A:A,"")</f>
        <v>45391.75</v>
      </c>
      <c r="H732" s="6">
        <f>_xlfn.XLOOKUP(C733,'2024'!C:C,'2024'!B:B,"")</f>
        <v>45391.729166666999</v>
      </c>
      <c r="I732" s="19">
        <f t="shared" si="44"/>
        <v>45391.729166666999</v>
      </c>
      <c r="J732" s="6">
        <f>_xlfn.XLOOKUP(C732,'2025'!C:C,'2025'!A:A,"")</f>
        <v>45755.710416667003</v>
      </c>
      <c r="K732" s="6">
        <f>_xlfn.XLOOKUP(C732,'2025'!C:C,'2025'!B:B,"")</f>
        <v>45755.710416667003</v>
      </c>
      <c r="L732" s="19">
        <f t="shared" si="45"/>
        <v>45755.710416667003</v>
      </c>
      <c r="M732" s="16" cm="1">
        <f t="array" ref="M732">IFERROR(_xlfn.LET(
_xlpm.x,TRIM(C732),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2" s="16" t="b">
        <f t="shared" si="46"/>
        <v>1</v>
      </c>
    </row>
    <row r="733" spans="1:14" x14ac:dyDescent="0.25">
      <c r="A733" s="5" t="s">
        <v>411</v>
      </c>
      <c r="B733" s="16">
        <v>141</v>
      </c>
      <c r="C733" s="16" t="str">
        <v>Sontag - SNTG 260 - 261</v>
      </c>
      <c r="D733" s="6">
        <f>_xlfn.XLOOKUP(C733,'2023'!C:C,'2023'!A:A,"")</f>
        <v>45027.727083332997</v>
      </c>
      <c r="E733" s="6">
        <f>_xlfn.XLOOKUP(C733,'2023'!C:C,'2023'!B:B,"")</f>
        <v>45027.708333333001</v>
      </c>
      <c r="F733" s="19">
        <f t="shared" si="47"/>
        <v>45027.708333333001</v>
      </c>
      <c r="G733" s="6">
        <f>_xlfn.XLOOKUP(C733,'2024'!C:C,'2024'!A:A,"")</f>
        <v>45391.84375</v>
      </c>
      <c r="H733" s="6">
        <f>_xlfn.XLOOKUP(C734,'2024'!C:C,'2024'!B:B,"")</f>
        <v>45391.708333333001</v>
      </c>
      <c r="I733" s="19">
        <f t="shared" si="44"/>
        <v>45391.708333333001</v>
      </c>
      <c r="J733" s="6">
        <f>_xlfn.XLOOKUP(C733,'2025'!C:C,'2025'!A:A,"")</f>
        <v>45755.864583333001</v>
      </c>
      <c r="K733" s="6">
        <f>_xlfn.XLOOKUP(C733,'2025'!C:C,'2025'!B:B,"")</f>
        <v>45755.708333333001</v>
      </c>
      <c r="L733" s="19">
        <f t="shared" si="45"/>
        <v>45755.708333333001</v>
      </c>
      <c r="M733" s="16" cm="1">
        <f t="array" ref="M733">IFERROR(_xlfn.LET(
_xlpm.x,TRIM(C733),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3" s="16" t="b">
        <f t="shared" si="46"/>
        <v>1</v>
      </c>
    </row>
    <row r="734" spans="1:14" x14ac:dyDescent="0.25">
      <c r="A734" s="5" t="s">
        <v>110</v>
      </c>
      <c r="B734" s="16">
        <v>144</v>
      </c>
      <c r="C734" s="16" t="str">
        <v>Sontag - SNTG 260 - 262</v>
      </c>
      <c r="D734" s="6">
        <f>_xlfn.XLOOKUP(C734,'2023'!C:C,'2023'!A:A,"")</f>
        <v>45028.827083333003</v>
      </c>
      <c r="E734" s="6">
        <f>_xlfn.XLOOKUP(C734,'2023'!C:C,'2023'!B:B,"")</f>
        <v>45027.772916667003</v>
      </c>
      <c r="F734" s="19">
        <f t="shared" si="47"/>
        <v>45027.772916667003</v>
      </c>
      <c r="G734" s="6">
        <f>_xlfn.XLOOKUP(C734,'2024'!C:C,'2024'!A:A,"")</f>
        <v>45391.78125</v>
      </c>
      <c r="H734" s="6">
        <f>_xlfn.XLOOKUP(C735,'2024'!C:C,'2024'!B:B,"")</f>
        <v>45391.710416667003</v>
      </c>
      <c r="I734" s="19">
        <f t="shared" si="44"/>
        <v>45391.710416667003</v>
      </c>
      <c r="J734" s="6">
        <f>_xlfn.XLOOKUP(C734,'2025'!C:C,'2025'!A:A,"")</f>
        <v>45755.708333333001</v>
      </c>
      <c r="K734" s="6">
        <f>_xlfn.XLOOKUP(C734,'2025'!C:C,'2025'!B:B,"")</f>
        <v>45755.708333333001</v>
      </c>
      <c r="L734" s="19">
        <f t="shared" si="45"/>
        <v>45755.708333333001</v>
      </c>
      <c r="M734" s="16" cm="1">
        <f t="array" ref="M734">IFERROR(_xlfn.LET(
_xlpm.x,TRIM(C734),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4" s="16" t="b">
        <f t="shared" si="46"/>
        <v>1</v>
      </c>
    </row>
    <row r="735" spans="1:14" x14ac:dyDescent="0.25">
      <c r="A735" s="5" t="s">
        <v>110</v>
      </c>
      <c r="B735" s="16">
        <v>138</v>
      </c>
      <c r="C735" s="16" t="str">
        <v>Sontag - SNTG 260 - 263</v>
      </c>
      <c r="D735" s="6">
        <f>_xlfn.XLOOKUP(C735,'2023'!C:C,'2023'!A:A,"")</f>
        <v>45027.785416667</v>
      </c>
      <c r="E735" s="6">
        <f>_xlfn.XLOOKUP(C735,'2023'!C:C,'2023'!B:B,"")</f>
        <v>45028.708333333001</v>
      </c>
      <c r="F735" s="19">
        <f t="shared" si="47"/>
        <v>45027.785416667</v>
      </c>
      <c r="G735" s="6">
        <f>_xlfn.XLOOKUP(C735,'2024'!C:C,'2024'!A:A,"")</f>
        <v>45392.795833333003</v>
      </c>
      <c r="H735" s="6">
        <f>_xlfn.XLOOKUP(C736,'2024'!C:C,'2024'!B:B,"")</f>
        <v>45391.768750000003</v>
      </c>
      <c r="I735" s="19">
        <f t="shared" si="44"/>
        <v>45391.768750000003</v>
      </c>
      <c r="J735" s="6">
        <f>_xlfn.XLOOKUP(C735,'2025'!C:C,'2025'!A:A,"")</f>
        <v>45755.802083333001</v>
      </c>
      <c r="K735" s="6">
        <f>_xlfn.XLOOKUP(C735,'2025'!C:C,'2025'!B:B,"")</f>
        <v>45755.708333333001</v>
      </c>
      <c r="L735" s="19">
        <f t="shared" si="45"/>
        <v>45755.708333333001</v>
      </c>
      <c r="M735" s="16" cm="1">
        <f t="array" ref="M735">IFERROR(_xlfn.LET(
_xlpm.x,TRIM(C735),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5" s="16" t="b">
        <f t="shared" si="46"/>
        <v>1</v>
      </c>
    </row>
    <row r="736" spans="1:14" x14ac:dyDescent="0.25">
      <c r="A736" s="5" t="s">
        <v>110</v>
      </c>
      <c r="B736" s="16">
        <v>144</v>
      </c>
      <c r="C736" s="16" t="str">
        <v>Sontag - SNTG 260 - 264</v>
      </c>
      <c r="D736" s="6">
        <f>_xlfn.XLOOKUP(C736,'2023'!C:C,'2023'!A:A,"")</f>
        <v>45027.90625</v>
      </c>
      <c r="E736" s="6">
        <f>_xlfn.XLOOKUP(C736,'2023'!C:C,'2023'!B:B,"")</f>
        <v>45027.712500000001</v>
      </c>
      <c r="F736" s="19">
        <f t="shared" si="47"/>
        <v>45027.712500000001</v>
      </c>
      <c r="G736" s="6">
        <f>_xlfn.XLOOKUP(C736,'2024'!C:C,'2024'!A:A,"")</f>
        <v>45391.768750000003</v>
      </c>
      <c r="H736" s="6">
        <f>_xlfn.XLOOKUP(C737,'2024'!C:C,'2024'!B:B,"")</f>
        <v>45393.793749999997</v>
      </c>
      <c r="I736" s="19">
        <f t="shared" si="44"/>
        <v>45391.768750000003</v>
      </c>
      <c r="J736" s="6">
        <f>_xlfn.XLOOKUP(C736,'2025'!C:C,'2025'!A:A,"")</f>
        <v>45755.889583333003</v>
      </c>
      <c r="K736" s="6">
        <f>_xlfn.XLOOKUP(C736,'2025'!C:C,'2025'!B:B,"")</f>
        <v>45755.708333333001</v>
      </c>
      <c r="L736" s="19">
        <f t="shared" si="45"/>
        <v>45755.708333333001</v>
      </c>
      <c r="M736" s="16" cm="1">
        <f t="array" ref="M736">IFERROR(_xlfn.LET(
_xlpm.x,TRIM(C736),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6" s="16" t="b">
        <f t="shared" si="46"/>
        <v>1</v>
      </c>
    </row>
    <row r="737" spans="1:14" x14ac:dyDescent="0.25">
      <c r="A737" s="5" t="s">
        <v>52</v>
      </c>
      <c r="B737" s="16">
        <v>141</v>
      </c>
      <c r="C737" s="16" t="str">
        <v>Sontag - SNTG 260 - 265</v>
      </c>
      <c r="D737" s="6">
        <f>_xlfn.XLOOKUP(C737,'2023'!C:C,'2023'!A:A,"")</f>
        <v>45027.85</v>
      </c>
      <c r="E737" s="6">
        <f>_xlfn.XLOOKUP(C737,'2023'!C:C,'2023'!B:B,"")</f>
        <v>45027.739583333001</v>
      </c>
      <c r="F737" s="19">
        <f t="shared" si="47"/>
        <v>45027.739583333001</v>
      </c>
      <c r="G737" s="6">
        <f>_xlfn.XLOOKUP(C737,'2024'!C:C,'2024'!A:A,"")</f>
        <v>45391.710416667003</v>
      </c>
      <c r="H737" s="6">
        <f>_xlfn.XLOOKUP(C738,'2024'!C:C,'2024'!B:B,"")</f>
        <v>45391.716666667002</v>
      </c>
      <c r="I737" s="19">
        <f t="shared" si="44"/>
        <v>45391.710416667003</v>
      </c>
      <c r="J737" s="6">
        <f>_xlfn.XLOOKUP(C737,'2025'!C:C,'2025'!A:A,"")</f>
        <v>45755.887499999997</v>
      </c>
      <c r="K737" s="6">
        <f>_xlfn.XLOOKUP(C737,'2025'!C:C,'2025'!B:B,"")</f>
        <v>45755.708333333001</v>
      </c>
      <c r="L737" s="19">
        <f t="shared" si="45"/>
        <v>45755.708333333001</v>
      </c>
      <c r="M737" s="16" cm="1">
        <f t="array" ref="M737">IFERROR(_xlfn.LET(
_xlpm.x,TRIM(C737),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7" s="16" t="b">
        <f t="shared" si="46"/>
        <v>1</v>
      </c>
    </row>
    <row r="738" spans="1:14" x14ac:dyDescent="0.25">
      <c r="A738" s="5" t="s">
        <v>52</v>
      </c>
      <c r="B738" s="16">
        <v>150</v>
      </c>
      <c r="C738" s="16" t="str">
        <v>Sontag - SNTG 260 - 266</v>
      </c>
      <c r="D738" s="6">
        <f>_xlfn.XLOOKUP(C738,'2023'!C:C,'2023'!A:A,"")</f>
        <v>45027.708333333001</v>
      </c>
      <c r="E738" s="6">
        <f>_xlfn.XLOOKUP(C738,'2023'!C:C,'2023'!B:B,"")</f>
        <v>45029.710416667003</v>
      </c>
      <c r="F738" s="19">
        <f t="shared" si="47"/>
        <v>45027.708333333001</v>
      </c>
      <c r="G738" s="6">
        <f>_xlfn.XLOOKUP(C738,'2024'!C:C,'2024'!A:A,"")</f>
        <v>45391.71875</v>
      </c>
      <c r="H738" s="6">
        <f>_xlfn.XLOOKUP(C739,'2024'!C:C,'2024'!B:B,"")</f>
        <v>45391.710416667003</v>
      </c>
      <c r="I738" s="19">
        <f t="shared" si="44"/>
        <v>45391.710416667003</v>
      </c>
      <c r="J738" s="6">
        <f>_xlfn.XLOOKUP(C738,'2025'!C:C,'2025'!A:A,"")</f>
        <v>45755.831250000003</v>
      </c>
      <c r="K738" s="6">
        <f>_xlfn.XLOOKUP(C738,'2025'!C:C,'2025'!B:B,"")</f>
        <v>45755.708333333001</v>
      </c>
      <c r="L738" s="19">
        <f t="shared" si="45"/>
        <v>45755.708333333001</v>
      </c>
      <c r="M738" s="16" cm="1">
        <f t="array" ref="M738">IFERROR(_xlfn.LET(
_xlpm.x,TRIM(C738),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8" s="16" t="b">
        <f t="shared" si="46"/>
        <v>1</v>
      </c>
    </row>
    <row r="739" spans="1:14" x14ac:dyDescent="0.25">
      <c r="A739" s="5" t="s">
        <v>52</v>
      </c>
      <c r="B739" s="16">
        <v>134</v>
      </c>
      <c r="C739" s="16" t="str">
        <v>Sontag - SNTG 310 - 311</v>
      </c>
      <c r="D739" s="6">
        <f>_xlfn.XLOOKUP(C739,'2023'!C:C,'2023'!A:A,"")</f>
        <v>45027.710416667003</v>
      </c>
      <c r="E739" s="6">
        <f>_xlfn.XLOOKUP(C739,'2023'!C:C,'2023'!B:B,"")</f>
        <v>45027.720833332998</v>
      </c>
      <c r="F739" s="19">
        <f t="shared" si="47"/>
        <v>45027.710416667003</v>
      </c>
      <c r="G739" s="6">
        <f>_xlfn.XLOOKUP(C739,'2024'!C:C,'2024'!A:A,"")</f>
        <v>45391.760416666999</v>
      </c>
      <c r="H739" s="6">
        <f>_xlfn.XLOOKUP(C740,'2024'!C:C,'2024'!B:B,"")</f>
        <v>45391.716666667002</v>
      </c>
      <c r="I739" s="19">
        <f t="shared" si="44"/>
        <v>45391.716666667002</v>
      </c>
      <c r="J739" s="6">
        <f>_xlfn.XLOOKUP(C739,'2025'!C:C,'2025'!A:A,"")</f>
        <v>45755.71875</v>
      </c>
      <c r="K739" s="6">
        <f>_xlfn.XLOOKUP(C739,'2025'!C:C,'2025'!B:B,"")</f>
        <v>45755.71875</v>
      </c>
      <c r="L739" s="19">
        <f t="shared" si="45"/>
        <v>45755.71875</v>
      </c>
      <c r="M739" s="16" cm="1">
        <f t="array" ref="M739">IFERROR(_xlfn.LET(
_xlpm.x,TRIM(C739),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39" s="16" t="b">
        <f t="shared" si="46"/>
        <v>1</v>
      </c>
    </row>
    <row r="740" spans="1:14" x14ac:dyDescent="0.25">
      <c r="A740" s="5" t="s">
        <v>601</v>
      </c>
      <c r="B740" s="16">
        <v>147</v>
      </c>
      <c r="C740" s="16" t="str">
        <v>Sontag - SNTG 310 - 312</v>
      </c>
      <c r="D740" s="6">
        <f>_xlfn.XLOOKUP(C740,'2023'!C:C,'2023'!A:A,"")</f>
        <v>45027.893750000003</v>
      </c>
      <c r="E740" s="6" t="str">
        <f>_xlfn.XLOOKUP(C740,'2023'!C:C,'2023'!B:B,"")</f>
        <v>No Selection Time Issued</v>
      </c>
      <c r="F740" s="19">
        <f t="shared" si="47"/>
        <v>45027.893750000003</v>
      </c>
      <c r="G740" s="6">
        <f>_xlfn.XLOOKUP(C740,'2024'!C:C,'2024'!A:A,"")</f>
        <v>45391.910416667</v>
      </c>
      <c r="H740" s="6">
        <f>_xlfn.XLOOKUP(C741,'2024'!C:C,'2024'!B:B,"")</f>
        <v>45391.881249999999</v>
      </c>
      <c r="I740" s="19">
        <f t="shared" si="44"/>
        <v>45391.881249999999</v>
      </c>
      <c r="J740" s="6">
        <f>_xlfn.XLOOKUP(C740,'2025'!C:C,'2025'!A:A,"")</f>
        <v>45755.75</v>
      </c>
      <c r="K740" s="6">
        <f>_xlfn.XLOOKUP(C740,'2025'!C:C,'2025'!B:B,"")</f>
        <v>45755.71875</v>
      </c>
      <c r="L740" s="19">
        <f t="shared" si="45"/>
        <v>45755.71875</v>
      </c>
      <c r="M740" s="16" cm="1">
        <f t="array" ref="M740">IFERROR(_xlfn.LET(
_xlpm.x,TRIM(C740),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0" s="16" t="b">
        <f t="shared" si="46"/>
        <v>1</v>
      </c>
    </row>
    <row r="741" spans="1:14" x14ac:dyDescent="0.25">
      <c r="A741" s="5" t="s">
        <v>601</v>
      </c>
      <c r="B741" s="16">
        <v>136</v>
      </c>
      <c r="C741" s="16" t="str">
        <v>Sontag - SNTG 310 - 313</v>
      </c>
      <c r="D741" s="6">
        <f>_xlfn.XLOOKUP(C741,'2023'!C:C,'2023'!A:A,"")</f>
        <v>45027.870833333</v>
      </c>
      <c r="E741" s="6">
        <f>_xlfn.XLOOKUP(C741,'2023'!C:C,'2023'!B:B,"")</f>
        <v>45028.714583333</v>
      </c>
      <c r="F741" s="19">
        <f t="shared" si="47"/>
        <v>45027.870833333</v>
      </c>
      <c r="G741" s="6">
        <f>_xlfn.XLOOKUP(C741,'2024'!C:C,'2024'!A:A,"")</f>
        <v>45391.716666667002</v>
      </c>
      <c r="H741" s="6">
        <f>_xlfn.XLOOKUP(C742,'2024'!C:C,'2024'!B:B,"")</f>
        <v>45391.904166667002</v>
      </c>
      <c r="I741" s="19">
        <f t="shared" si="44"/>
        <v>45391.716666667002</v>
      </c>
      <c r="J741" s="6">
        <f>_xlfn.XLOOKUP(C741,'2025'!C:C,'2025'!A:A,"")</f>
        <v>45755.8</v>
      </c>
      <c r="K741" s="6">
        <f>_xlfn.XLOOKUP(C741,'2025'!C:C,'2025'!B:B,"")</f>
        <v>45755.71875</v>
      </c>
      <c r="L741" s="19">
        <f t="shared" si="45"/>
        <v>45755.71875</v>
      </c>
      <c r="M741" s="16" cm="1">
        <f t="array" ref="M741">IFERROR(_xlfn.LET(
_xlpm.x,TRIM(C741),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1" s="16" t="b">
        <f t="shared" si="46"/>
        <v>1</v>
      </c>
    </row>
    <row r="742" spans="1:14" x14ac:dyDescent="0.25">
      <c r="A742" s="5" t="s">
        <v>601</v>
      </c>
      <c r="B742" s="16">
        <v>154</v>
      </c>
      <c r="C742" s="16" t="str">
        <v>Sontag - SNTG 310 - 314</v>
      </c>
      <c r="D742" s="6">
        <f>_xlfn.XLOOKUP(C742,'2023'!C:C,'2023'!A:A,"")</f>
        <v>45027.883333332997</v>
      </c>
      <c r="E742" s="6" t="str">
        <f>_xlfn.XLOOKUP(C742,'2023'!C:C,'2023'!B:B,"")</f>
        <v>No Selection Time Issued</v>
      </c>
      <c r="F742" s="19">
        <f t="shared" si="47"/>
        <v>45027.883333332997</v>
      </c>
      <c r="G742" s="6">
        <f>_xlfn.XLOOKUP(C742,'2024'!C:C,'2024'!A:A,"")</f>
        <v>45391.847916667</v>
      </c>
      <c r="H742" s="6">
        <f>_xlfn.XLOOKUP(C743,'2024'!C:C,'2024'!B:B,"")</f>
        <v>45392.716666667002</v>
      </c>
      <c r="I742" s="19">
        <f t="shared" si="44"/>
        <v>45391.847916667</v>
      </c>
      <c r="J742" s="6">
        <f>_xlfn.XLOOKUP(C742,'2025'!C:C,'2025'!A:A,"")</f>
        <v>45755.760416666999</v>
      </c>
      <c r="K742" s="6">
        <f>_xlfn.XLOOKUP(C742,'2025'!C:C,'2025'!B:B,"")</f>
        <v>45755.71875</v>
      </c>
      <c r="L742" s="19">
        <f t="shared" si="45"/>
        <v>45755.71875</v>
      </c>
      <c r="M742" s="16" cm="1">
        <f t="array" ref="M742">IFERROR(_xlfn.LET(
_xlpm.x,TRIM(C742),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2" s="16" t="b">
        <f t="shared" si="46"/>
        <v>1</v>
      </c>
    </row>
    <row r="743" spans="1:14" x14ac:dyDescent="0.25">
      <c r="A743" s="5" t="s">
        <v>314</v>
      </c>
      <c r="B743" s="16">
        <v>135</v>
      </c>
      <c r="C743" s="16" t="str">
        <v>Sontag - SNTG 320 - 321</v>
      </c>
      <c r="D743" s="6">
        <f>_xlfn.XLOOKUP(C743,'2023'!C:C,'2023'!A:A,"")</f>
        <v>45027.879166667</v>
      </c>
      <c r="E743" s="6">
        <f>_xlfn.XLOOKUP(C743,'2023'!C:C,'2023'!B:B,"")</f>
        <v>45027.716666667002</v>
      </c>
      <c r="F743" s="19">
        <f t="shared" si="47"/>
        <v>45027.716666667002</v>
      </c>
      <c r="G743" s="6">
        <f>_xlfn.XLOOKUP(C743,'2024'!C:C,'2024'!A:A,"")</f>
        <v>45391.891666666997</v>
      </c>
      <c r="H743" s="6">
        <f>_xlfn.XLOOKUP(C744,'2024'!C:C,'2024'!B:B,"")</f>
        <v>45392.71875</v>
      </c>
      <c r="I743" s="19">
        <f t="shared" si="44"/>
        <v>45391.891666666997</v>
      </c>
      <c r="J743" s="6">
        <f>_xlfn.XLOOKUP(C743,'2025'!C:C,'2025'!A:A,"")</f>
        <v>45755.712500000001</v>
      </c>
      <c r="K743" s="6">
        <f>_xlfn.XLOOKUP(C743,'2025'!C:C,'2025'!B:B,"")</f>
        <v>45755.712500000001</v>
      </c>
      <c r="L743" s="19">
        <f t="shared" si="45"/>
        <v>45755.712500000001</v>
      </c>
      <c r="M743" s="16" cm="1">
        <f t="array" ref="M743">IFERROR(_xlfn.LET(
_xlpm.x,TRIM(C743),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3" s="16" t="b">
        <f t="shared" si="46"/>
        <v>1</v>
      </c>
    </row>
    <row r="744" spans="1:14" x14ac:dyDescent="0.25">
      <c r="A744" s="5" t="s">
        <v>314</v>
      </c>
      <c r="B744" s="16">
        <v>151</v>
      </c>
      <c r="C744" s="16" t="str">
        <v>Sontag - SNTG 320 - 322</v>
      </c>
      <c r="D744" s="6">
        <f>_xlfn.XLOOKUP(C744,'2023'!C:C,'2023'!A:A,"")</f>
        <v>45027.760416666999</v>
      </c>
      <c r="E744" s="6" t="str">
        <f>_xlfn.XLOOKUP(C744,'2023'!C:C,'2023'!B:B,"")</f>
        <v>No Selection Time Issued</v>
      </c>
      <c r="F744" s="19">
        <f t="shared" si="47"/>
        <v>45027.760416666999</v>
      </c>
      <c r="G744" s="6">
        <f>_xlfn.XLOOKUP(C744,'2024'!C:C,'2024'!A:A,"")</f>
        <v>45391.870833333</v>
      </c>
      <c r="H744" s="6">
        <f>_xlfn.XLOOKUP(C745,'2024'!C:C,'2024'!B:B,"")</f>
        <v>45391.722916667</v>
      </c>
      <c r="I744" s="19">
        <f t="shared" si="44"/>
        <v>45391.722916667</v>
      </c>
      <c r="J744" s="6">
        <f>_xlfn.XLOOKUP(C744,'2025'!C:C,'2025'!A:A,"")</f>
        <v>45755.777083333</v>
      </c>
      <c r="K744" s="6">
        <f>_xlfn.XLOOKUP(C744,'2025'!C:C,'2025'!B:B,"")</f>
        <v>45755.712500000001</v>
      </c>
      <c r="L744" s="19">
        <f t="shared" si="45"/>
        <v>45755.712500000001</v>
      </c>
      <c r="M744" s="16" cm="1">
        <f t="array" ref="M744">IFERROR(_xlfn.LET(
_xlpm.x,TRIM(C744),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4" s="16" t="b">
        <f t="shared" si="46"/>
        <v>1</v>
      </c>
    </row>
    <row r="745" spans="1:14" x14ac:dyDescent="0.25">
      <c r="A745" s="5" t="s">
        <v>314</v>
      </c>
      <c r="B745" s="16">
        <v>137</v>
      </c>
      <c r="C745" s="16" t="str">
        <v>Sontag - SNTG 320 - 323</v>
      </c>
      <c r="D745" s="6">
        <f>_xlfn.XLOOKUP(C745,'2023'!C:C,'2023'!A:A,"")</f>
        <v>45027.747916667002</v>
      </c>
      <c r="E745" s="6" t="str">
        <f>_xlfn.XLOOKUP(C745,'2023'!C:C,'2023'!B:B,"")</f>
        <v>No Selection Time Issued</v>
      </c>
      <c r="F745" s="19">
        <f t="shared" si="47"/>
        <v>45027.747916667002</v>
      </c>
      <c r="G745" s="6">
        <f>_xlfn.XLOOKUP(C745,'2024'!C:C,'2024'!A:A,"")</f>
        <v>45391.724999999999</v>
      </c>
      <c r="H745" s="6" t="str">
        <f>_xlfn.XLOOKUP(C746,'2024'!C:C,'2024'!B:B,"")</f>
        <v>No Selection Time Issued</v>
      </c>
      <c r="I745" s="19">
        <f t="shared" si="44"/>
        <v>45391.724999999999</v>
      </c>
      <c r="J745" s="6">
        <f>_xlfn.XLOOKUP(C745,'2025'!C:C,'2025'!A:A,"")</f>
        <v>45755.847916667</v>
      </c>
      <c r="K745" s="6">
        <f>_xlfn.XLOOKUP(C745,'2025'!C:C,'2025'!B:B,"")</f>
        <v>45755.712500000001</v>
      </c>
      <c r="L745" s="19">
        <f t="shared" si="45"/>
        <v>45755.712500000001</v>
      </c>
      <c r="M745" s="16" cm="1">
        <f t="array" ref="M745">IFERROR(_xlfn.LET(
_xlpm.x,TRIM(C745),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5" s="16" t="b">
        <f t="shared" si="46"/>
        <v>1</v>
      </c>
    </row>
    <row r="746" spans="1:14" x14ac:dyDescent="0.25">
      <c r="A746" s="5" t="s">
        <v>360</v>
      </c>
      <c r="B746" s="16">
        <v>153</v>
      </c>
      <c r="C746" s="16" t="str">
        <v>Sontag - SNTG 320 - 324</v>
      </c>
      <c r="D746" s="6">
        <f>_xlfn.XLOOKUP(C746,'2023'!C:C,'2023'!A:A,"")</f>
        <v>45027.712500000001</v>
      </c>
      <c r="E746" s="6">
        <f>_xlfn.XLOOKUP(C746,'2023'!C:C,'2023'!B:B,"")</f>
        <v>45027.710416667003</v>
      </c>
      <c r="F746" s="19">
        <f t="shared" si="47"/>
        <v>45027.710416667003</v>
      </c>
      <c r="G746" s="6">
        <f>_xlfn.XLOOKUP(C746,'2024'!C:C,'2024'!A:A,"")</f>
        <v>45391.710416667003</v>
      </c>
      <c r="H746" s="6">
        <f>_xlfn.XLOOKUP(C747,'2024'!C:C,'2024'!B:B,"")</f>
        <v>45391.710416667003</v>
      </c>
      <c r="I746" s="19">
        <f t="shared" si="44"/>
        <v>45391.710416667003</v>
      </c>
      <c r="J746" s="6">
        <f>_xlfn.XLOOKUP(C746,'2025'!C:C,'2025'!A:A,"")</f>
        <v>45755.845833332998</v>
      </c>
      <c r="K746" s="6">
        <f>_xlfn.XLOOKUP(C746,'2025'!C:C,'2025'!B:B,"")</f>
        <v>45755.712500000001</v>
      </c>
      <c r="L746" s="19">
        <f t="shared" si="45"/>
        <v>45755.712500000001</v>
      </c>
      <c r="M746" s="16" cm="1">
        <f t="array" ref="M746">IFERROR(_xlfn.LET(
_xlpm.x,TRIM(C746),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6" s="16" t="b">
        <f t="shared" si="46"/>
        <v>1</v>
      </c>
    </row>
    <row r="747" spans="1:14" x14ac:dyDescent="0.25">
      <c r="A747" s="5" t="s">
        <v>360</v>
      </c>
      <c r="B747" s="16">
        <v>139</v>
      </c>
      <c r="C747" s="16" t="str">
        <v>Sontag - SNTG 330 - 331</v>
      </c>
      <c r="D747" s="6">
        <f>_xlfn.XLOOKUP(C747,'2023'!C:C,'2023'!A:A,"")</f>
        <v>45027.710416667003</v>
      </c>
      <c r="E747" s="6">
        <f>_xlfn.XLOOKUP(C747,'2023'!C:C,'2023'!B:B,"")</f>
        <v>45029.789583332997</v>
      </c>
      <c r="F747" s="19">
        <f t="shared" si="47"/>
        <v>45027.710416667003</v>
      </c>
      <c r="G747" s="6">
        <f>_xlfn.XLOOKUP(C747,'2024'!C:C,'2024'!A:A,"")</f>
        <v>45391.8125</v>
      </c>
      <c r="H747" s="6">
        <f>_xlfn.XLOOKUP(C748,'2024'!C:C,'2024'!B:B,"")</f>
        <v>45391.743750000001</v>
      </c>
      <c r="I747" s="19">
        <f t="shared" si="44"/>
        <v>45391.743750000001</v>
      </c>
      <c r="J747" s="6">
        <f>_xlfn.XLOOKUP(C747,'2025'!C:C,'2025'!A:A,"")</f>
        <v>45755.916666666999</v>
      </c>
      <c r="K747" s="6">
        <f>_xlfn.XLOOKUP(C747,'2025'!C:C,'2025'!B:B,"")</f>
        <v>45755.708333333001</v>
      </c>
      <c r="L747" s="19">
        <f t="shared" si="45"/>
        <v>45755.708333333001</v>
      </c>
      <c r="M747" s="16" cm="1">
        <f t="array" ref="M747">IFERROR(_xlfn.LET(
_xlpm.x,TRIM(C747),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7" s="16" t="b">
        <f t="shared" si="46"/>
        <v>1</v>
      </c>
    </row>
    <row r="748" spans="1:14" x14ac:dyDescent="0.25">
      <c r="A748" s="5" t="s">
        <v>360</v>
      </c>
      <c r="B748" s="16">
        <v>143</v>
      </c>
      <c r="C748" s="16" t="str">
        <v>Sontag - SNTG 330 - 332</v>
      </c>
      <c r="D748" s="6">
        <f>_xlfn.XLOOKUP(C748,'2023'!C:C,'2023'!A:A,"")</f>
        <v>45028.839583333</v>
      </c>
      <c r="E748" s="6">
        <f>_xlfn.XLOOKUP(C748,'2023'!C:C,'2023'!B:B,"")</f>
        <v>45027.85</v>
      </c>
      <c r="F748" s="19">
        <f t="shared" si="47"/>
        <v>45027.85</v>
      </c>
      <c r="G748" s="6">
        <f>_xlfn.XLOOKUP(C748,'2024'!C:C,'2024'!A:A,"")</f>
        <v>45391.827083333003</v>
      </c>
      <c r="H748" s="6">
        <f>_xlfn.XLOOKUP(C749,'2024'!C:C,'2024'!B:B,"")</f>
        <v>45391.9</v>
      </c>
      <c r="I748" s="19">
        <f t="shared" si="44"/>
        <v>45391.827083333003</v>
      </c>
      <c r="J748" s="6">
        <f>_xlfn.XLOOKUP(C748,'2025'!C:C,'2025'!A:A,"")</f>
        <v>45755.795833333003</v>
      </c>
      <c r="K748" s="6">
        <f>_xlfn.XLOOKUP(C748,'2025'!C:C,'2025'!B:B,"")</f>
        <v>45755.708333333001</v>
      </c>
      <c r="L748" s="19">
        <f t="shared" si="45"/>
        <v>45755.708333333001</v>
      </c>
      <c r="M748" s="16" cm="1">
        <f t="array" ref="M748">IFERROR(_xlfn.LET(
_xlpm.x,TRIM(C748),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8" s="16" t="b">
        <f t="shared" si="46"/>
        <v>1</v>
      </c>
    </row>
    <row r="749" spans="1:14" x14ac:dyDescent="0.25">
      <c r="A749" s="5" t="s">
        <v>432</v>
      </c>
      <c r="B749" s="16">
        <v>143</v>
      </c>
      <c r="C749" s="16" t="str">
        <v>Sontag - SNTG 330 - 333</v>
      </c>
      <c r="D749" s="6">
        <f>_xlfn.XLOOKUP(C749,'2023'!C:C,'2023'!A:A,"")</f>
        <v>45027.729166666999</v>
      </c>
      <c r="E749" s="6" t="str">
        <f>_xlfn.XLOOKUP(C749,'2023'!C:C,'2023'!B:B,"")</f>
        <v>No Selection Time Issued</v>
      </c>
      <c r="F749" s="19">
        <f t="shared" si="47"/>
        <v>45027.729166666999</v>
      </c>
      <c r="G749" s="6">
        <f>_xlfn.XLOOKUP(C749,'2024'!C:C,'2024'!A:A,"")</f>
        <v>45391.897916667003</v>
      </c>
      <c r="H749" s="6">
        <f>_xlfn.XLOOKUP(C750,'2024'!C:C,'2024'!B:B,"")</f>
        <v>45393.793749999997</v>
      </c>
      <c r="I749" s="19">
        <f t="shared" si="44"/>
        <v>45391.897916667003</v>
      </c>
      <c r="J749" s="6">
        <f>_xlfn.XLOOKUP(C749,'2025'!C:C,'2025'!A:A,"")</f>
        <v>45755.775000000001</v>
      </c>
      <c r="K749" s="6">
        <f>_xlfn.XLOOKUP(C749,'2025'!C:C,'2025'!B:B,"")</f>
        <v>45755.708333333001</v>
      </c>
      <c r="L749" s="19">
        <f t="shared" si="45"/>
        <v>45755.708333333001</v>
      </c>
      <c r="M749" s="16" cm="1">
        <f t="array" ref="M749">IFERROR(_xlfn.LET(
_xlpm.x,TRIM(C749),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49" s="16" t="b">
        <f t="shared" si="46"/>
        <v>1</v>
      </c>
    </row>
    <row r="750" spans="1:14" x14ac:dyDescent="0.25">
      <c r="A750" s="5" t="s">
        <v>432</v>
      </c>
      <c r="B750" s="16">
        <v>143</v>
      </c>
      <c r="C750" s="16" t="str">
        <v>Sontag - SNTG 330 - 334</v>
      </c>
      <c r="D750" s="6">
        <f>_xlfn.XLOOKUP(C750,'2023'!C:C,'2023'!A:A,"")</f>
        <v>45027.735416666997</v>
      </c>
      <c r="E750" s="6">
        <f>_xlfn.XLOOKUP(C750,'2023'!C:C,'2023'!B:B,"")</f>
        <v>45027.847916667</v>
      </c>
      <c r="F750" s="19">
        <f t="shared" si="47"/>
        <v>45027.735416666997</v>
      </c>
      <c r="G750" s="6">
        <f>_xlfn.XLOOKUP(C750,'2024'!C:C,'2024'!A:A,"")</f>
        <v>45391.887499999997</v>
      </c>
      <c r="H750" s="6">
        <f>_xlfn.XLOOKUP(C751,'2024'!C:C,'2024'!B:B,"")</f>
        <v>45391.727083332997</v>
      </c>
      <c r="I750" s="19">
        <f t="shared" si="44"/>
        <v>45391.727083332997</v>
      </c>
      <c r="J750" s="6">
        <f>_xlfn.XLOOKUP(C750,'2025'!C:C,'2025'!A:A,"")</f>
        <v>45755.708333333001</v>
      </c>
      <c r="K750" s="6">
        <f>_xlfn.XLOOKUP(C750,'2025'!C:C,'2025'!B:B,"")</f>
        <v>45755.708333333001</v>
      </c>
      <c r="L750" s="19">
        <f t="shared" si="45"/>
        <v>45755.708333333001</v>
      </c>
      <c r="M750" s="16" cm="1">
        <f t="array" ref="M750">IFERROR(_xlfn.LET(
_xlpm.x,TRIM(C750),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0" s="16" t="b">
        <f t="shared" si="46"/>
        <v>1</v>
      </c>
    </row>
    <row r="751" spans="1:14" x14ac:dyDescent="0.25">
      <c r="A751" s="5" t="s">
        <v>432</v>
      </c>
      <c r="B751" s="16">
        <v>146</v>
      </c>
      <c r="C751" s="16" t="str">
        <v>Sontag - SNTG 330 - 335</v>
      </c>
      <c r="D751" s="6">
        <f>_xlfn.XLOOKUP(C751,'2023'!C:C,'2023'!A:A,"")</f>
        <v>45027.769444443999</v>
      </c>
      <c r="E751" s="6">
        <f>_xlfn.XLOOKUP(C751,'2023'!C:C,'2023'!B:B,"")</f>
        <v>45027.712500000001</v>
      </c>
      <c r="F751" s="19">
        <f t="shared" si="47"/>
        <v>45027.712500000001</v>
      </c>
      <c r="G751" s="6">
        <f>_xlfn.XLOOKUP(C751,'2024'!C:C,'2024'!A:A,"")</f>
        <v>45392.816666667</v>
      </c>
      <c r="H751" s="6">
        <f>_xlfn.XLOOKUP(C752,'2024'!C:C,'2024'!B:B,"")</f>
        <v>45391.712500000001</v>
      </c>
      <c r="I751" s="19">
        <f t="shared" si="44"/>
        <v>45391.712500000001</v>
      </c>
      <c r="J751" s="6">
        <f>_xlfn.XLOOKUP(C751,'2025'!C:C,'2025'!A:A,"")</f>
        <v>45755.90625</v>
      </c>
      <c r="K751" s="6">
        <f>_xlfn.XLOOKUP(C751,'2025'!C:C,'2025'!B:B,"")</f>
        <v>45755.708333333001</v>
      </c>
      <c r="L751" s="19">
        <f t="shared" si="45"/>
        <v>45755.708333333001</v>
      </c>
      <c r="M751" s="16" cm="1">
        <f t="array" ref="M751">IFERROR(_xlfn.LET(
_xlpm.x,TRIM(C751),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1" s="16" t="b">
        <f t="shared" si="46"/>
        <v>1</v>
      </c>
    </row>
    <row r="752" spans="1:14" x14ac:dyDescent="0.25">
      <c r="A752" s="5" t="s">
        <v>717</v>
      </c>
      <c r="B752" s="16">
        <v>152</v>
      </c>
      <c r="C752" s="16" t="str">
        <v>Sontag - SNTG 330 - 336</v>
      </c>
      <c r="D752" s="6">
        <f>_xlfn.XLOOKUP(C752,'2023'!C:C,'2023'!A:A,"")</f>
        <v>45028.743750000001</v>
      </c>
      <c r="E752" s="6">
        <f>_xlfn.XLOOKUP(C752,'2023'!C:C,'2023'!B:B,"")</f>
        <v>45028.71875</v>
      </c>
      <c r="F752" s="19">
        <f t="shared" si="47"/>
        <v>45028.71875</v>
      </c>
      <c r="G752" s="6">
        <f>_xlfn.XLOOKUP(C752,'2024'!C:C,'2024'!A:A,"")</f>
        <v>45391.708333333001</v>
      </c>
      <c r="H752" s="6" t="str">
        <f>_xlfn.XLOOKUP(C753,'2024'!C:C,'2024'!B:B,"")</f>
        <v/>
      </c>
      <c r="I752" s="19">
        <f t="shared" si="44"/>
        <v>45391.708333333001</v>
      </c>
      <c r="J752" s="6">
        <f>_xlfn.XLOOKUP(C752,'2025'!C:C,'2025'!A:A,"")</f>
        <v>45755.824999999997</v>
      </c>
      <c r="K752" s="6">
        <f>_xlfn.XLOOKUP(C752,'2025'!C:C,'2025'!B:B,"")</f>
        <v>45755.708333333001</v>
      </c>
      <c r="L752" s="19">
        <f t="shared" si="45"/>
        <v>45755.708333333001</v>
      </c>
      <c r="M752" s="16" cm="1">
        <f t="array" ref="M752">IFERROR(_xlfn.LET(
_xlpm.x,TRIM(C752),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2" s="16" t="b">
        <f t="shared" si="46"/>
        <v>1</v>
      </c>
    </row>
    <row r="753" spans="1:14" x14ac:dyDescent="0.25">
      <c r="A753" s="5" t="s">
        <v>717</v>
      </c>
      <c r="B753" s="16">
        <v>137</v>
      </c>
      <c r="C753" s="16" t="str">
        <v>Walker - 605</v>
      </c>
      <c r="D753" s="6" t="str">
        <f>_xlfn.XLOOKUP(C753,'2023'!C:C,'2023'!A:A,"")</f>
        <v/>
      </c>
      <c r="E753" s="6" t="str">
        <f>_xlfn.XLOOKUP(C753,'2023'!C:C,'2023'!B:B,"")</f>
        <v/>
      </c>
      <c r="F753" s="19" t="str">
        <f t="shared" si="47"/>
        <v/>
      </c>
      <c r="G753" s="6" t="str">
        <f>_xlfn.XLOOKUP(C753,'2024'!C:C,'2024'!A:A,"")</f>
        <v/>
      </c>
      <c r="H753" s="6" t="str">
        <f>_xlfn.XLOOKUP(C754,'2024'!C:C,'2024'!B:B,"")</f>
        <v/>
      </c>
      <c r="I753" s="19" t="str">
        <f t="shared" si="44"/>
        <v/>
      </c>
      <c r="J753" s="6">
        <f>_xlfn.XLOOKUP(C753,'2025'!C:C,'2025'!A:A,"")</f>
        <v>45756.737500000003</v>
      </c>
      <c r="K753" s="6" t="str">
        <f>_xlfn.XLOOKUP(C753,'2025'!C:C,'2025'!B:B,"")</f>
        <v>No Selection Time Issued</v>
      </c>
      <c r="L753" s="19">
        <f t="shared" si="45"/>
        <v>45756.737500000003</v>
      </c>
      <c r="M753" s="16" cm="1">
        <f t="array" ref="M753">IFERROR(_xlfn.LET(
_xlpm.x,TRIM(C753),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3" s="16" t="b">
        <f t="shared" si="46"/>
        <v>0</v>
      </c>
    </row>
    <row r="754" spans="1:14" x14ac:dyDescent="0.25">
      <c r="A754" s="5" t="s">
        <v>717</v>
      </c>
      <c r="B754" s="16">
        <v>142</v>
      </c>
      <c r="C754" s="16" t="str">
        <v>Walker - 607</v>
      </c>
      <c r="D754" s="6">
        <f>_xlfn.XLOOKUP(C754,'2023'!C:C,'2023'!A:A,"")</f>
        <v>45028.741666667003</v>
      </c>
      <c r="E754" s="6">
        <f>_xlfn.XLOOKUP(C754,'2023'!C:C,'2023'!B:B,"")</f>
        <v>45029.741666667003</v>
      </c>
      <c r="F754" s="19">
        <f t="shared" si="47"/>
        <v>45028.741666667003</v>
      </c>
      <c r="G754" s="6" t="str">
        <f>_xlfn.XLOOKUP(C754,'2024'!C:C,'2024'!A:A,"")</f>
        <v/>
      </c>
      <c r="H754" s="6" t="str">
        <f>_xlfn.XLOOKUP(C755,'2024'!C:C,'2024'!B:B,"")</f>
        <v/>
      </c>
      <c r="I754" s="19" t="str">
        <f t="shared" si="44"/>
        <v/>
      </c>
      <c r="J754" s="6">
        <f>_xlfn.XLOOKUP(C754,'2025'!C:C,'2025'!A:A,"")</f>
        <v>45756.737500000003</v>
      </c>
      <c r="K754" s="6" t="str">
        <f>_xlfn.XLOOKUP(C754,'2025'!C:C,'2025'!B:B,"")</f>
        <v>No Selection Time Issued</v>
      </c>
      <c r="L754" s="19">
        <f t="shared" si="45"/>
        <v>45756.737500000003</v>
      </c>
      <c r="M754" s="16" cm="1">
        <f t="array" ref="M754">IFERROR(_xlfn.LET(
_xlpm.x,TRIM(C754),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4" s="16" t="b">
        <f t="shared" si="46"/>
        <v>0</v>
      </c>
    </row>
    <row r="755" spans="1:14" x14ac:dyDescent="0.25">
      <c r="A755" s="5" t="s">
        <v>648</v>
      </c>
      <c r="B755" s="16">
        <v>136</v>
      </c>
      <c r="C755" s="16" t="str">
        <v>Walker - 608</v>
      </c>
      <c r="D755" s="6">
        <f>_xlfn.XLOOKUP(C755,'2023'!C:C,'2023'!A:A,"")</f>
        <v>45028.714583333</v>
      </c>
      <c r="E755" s="6" t="str">
        <f>_xlfn.XLOOKUP(C755,'2023'!C:C,'2023'!B:B,"")</f>
        <v>No Selection Time Issued</v>
      </c>
      <c r="F755" s="19">
        <f t="shared" si="47"/>
        <v>45028.714583333</v>
      </c>
      <c r="G755" s="6" t="str">
        <f>_xlfn.XLOOKUP(C755,'2024'!C:C,'2024'!A:A,"")</f>
        <v/>
      </c>
      <c r="H755" s="6">
        <f>_xlfn.XLOOKUP(C756,'2024'!C:C,'2024'!B:B,"")</f>
        <v>45391.75</v>
      </c>
      <c r="I755" s="19">
        <f t="shared" si="44"/>
        <v>45391.75</v>
      </c>
      <c r="J755" s="6">
        <f>_xlfn.XLOOKUP(C755,'2025'!C:C,'2025'!A:A,"")</f>
        <v>45756.770833333001</v>
      </c>
      <c r="K755" s="6" t="str">
        <f>_xlfn.XLOOKUP(C755,'2025'!C:C,'2025'!B:B,"")</f>
        <v>No Selection Time Issued</v>
      </c>
      <c r="L755" s="19">
        <f t="shared" si="45"/>
        <v>45756.770833333001</v>
      </c>
      <c r="M755" s="16" cm="1">
        <f t="array" ref="M755">IFERROR(_xlfn.LET(
_xlpm.x,TRIM(C755),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5" s="16" t="b">
        <f t="shared" si="46"/>
        <v>0</v>
      </c>
    </row>
    <row r="756" spans="1:14" x14ac:dyDescent="0.25">
      <c r="A756" s="5" t="s">
        <v>648</v>
      </c>
      <c r="B756" s="16">
        <v>142</v>
      </c>
      <c r="C756" s="16" t="str">
        <v>Walker - 609</v>
      </c>
      <c r="D756" s="6">
        <f>_xlfn.XLOOKUP(C756,'2023'!C:C,'2023'!A:A,"")</f>
        <v>45028.735416666997</v>
      </c>
      <c r="E756" s="6">
        <f>_xlfn.XLOOKUP(C756,'2023'!C:C,'2023'!B:B,"")</f>
        <v>45029.75</v>
      </c>
      <c r="F756" s="19">
        <f t="shared" si="47"/>
        <v>45028.735416666997</v>
      </c>
      <c r="G756" s="6">
        <f>_xlfn.XLOOKUP(C756,'2024'!C:C,'2024'!A:A,"")</f>
        <v>45391.795833333003</v>
      </c>
      <c r="H756" s="6" t="str">
        <f>_xlfn.XLOOKUP(C757,'2024'!C:C,'2024'!B:B,"")</f>
        <v/>
      </c>
      <c r="I756" s="19">
        <f t="shared" si="44"/>
        <v>45391.795833333003</v>
      </c>
      <c r="J756" s="6">
        <f>_xlfn.XLOOKUP(C756,'2025'!C:C,'2025'!A:A,"")</f>
        <v>45756.714583333</v>
      </c>
      <c r="K756" s="6" t="str">
        <f>_xlfn.XLOOKUP(C756,'2025'!C:C,'2025'!B:B,"")</f>
        <v>No Selection Time Issued</v>
      </c>
      <c r="L756" s="19">
        <f t="shared" si="45"/>
        <v>45756.714583333</v>
      </c>
      <c r="M756" s="16" cm="1">
        <f t="array" ref="M756">IFERROR(_xlfn.LET(
_xlpm.x,TRIM(C756),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6" s="16" t="b">
        <f t="shared" si="46"/>
        <v>0</v>
      </c>
    </row>
    <row r="757" spans="1:14" x14ac:dyDescent="0.25">
      <c r="A757" s="5" t="s">
        <v>648</v>
      </c>
      <c r="B757" s="16">
        <v>132</v>
      </c>
      <c r="C757" s="16" t="str">
        <v>Walker - 612</v>
      </c>
      <c r="D757" s="6">
        <f>_xlfn.XLOOKUP(C757,'2023'!C:C,'2023'!A:A,"")</f>
        <v>45028.735416666997</v>
      </c>
      <c r="E757" s="6">
        <f>_xlfn.XLOOKUP(C757,'2023'!C:C,'2023'!B:B,"")</f>
        <v>45029.789583332997</v>
      </c>
      <c r="F757" s="19">
        <f t="shared" si="47"/>
        <v>45028.735416666997</v>
      </c>
      <c r="G757" s="6" t="str">
        <f>_xlfn.XLOOKUP(C757,'2024'!C:C,'2024'!A:A,"")</f>
        <v/>
      </c>
      <c r="H757" s="6" t="str">
        <f>_xlfn.XLOOKUP(C758,'2024'!C:C,'2024'!B:B,"")</f>
        <v/>
      </c>
      <c r="I757" s="19" t="str">
        <f t="shared" si="44"/>
        <v/>
      </c>
      <c r="J757" s="6" t="str">
        <f>_xlfn.XLOOKUP(C757,'2025'!C:C,'2025'!A:A,"")</f>
        <v/>
      </c>
      <c r="K757" s="6" t="str">
        <f>_xlfn.XLOOKUP(C757,'2025'!C:C,'2025'!B:B,"")</f>
        <v/>
      </c>
      <c r="L757" s="19" t="str">
        <f t="shared" si="45"/>
        <v/>
      </c>
      <c r="M757" s="16" cm="1">
        <f t="array" ref="M757">IFERROR(_xlfn.LET(
_xlpm.x,TRIM(C757),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7" s="16" t="b">
        <f t="shared" si="46"/>
        <v>0</v>
      </c>
    </row>
    <row r="758" spans="1:14" x14ac:dyDescent="0.25">
      <c r="A758" s="5" t="s">
        <v>40</v>
      </c>
      <c r="B758" s="16">
        <v>137</v>
      </c>
      <c r="C758" s="16" t="str">
        <v>Walker - 613</v>
      </c>
      <c r="D758" s="6">
        <f>_xlfn.XLOOKUP(C758,'2023'!C:C,'2023'!A:A,"")</f>
        <v>45028.741666667003</v>
      </c>
      <c r="E758" s="6">
        <f>_xlfn.XLOOKUP(C758,'2023'!C:C,'2023'!B:B,"")</f>
        <v>45029.84375</v>
      </c>
      <c r="F758" s="19">
        <f t="shared" si="47"/>
        <v>45028.741666667003</v>
      </c>
      <c r="G758" s="6" t="str">
        <f>_xlfn.XLOOKUP(C758,'2024'!C:C,'2024'!A:A,"")</f>
        <v/>
      </c>
      <c r="H758" s="6" t="str">
        <f>_xlfn.XLOOKUP(C759,'2024'!C:C,'2024'!B:B,"")</f>
        <v/>
      </c>
      <c r="I758" s="19" t="str">
        <f t="shared" si="44"/>
        <v/>
      </c>
      <c r="J758" s="6">
        <f>_xlfn.XLOOKUP(C758,'2025'!C:C,'2025'!A:A,"")</f>
        <v>45756.745833333</v>
      </c>
      <c r="K758" s="6" t="str">
        <f>_xlfn.XLOOKUP(C758,'2025'!C:C,'2025'!B:B,"")</f>
        <v>No Selection Time Issued</v>
      </c>
      <c r="L758" s="19">
        <f t="shared" si="45"/>
        <v>45756.745833333</v>
      </c>
      <c r="M758" s="16" cm="1">
        <f t="array" ref="M758">IFERROR(_xlfn.LET(
_xlpm.x,TRIM(C758),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8" s="16" t="b">
        <f t="shared" si="46"/>
        <v>0</v>
      </c>
    </row>
    <row r="759" spans="1:14" x14ac:dyDescent="0.25">
      <c r="A759" s="5" t="s">
        <v>40</v>
      </c>
      <c r="B759" s="16">
        <v>136</v>
      </c>
      <c r="C759" s="16" t="str">
        <v>Walker - 614</v>
      </c>
      <c r="D759" s="6">
        <f>_xlfn.XLOOKUP(C759,'2023'!C:C,'2023'!A:A,"")</f>
        <v>45028.733333333003</v>
      </c>
      <c r="E759" s="6" t="str">
        <f>_xlfn.XLOOKUP(C759,'2023'!C:C,'2023'!B:B,"")</f>
        <v>No Selection Time Issued</v>
      </c>
      <c r="F759" s="19">
        <f t="shared" si="47"/>
        <v>45028.733333333003</v>
      </c>
      <c r="G759" s="6" t="str">
        <f>_xlfn.XLOOKUP(C759,'2024'!C:C,'2024'!A:A,"")</f>
        <v/>
      </c>
      <c r="H759" s="6" t="str">
        <f>_xlfn.XLOOKUP(C760,'2024'!C:C,'2024'!B:B,"")</f>
        <v/>
      </c>
      <c r="I759" s="19" t="str">
        <f t="shared" si="44"/>
        <v/>
      </c>
      <c r="J759" s="6">
        <f>_xlfn.XLOOKUP(C759,'2025'!C:C,'2025'!A:A,"")</f>
        <v>45756.760416666999</v>
      </c>
      <c r="K759" s="6" t="str">
        <f>_xlfn.XLOOKUP(C759,'2025'!C:C,'2025'!B:B,"")</f>
        <v>No Selection Time Issued</v>
      </c>
      <c r="L759" s="19">
        <f t="shared" si="45"/>
        <v>45756.760416666999</v>
      </c>
      <c r="M759" s="16" cm="1">
        <f t="array" ref="M759">IFERROR(_xlfn.LET(
_xlpm.x,TRIM(C759),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59" s="16" t="b">
        <f t="shared" si="46"/>
        <v>0</v>
      </c>
    </row>
    <row r="760" spans="1:14" x14ac:dyDescent="0.25">
      <c r="A760" s="5" t="s">
        <v>40</v>
      </c>
      <c r="B760" s="16">
        <v>142</v>
      </c>
      <c r="C760" s="16" t="str">
        <v>Walker - 615</v>
      </c>
      <c r="D760" s="6">
        <f>_xlfn.XLOOKUP(C760,'2023'!C:C,'2023'!A:A,"")</f>
        <v>45028.737500000003</v>
      </c>
      <c r="E760" s="6" t="str">
        <f>_xlfn.XLOOKUP(C760,'2023'!C:C,'2023'!B:B,"")</f>
        <v>No Selection Time Issued</v>
      </c>
      <c r="F760" s="19">
        <f t="shared" si="47"/>
        <v>45028.737500000003</v>
      </c>
      <c r="G760" s="6" t="str">
        <f>_xlfn.XLOOKUP(C760,'2024'!C:C,'2024'!A:A,"")</f>
        <v/>
      </c>
      <c r="H760" s="6" t="str">
        <f>_xlfn.XLOOKUP(C761,'2024'!C:C,'2024'!B:B,"")</f>
        <v/>
      </c>
      <c r="I760" s="19" t="str">
        <f t="shared" si="44"/>
        <v/>
      </c>
      <c r="J760" s="6" t="str">
        <f>_xlfn.XLOOKUP(C760,'2025'!C:C,'2025'!A:A,"")</f>
        <v/>
      </c>
      <c r="K760" s="6" t="str">
        <f>_xlfn.XLOOKUP(C760,'2025'!C:C,'2025'!B:B,"")</f>
        <v/>
      </c>
      <c r="L760" s="19" t="str">
        <f t="shared" si="45"/>
        <v/>
      </c>
      <c r="M760" s="16" cm="1">
        <f t="array" ref="M760">IFERROR(_xlfn.LET(
_xlpm.x,TRIM(C760),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0" s="16" t="b">
        <f t="shared" si="46"/>
        <v>0</v>
      </c>
    </row>
    <row r="761" spans="1:14" x14ac:dyDescent="0.25">
      <c r="A761" s="5" t="s">
        <v>597</v>
      </c>
      <c r="B761" s="16">
        <v>140</v>
      </c>
      <c r="C761" s="16" t="str">
        <v>Walker - 616</v>
      </c>
      <c r="D761" s="6">
        <f>_xlfn.XLOOKUP(C761,'2023'!C:C,'2023'!A:A,"")</f>
        <v>45028.708333333001</v>
      </c>
      <c r="E761" s="6" t="str">
        <f>_xlfn.XLOOKUP(C761,'2023'!C:C,'2023'!B:B,"")</f>
        <v>No Selection Time Issued</v>
      </c>
      <c r="F761" s="19">
        <f t="shared" si="47"/>
        <v>45028.708333333001</v>
      </c>
      <c r="G761" s="6" t="str">
        <f>_xlfn.XLOOKUP(C761,'2024'!C:C,'2024'!A:A,"")</f>
        <v/>
      </c>
      <c r="H761" s="6" t="str">
        <f>_xlfn.XLOOKUP(C762,'2024'!C:C,'2024'!B:B,"")</f>
        <v/>
      </c>
      <c r="I761" s="19" t="str">
        <f t="shared" si="44"/>
        <v/>
      </c>
      <c r="J761" s="6" t="str">
        <f>_xlfn.XLOOKUP(C761,'2025'!C:C,'2025'!A:A,"")</f>
        <v/>
      </c>
      <c r="K761" s="6" t="str">
        <f>_xlfn.XLOOKUP(C761,'2025'!C:C,'2025'!B:B,"")</f>
        <v/>
      </c>
      <c r="L761" s="19" t="str">
        <f t="shared" si="45"/>
        <v/>
      </c>
      <c r="M761" s="16" cm="1">
        <f t="array" ref="M761">IFERROR(_xlfn.LET(
_xlpm.x,TRIM(C761),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1" s="16" t="b">
        <f t="shared" si="46"/>
        <v>0</v>
      </c>
    </row>
    <row r="762" spans="1:14" x14ac:dyDescent="0.25">
      <c r="A762" s="5" t="s">
        <v>597</v>
      </c>
      <c r="B762" s="16">
        <v>137</v>
      </c>
      <c r="C762" s="16" t="str">
        <v>Walker - 619</v>
      </c>
      <c r="D762" s="6" t="str">
        <f>_xlfn.XLOOKUP(C762,'2023'!C:C,'2023'!A:A,"")</f>
        <v/>
      </c>
      <c r="E762" s="6" t="str">
        <f>_xlfn.XLOOKUP(C762,'2023'!C:C,'2023'!B:B,"")</f>
        <v/>
      </c>
      <c r="F762" s="19" t="str">
        <f t="shared" si="47"/>
        <v/>
      </c>
      <c r="G762" s="6" t="str">
        <f>_xlfn.XLOOKUP(C762,'2024'!C:C,'2024'!A:A,"")</f>
        <v/>
      </c>
      <c r="H762" s="6" t="str">
        <f>_xlfn.XLOOKUP(C763,'2024'!C:C,'2024'!B:B,"")</f>
        <v/>
      </c>
      <c r="I762" s="19" t="str">
        <f t="shared" si="44"/>
        <v/>
      </c>
      <c r="J762" s="6">
        <f>_xlfn.XLOOKUP(C762,'2025'!C:C,'2025'!A:A,"")</f>
        <v>45755.897916667003</v>
      </c>
      <c r="K762" s="6" t="str">
        <f>_xlfn.XLOOKUP(C762,'2025'!C:C,'2025'!B:B,"")</f>
        <v>No Selection Time Issued</v>
      </c>
      <c r="L762" s="19">
        <f t="shared" si="45"/>
        <v>45755.897916667003</v>
      </c>
      <c r="M762" s="16" cm="1">
        <f t="array" ref="M762">IFERROR(_xlfn.LET(
_xlpm.x,TRIM(C762),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2" s="16" t="b">
        <f t="shared" si="46"/>
        <v>0</v>
      </c>
    </row>
    <row r="763" spans="1:14" x14ac:dyDescent="0.25">
      <c r="A763" s="5" t="s">
        <v>597</v>
      </c>
      <c r="B763" s="16">
        <v>137</v>
      </c>
      <c r="C763" s="16" t="str">
        <v>Walker - 620</v>
      </c>
      <c r="D763" s="6">
        <f>_xlfn.XLOOKUP(C763,'2023'!C:C,'2023'!A:A,"")</f>
        <v>45028.716666667002</v>
      </c>
      <c r="E763" s="6">
        <f>_xlfn.XLOOKUP(C763,'2023'!C:C,'2023'!B:B,"")</f>
        <v>45028.714583333</v>
      </c>
      <c r="F763" s="19">
        <f t="shared" si="47"/>
        <v>45028.714583333</v>
      </c>
      <c r="G763" s="6" t="str">
        <f>_xlfn.XLOOKUP(C763,'2024'!C:C,'2024'!A:A,"")</f>
        <v/>
      </c>
      <c r="H763" s="6" t="str">
        <f>_xlfn.XLOOKUP(C764,'2024'!C:C,'2024'!B:B,"")</f>
        <v/>
      </c>
      <c r="I763" s="19" t="str">
        <f t="shared" si="44"/>
        <v/>
      </c>
      <c r="J763" s="6">
        <f>_xlfn.XLOOKUP(C763,'2025'!C:C,'2025'!A:A,"")</f>
        <v>45756.710416667003</v>
      </c>
      <c r="K763" s="6" t="str">
        <f>_xlfn.XLOOKUP(C763,'2025'!C:C,'2025'!B:B,"")</f>
        <v>No Selection Time Issued</v>
      </c>
      <c r="L763" s="19">
        <f t="shared" si="45"/>
        <v>45756.710416667003</v>
      </c>
      <c r="M763" s="16" cm="1">
        <f t="array" ref="M763">IFERROR(_xlfn.LET(
_xlpm.x,TRIM(C763),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3" s="16" t="b">
        <f t="shared" si="46"/>
        <v>0</v>
      </c>
    </row>
    <row r="764" spans="1:14" x14ac:dyDescent="0.25">
      <c r="A764" s="5" t="s">
        <v>402</v>
      </c>
      <c r="B764" s="16">
        <v>142</v>
      </c>
      <c r="C764" s="16" t="str">
        <v>Walker - 621</v>
      </c>
      <c r="D764" s="6" t="str">
        <f>_xlfn.XLOOKUP(C764,'2023'!C:C,'2023'!A:A,"")</f>
        <v/>
      </c>
      <c r="E764" s="6" t="str">
        <f>_xlfn.XLOOKUP(C764,'2023'!C:C,'2023'!B:B,"")</f>
        <v/>
      </c>
      <c r="F764" s="19" t="str">
        <f t="shared" si="47"/>
        <v/>
      </c>
      <c r="G764" s="6" t="str">
        <f>_xlfn.XLOOKUP(C764,'2024'!C:C,'2024'!A:A,"")</f>
        <v/>
      </c>
      <c r="H764" s="6" t="str">
        <f>_xlfn.XLOOKUP(C765,'2024'!C:C,'2024'!B:B,"")</f>
        <v/>
      </c>
      <c r="I764" s="19" t="str">
        <f t="shared" si="44"/>
        <v/>
      </c>
      <c r="J764" s="6">
        <f>_xlfn.XLOOKUP(C764,'2025'!C:C,'2025'!A:A,"")</f>
        <v>45755.879166667</v>
      </c>
      <c r="K764" s="6" t="str">
        <f>_xlfn.XLOOKUP(C764,'2025'!C:C,'2025'!B:B,"")</f>
        <v>No Selection Time Issued</v>
      </c>
      <c r="L764" s="19">
        <f t="shared" si="45"/>
        <v>45755.879166667</v>
      </c>
      <c r="M764" s="16" cm="1">
        <f t="array" ref="M764">IFERROR(_xlfn.LET(
_xlpm.x,TRIM(C764),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4" s="16" t="b">
        <f t="shared" si="46"/>
        <v>0</v>
      </c>
    </row>
    <row r="765" spans="1:14" x14ac:dyDescent="0.25">
      <c r="A765" s="5" t="s">
        <v>402</v>
      </c>
      <c r="B765" s="16">
        <v>142</v>
      </c>
      <c r="C765" s="16" t="str">
        <v>Walker - 622</v>
      </c>
      <c r="D765" s="6" t="str">
        <f>_xlfn.XLOOKUP(C765,'2023'!C:C,'2023'!A:A,"")</f>
        <v/>
      </c>
      <c r="E765" s="6" t="str">
        <f>_xlfn.XLOOKUP(C765,'2023'!C:C,'2023'!B:B,"")</f>
        <v/>
      </c>
      <c r="F765" s="19" t="str">
        <f t="shared" si="47"/>
        <v/>
      </c>
      <c r="G765" s="6" t="str">
        <f>_xlfn.XLOOKUP(C765,'2024'!C:C,'2024'!A:A,"")</f>
        <v/>
      </c>
      <c r="H765" s="6" t="str">
        <f>_xlfn.XLOOKUP(C766,'2024'!C:C,'2024'!B:B,"")</f>
        <v/>
      </c>
      <c r="I765" s="19" t="str">
        <f t="shared" si="44"/>
        <v/>
      </c>
      <c r="J765" s="6">
        <f>_xlfn.XLOOKUP(C765,'2025'!C:C,'2025'!A:A,"")</f>
        <v>45755.760416666999</v>
      </c>
      <c r="K765" s="6" t="str">
        <f>_xlfn.XLOOKUP(C765,'2025'!C:C,'2025'!B:B,"")</f>
        <v>No Selection Time Issued</v>
      </c>
      <c r="L765" s="19">
        <f t="shared" si="45"/>
        <v>45755.760416666999</v>
      </c>
      <c r="M765" s="16" cm="1">
        <f t="array" ref="M765">IFERROR(_xlfn.LET(
_xlpm.x,TRIM(C765),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5" s="16" t="b">
        <f t="shared" si="46"/>
        <v>0</v>
      </c>
    </row>
    <row r="766" spans="1:14" x14ac:dyDescent="0.25">
      <c r="A766" s="5" t="s">
        <v>402</v>
      </c>
      <c r="B766" s="16">
        <v>153</v>
      </c>
      <c r="C766" s="16" t="str">
        <v>Walker - 623</v>
      </c>
      <c r="D766" s="6">
        <f>_xlfn.XLOOKUP(C766,'2023'!C:C,'2023'!A:A,"")</f>
        <v>45027.841666667002</v>
      </c>
      <c r="E766" s="6" t="str">
        <f>_xlfn.XLOOKUP(C766,'2023'!C:C,'2023'!B:B,"")</f>
        <v>No Selection Time Issued</v>
      </c>
      <c r="F766" s="19">
        <f t="shared" si="47"/>
        <v>45027.841666667002</v>
      </c>
      <c r="G766" s="6" t="str">
        <f>_xlfn.XLOOKUP(C766,'2024'!C:C,'2024'!A:A,"")</f>
        <v/>
      </c>
      <c r="H766" s="6">
        <f>_xlfn.XLOOKUP(C767,'2024'!C:C,'2024'!B:B,"")</f>
        <v>45392.735416666997</v>
      </c>
      <c r="I766" s="19">
        <f t="shared" si="44"/>
        <v>45392.735416666997</v>
      </c>
      <c r="J766" s="6">
        <f>_xlfn.XLOOKUP(C766,'2025'!C:C,'2025'!A:A,"")</f>
        <v>45755.816666667</v>
      </c>
      <c r="K766" s="6" t="str">
        <f>_xlfn.XLOOKUP(C766,'2025'!C:C,'2025'!B:B,"")</f>
        <v>No Selection Time Issued</v>
      </c>
      <c r="L766" s="19">
        <f t="shared" si="45"/>
        <v>45755.816666667</v>
      </c>
      <c r="M766" s="16" cm="1">
        <f t="array" ref="M766">IFERROR(_xlfn.LET(
_xlpm.x,TRIM(C766),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6" s="16" t="b">
        <f t="shared" si="46"/>
        <v>0</v>
      </c>
    </row>
    <row r="767" spans="1:14" x14ac:dyDescent="0.25">
      <c r="A767" s="5" t="s">
        <v>233</v>
      </c>
      <c r="B767" s="16">
        <v>145</v>
      </c>
      <c r="C767" s="16" t="str">
        <v>Walker - 701</v>
      </c>
      <c r="D767" s="6">
        <f>_xlfn.XLOOKUP(C767,'2023'!C:C,'2023'!A:A,"")</f>
        <v>45027.9</v>
      </c>
      <c r="E767" s="6" t="str">
        <f>_xlfn.XLOOKUP(C767,'2023'!C:C,'2023'!B:B,"")</f>
        <v>No Selection Time Issued</v>
      </c>
      <c r="F767" s="19">
        <f t="shared" si="47"/>
        <v>45027.9</v>
      </c>
      <c r="G767" s="6">
        <f>_xlfn.XLOOKUP(C767,'2024'!C:C,'2024'!A:A,"")</f>
        <v>45391.772916667003</v>
      </c>
      <c r="H767" s="6" t="str">
        <f>_xlfn.XLOOKUP(C768,'2024'!C:C,'2024'!B:B,"")</f>
        <v/>
      </c>
      <c r="I767" s="19">
        <f t="shared" si="44"/>
        <v>45391.772916667003</v>
      </c>
      <c r="J767" s="6">
        <f>_xlfn.XLOOKUP(C767,'2025'!C:C,'2025'!A:A,"")</f>
        <v>45755.864583333001</v>
      </c>
      <c r="K767" s="6">
        <f>_xlfn.XLOOKUP(C767,'2025'!C:C,'2025'!B:B,"")</f>
        <v>45755.864583333001</v>
      </c>
      <c r="L767" s="19">
        <f t="shared" si="45"/>
        <v>45755.864583333001</v>
      </c>
      <c r="M767" s="16" cm="1">
        <f t="array" ref="M767">IFERROR(_xlfn.LET(
_xlpm.x,TRIM(C767),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7" s="16" t="b">
        <f t="shared" si="46"/>
        <v>0</v>
      </c>
    </row>
    <row r="768" spans="1:14" x14ac:dyDescent="0.25">
      <c r="A768" s="5" t="s">
        <v>233</v>
      </c>
      <c r="B768" s="16">
        <v>143</v>
      </c>
      <c r="C768" s="16" t="str">
        <v>Walker - 702</v>
      </c>
      <c r="D768" s="6" t="str">
        <f>_xlfn.XLOOKUP(C768,'2023'!C:C,'2023'!A:A,"")</f>
        <v/>
      </c>
      <c r="E768" s="6" t="str">
        <f>_xlfn.XLOOKUP(C768,'2023'!C:C,'2023'!B:B,"")</f>
        <v/>
      </c>
      <c r="F768" s="19" t="str">
        <f t="shared" si="47"/>
        <v/>
      </c>
      <c r="G768" s="6" t="str">
        <f>_xlfn.XLOOKUP(C768,'2024'!C:C,'2024'!A:A,"")</f>
        <v/>
      </c>
      <c r="H768" s="6">
        <f>_xlfn.XLOOKUP(C769,'2024'!C:C,'2024'!B:B,"")</f>
        <v>45392.714583333</v>
      </c>
      <c r="I768" s="19">
        <f t="shared" si="44"/>
        <v>45392.714583333</v>
      </c>
      <c r="J768" s="6">
        <f>_xlfn.XLOOKUP(C768,'2025'!C:C,'2025'!A:A,"")</f>
        <v>45756.731249999997</v>
      </c>
      <c r="K768" s="6" t="str">
        <f>_xlfn.XLOOKUP(C768,'2025'!C:C,'2025'!B:B,"")</f>
        <v>No Selection Time Issued</v>
      </c>
      <c r="L768" s="19">
        <f t="shared" si="45"/>
        <v>45756.731249999997</v>
      </c>
      <c r="M768" s="16" cm="1">
        <f t="array" ref="M768">IFERROR(_xlfn.LET(
_xlpm.x,TRIM(C768),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8" s="16" t="b">
        <f t="shared" si="46"/>
        <v>0</v>
      </c>
    </row>
    <row r="769" spans="1:14" x14ac:dyDescent="0.25">
      <c r="A769" s="5" t="s">
        <v>233</v>
      </c>
      <c r="B769" s="16">
        <v>143</v>
      </c>
      <c r="C769" s="16" t="str">
        <v>Walker - 703</v>
      </c>
      <c r="D769" s="6">
        <f>_xlfn.XLOOKUP(C769,'2023'!C:C,'2023'!A:A,"")</f>
        <v>45027.8</v>
      </c>
      <c r="E769" s="6">
        <f>_xlfn.XLOOKUP(C769,'2023'!C:C,'2023'!B:B,"")</f>
        <v>45027.772916667003</v>
      </c>
      <c r="F769" s="19">
        <f t="shared" si="47"/>
        <v>45027.772916667003</v>
      </c>
      <c r="G769" s="6">
        <f>_xlfn.XLOOKUP(C769,'2024'!C:C,'2024'!A:A,"")</f>
        <v>45392.818749999999</v>
      </c>
      <c r="H769" s="6" t="str">
        <f>_xlfn.XLOOKUP(C770,'2024'!C:C,'2024'!B:B,"")</f>
        <v/>
      </c>
      <c r="I769" s="19">
        <f t="shared" si="44"/>
        <v>45392.818749999999</v>
      </c>
      <c r="J769" s="6">
        <f>_xlfn.XLOOKUP(C769,'2025'!C:C,'2025'!A:A,"")</f>
        <v>45756.791666666999</v>
      </c>
      <c r="K769" s="6">
        <f>_xlfn.XLOOKUP(C769,'2025'!C:C,'2025'!B:B,"")</f>
        <v>45755.864583333001</v>
      </c>
      <c r="L769" s="19">
        <f t="shared" si="45"/>
        <v>45755.864583333001</v>
      </c>
      <c r="M769" s="16" cm="1">
        <f t="array" ref="M769">IFERROR(_xlfn.LET(
_xlpm.x,TRIM(C769),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69" s="16" t="b">
        <f t="shared" si="46"/>
        <v>0</v>
      </c>
    </row>
    <row r="770" spans="1:14" x14ac:dyDescent="0.25">
      <c r="A770" s="5" t="s">
        <v>58</v>
      </c>
      <c r="B770" s="16">
        <v>144</v>
      </c>
      <c r="C770" s="16" t="str">
        <v>Walker - 704</v>
      </c>
      <c r="D770" s="6">
        <f>_xlfn.XLOOKUP(C770,'2023'!C:C,'2023'!A:A,"")</f>
        <v>45027.893750000003</v>
      </c>
      <c r="E770" s="6">
        <f>_xlfn.XLOOKUP(C770,'2023'!C:C,'2023'!B:B,"")</f>
        <v>45027.729166666999</v>
      </c>
      <c r="F770" s="19">
        <f t="shared" si="47"/>
        <v>45027.729166666999</v>
      </c>
      <c r="G770" s="6" t="str">
        <f>_xlfn.XLOOKUP(C770,'2024'!C:C,'2024'!A:A,"")</f>
        <v/>
      </c>
      <c r="H770" s="6" t="str">
        <f>_xlfn.XLOOKUP(C771,'2024'!C:C,'2024'!B:B,"")</f>
        <v/>
      </c>
      <c r="I770" s="19" t="str">
        <f t="shared" ref="I770:I833" si="48">_xlfn.LET(
_xlpm.ind,G770,
_xlpm.grp,H770,
IF(AND(NOT(ISNUMBER(_xlpm.ind)),NOT(ISNUMBER(_xlpm.grp))),"",
MIN(IF(ISNUMBER(_xlpm.ind),_xlpm.ind,1E+99),IF(ISNUMBER(_xlpm.grp),_xlpm.grp,1E+99))
)
)</f>
        <v/>
      </c>
      <c r="J770" s="6" t="str">
        <f>_xlfn.XLOOKUP(C770,'2025'!C:C,'2025'!A:A,"")</f>
        <v/>
      </c>
      <c r="K770" s="6" t="str">
        <f>_xlfn.XLOOKUP(C770,'2025'!C:C,'2025'!B:B,"")</f>
        <v/>
      </c>
      <c r="L770" s="19" t="str">
        <f t="shared" ref="L770:L833" si="49">_xlfn.LET(_xlpm.ind,J770,_xlpm.grp,K770,IF(AND(NOT(ISNUMBER(_xlpm.ind)),NOT(ISNUMBER(_xlpm.grp))),"",MIN(IF(ISNUMBER(_xlpm.ind),_xlpm.ind,1E+99),IF(ISNUMBER(_xlpm.grp),_xlpm.grp,1E+99))))</f>
        <v/>
      </c>
      <c r="M770" s="16" cm="1">
        <f t="array" ref="M770">IFERROR(_xlfn.LET(
_xlpm.x,TRIM(C770),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0" s="16" t="b">
        <f t="shared" ref="N770:N833" si="50">OR(_xlfn.TEXTBEFORE(C770," - ")="Blaisdell",_xlfn.TEXTBEFORE(C770," - ")="Mudd",_xlfn.TEXTBEFORE(C770," - ")="Dialynas",_xlfn.TEXTBEFORE(C770," - ")="Sontag")</f>
        <v>0</v>
      </c>
    </row>
    <row r="771" spans="1:14" x14ac:dyDescent="0.25">
      <c r="A771" s="5" t="s">
        <v>58</v>
      </c>
      <c r="B771" s="16">
        <v>143</v>
      </c>
      <c r="C771" s="16" t="str">
        <v>Walker - 705</v>
      </c>
      <c r="D771" s="6" t="str">
        <f>_xlfn.XLOOKUP(C771,'2023'!C:C,'2023'!A:A,"")</f>
        <v/>
      </c>
      <c r="E771" s="6" t="str">
        <f>_xlfn.XLOOKUP(C771,'2023'!C:C,'2023'!B:B,"")</f>
        <v/>
      </c>
      <c r="F771" s="19" t="str">
        <f t="shared" ref="F771:F834" si="51">_xlfn.LET(
_xlpm.ind,D771,
_xlpm.grp,E771,
IF(AND(NOT(ISNUMBER(_xlpm.ind)),NOT(ISNUMBER(_xlpm.grp))),"",
MIN(IF(ISNUMBER(_xlpm.ind),_xlpm.ind,1E+99),IF(ISNUMBER(_xlpm.grp),_xlpm.grp,1E+99))
)
)</f>
        <v/>
      </c>
      <c r="G771" s="6" t="str">
        <f>_xlfn.XLOOKUP(C771,'2024'!C:C,'2024'!A:A,"")</f>
        <v/>
      </c>
      <c r="H771" s="6" t="str">
        <f>_xlfn.XLOOKUP(C772,'2024'!C:C,'2024'!B:B,"")</f>
        <v/>
      </c>
      <c r="I771" s="19" t="str">
        <f t="shared" si="48"/>
        <v/>
      </c>
      <c r="J771" s="6">
        <f>_xlfn.XLOOKUP(C771,'2025'!C:C,'2025'!A:A,"")</f>
        <v>45756.747916667002</v>
      </c>
      <c r="K771" s="6" t="str">
        <f>_xlfn.XLOOKUP(C771,'2025'!C:C,'2025'!B:B,"")</f>
        <v>No Selection Time Issued</v>
      </c>
      <c r="L771" s="19">
        <f t="shared" si="49"/>
        <v>45756.747916667002</v>
      </c>
      <c r="M771" s="16" cm="1">
        <f t="array" ref="M771">IFERROR(_xlfn.LET(
_xlpm.x,TRIM(C771),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1" s="16" t="b">
        <f t="shared" si="50"/>
        <v>0</v>
      </c>
    </row>
    <row r="772" spans="1:14" x14ac:dyDescent="0.25">
      <c r="A772" s="5" t="s">
        <v>58</v>
      </c>
      <c r="B772" s="16">
        <v>143</v>
      </c>
      <c r="C772" s="16" t="str">
        <v>Walker - 706</v>
      </c>
      <c r="D772" s="6">
        <f>_xlfn.XLOOKUP(C772,'2023'!C:C,'2023'!A:A,"")</f>
        <v>45027.881249999999</v>
      </c>
      <c r="E772" s="6" t="str">
        <f>_xlfn.XLOOKUP(C772,'2023'!C:C,'2023'!B:B,"")</f>
        <v>No Selection Time Issued</v>
      </c>
      <c r="F772" s="19">
        <f t="shared" si="51"/>
        <v>45027.881249999999</v>
      </c>
      <c r="G772" s="6" t="str">
        <f>_xlfn.XLOOKUP(C772,'2024'!C:C,'2024'!A:A,"")</f>
        <v/>
      </c>
      <c r="H772" s="6" t="str">
        <f>_xlfn.XLOOKUP(C773,'2024'!C:C,'2024'!B:B,"")</f>
        <v/>
      </c>
      <c r="I772" s="19" t="str">
        <f t="shared" si="48"/>
        <v/>
      </c>
      <c r="J772" s="6">
        <f>_xlfn.XLOOKUP(C772,'2025'!C:C,'2025'!A:A,"")</f>
        <v>45756.724999999999</v>
      </c>
      <c r="K772" s="6" t="str">
        <f>_xlfn.XLOOKUP(C772,'2025'!C:C,'2025'!B:B,"")</f>
        <v>No Selection Time Issued</v>
      </c>
      <c r="L772" s="19">
        <f t="shared" si="49"/>
        <v>45756.724999999999</v>
      </c>
      <c r="M772" s="16" cm="1">
        <f t="array" ref="M772">IFERROR(_xlfn.LET(
_xlpm.x,TRIM(C772),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2" s="16" t="b">
        <f t="shared" si="50"/>
        <v>0</v>
      </c>
    </row>
    <row r="773" spans="1:14" x14ac:dyDescent="0.25">
      <c r="A773" s="5" t="s">
        <v>219</v>
      </c>
      <c r="B773" s="16">
        <v>143</v>
      </c>
      <c r="C773" s="16" t="str">
        <v>Walker - 708</v>
      </c>
      <c r="D773" s="6">
        <f>_xlfn.XLOOKUP(C773,'2023'!C:C,'2023'!A:A,"")</f>
        <v>45027.897916667003</v>
      </c>
      <c r="E773" s="6">
        <f>_xlfn.XLOOKUP(C773,'2023'!C:C,'2023'!B:B,"")</f>
        <v>45029.708333333001</v>
      </c>
      <c r="F773" s="19">
        <f t="shared" si="51"/>
        <v>45027.897916667003</v>
      </c>
      <c r="G773" s="6" t="str">
        <f>_xlfn.XLOOKUP(C773,'2024'!C:C,'2024'!A:A,"")</f>
        <v/>
      </c>
      <c r="H773" s="6" t="str">
        <f>_xlfn.XLOOKUP(C774,'2024'!C:C,'2024'!B:B,"")</f>
        <v/>
      </c>
      <c r="I773" s="19" t="str">
        <f t="shared" si="48"/>
        <v/>
      </c>
      <c r="J773" s="6" t="str">
        <f>_xlfn.XLOOKUP(C773,'2025'!C:C,'2025'!A:A,"")</f>
        <v/>
      </c>
      <c r="K773" s="6" t="str">
        <f>_xlfn.XLOOKUP(C773,'2025'!C:C,'2025'!B:B,"")</f>
        <v/>
      </c>
      <c r="L773" s="19" t="str">
        <f t="shared" si="49"/>
        <v/>
      </c>
      <c r="M773" s="16" cm="1">
        <f t="array" ref="M773">IFERROR(_xlfn.LET(
_xlpm.x,TRIM(C773),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3" s="16" t="b">
        <f t="shared" si="50"/>
        <v>0</v>
      </c>
    </row>
    <row r="774" spans="1:14" x14ac:dyDescent="0.25">
      <c r="A774" s="5" t="s">
        <v>219</v>
      </c>
      <c r="B774" s="16">
        <v>141</v>
      </c>
      <c r="C774" s="16" t="str">
        <v>Walker - 709</v>
      </c>
      <c r="D774" s="6" t="str">
        <f>_xlfn.XLOOKUP(C774,'2023'!C:C,'2023'!A:A,"")</f>
        <v/>
      </c>
      <c r="E774" s="6" t="str">
        <f>_xlfn.XLOOKUP(C774,'2023'!C:C,'2023'!B:B,"")</f>
        <v/>
      </c>
      <c r="F774" s="19" t="str">
        <f t="shared" si="51"/>
        <v/>
      </c>
      <c r="G774" s="6" t="str">
        <f>_xlfn.XLOOKUP(C774,'2024'!C:C,'2024'!A:A,"")</f>
        <v/>
      </c>
      <c r="H774" s="6" t="str">
        <f>_xlfn.XLOOKUP(C775,'2024'!C:C,'2024'!B:B,"")</f>
        <v/>
      </c>
      <c r="I774" s="19" t="str">
        <f t="shared" si="48"/>
        <v/>
      </c>
      <c r="J774" s="6">
        <f>_xlfn.XLOOKUP(C774,'2025'!C:C,'2025'!A:A,"")</f>
        <v>45756.768750000003</v>
      </c>
      <c r="K774" s="6" t="str">
        <f>_xlfn.XLOOKUP(C774,'2025'!C:C,'2025'!B:B,"")</f>
        <v>No Selection Time Issued</v>
      </c>
      <c r="L774" s="19">
        <f t="shared" si="49"/>
        <v>45756.768750000003</v>
      </c>
      <c r="M774" s="16" cm="1">
        <f t="array" ref="M774">IFERROR(_xlfn.LET(
_xlpm.x,TRIM(C774),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4" s="16" t="b">
        <f t="shared" si="50"/>
        <v>0</v>
      </c>
    </row>
    <row r="775" spans="1:14" x14ac:dyDescent="0.25">
      <c r="A775" s="5" t="s">
        <v>219</v>
      </c>
      <c r="B775" s="16">
        <v>141</v>
      </c>
      <c r="C775" s="16" t="str">
        <v>Walker - 710</v>
      </c>
      <c r="D775" s="6" t="str">
        <f>_xlfn.XLOOKUP(C775,'2023'!C:C,'2023'!A:A,"")</f>
        <v/>
      </c>
      <c r="E775" s="6" t="str">
        <f>_xlfn.XLOOKUP(C775,'2023'!C:C,'2023'!B:B,"")</f>
        <v/>
      </c>
      <c r="F775" s="19" t="str">
        <f t="shared" si="51"/>
        <v/>
      </c>
      <c r="G775" s="6" t="str">
        <f>_xlfn.XLOOKUP(C775,'2024'!C:C,'2024'!A:A,"")</f>
        <v/>
      </c>
      <c r="H775" s="6">
        <f>_xlfn.XLOOKUP(C776,'2024'!C:C,'2024'!B:B,"")</f>
        <v>45391.737500000003</v>
      </c>
      <c r="I775" s="19">
        <f t="shared" si="48"/>
        <v>45391.737500000003</v>
      </c>
      <c r="J775" s="6">
        <f>_xlfn.XLOOKUP(C775,'2025'!C:C,'2025'!A:A,"")</f>
        <v>45756.770833333001</v>
      </c>
      <c r="K775" s="6" t="str">
        <f>_xlfn.XLOOKUP(C775,'2025'!C:C,'2025'!B:B,"")</f>
        <v>No Selection Time Issued</v>
      </c>
      <c r="L775" s="19">
        <f t="shared" si="49"/>
        <v>45756.770833333001</v>
      </c>
      <c r="M775" s="16" cm="1">
        <f t="array" ref="M775">IFERROR(_xlfn.LET(
_xlpm.x,TRIM(C775),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5" s="16" t="b">
        <f t="shared" si="50"/>
        <v>0</v>
      </c>
    </row>
    <row r="776" spans="1:14" x14ac:dyDescent="0.25">
      <c r="A776" s="5" t="s">
        <v>639</v>
      </c>
      <c r="B776" s="16">
        <v>142</v>
      </c>
      <c r="C776" s="16" t="str">
        <v>Walker - 711</v>
      </c>
      <c r="D776" s="6" t="str">
        <f>_xlfn.XLOOKUP(C776,'2023'!C:C,'2023'!A:A,"")</f>
        <v/>
      </c>
      <c r="E776" s="6" t="str">
        <f>_xlfn.XLOOKUP(C776,'2023'!C:C,'2023'!B:B,"")</f>
        <v/>
      </c>
      <c r="F776" s="19" t="str">
        <f t="shared" si="51"/>
        <v/>
      </c>
      <c r="G776" s="6">
        <f>_xlfn.XLOOKUP(C776,'2024'!C:C,'2024'!A:A,"")</f>
        <v>45392.712500000001</v>
      </c>
      <c r="H776" s="6" t="str">
        <f>_xlfn.XLOOKUP(C777,'2024'!C:C,'2024'!B:B,"")</f>
        <v/>
      </c>
      <c r="I776" s="19">
        <f t="shared" si="48"/>
        <v>45392.712500000001</v>
      </c>
      <c r="J776" s="6">
        <f>_xlfn.XLOOKUP(C776,'2025'!C:C,'2025'!A:A,"")</f>
        <v>45756.720833332998</v>
      </c>
      <c r="K776" s="6" t="str">
        <f>_xlfn.XLOOKUP(C776,'2025'!C:C,'2025'!B:B,"")</f>
        <v>No Selection Time Issued</v>
      </c>
      <c r="L776" s="19">
        <f t="shared" si="49"/>
        <v>45756.720833332998</v>
      </c>
      <c r="M776" s="16" cm="1">
        <f t="array" ref="M776">IFERROR(_xlfn.LET(
_xlpm.x,TRIM(C776),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6" s="16" t="b">
        <f t="shared" si="50"/>
        <v>0</v>
      </c>
    </row>
    <row r="777" spans="1:14" x14ac:dyDescent="0.25">
      <c r="A777" s="5" t="s">
        <v>639</v>
      </c>
      <c r="B777" s="16">
        <v>143</v>
      </c>
      <c r="C777" s="16" t="str">
        <v>Walker - 712</v>
      </c>
      <c r="D777" s="6" t="str">
        <f>_xlfn.XLOOKUP(C777,'2023'!C:C,'2023'!A:A,"")</f>
        <v/>
      </c>
      <c r="E777" s="6" t="str">
        <f>_xlfn.XLOOKUP(C777,'2023'!C:C,'2023'!B:B,"")</f>
        <v/>
      </c>
      <c r="F777" s="19" t="str">
        <f t="shared" si="51"/>
        <v/>
      </c>
      <c r="G777" s="6" t="str">
        <f>_xlfn.XLOOKUP(C777,'2024'!C:C,'2024'!A:A,"")</f>
        <v/>
      </c>
      <c r="H777" s="6" t="str">
        <f>_xlfn.XLOOKUP(C778,'2024'!C:C,'2024'!B:B,"")</f>
        <v/>
      </c>
      <c r="I777" s="19" t="str">
        <f t="shared" si="48"/>
        <v/>
      </c>
      <c r="J777" s="6">
        <f>_xlfn.XLOOKUP(C777,'2025'!C:C,'2025'!A:A,"")</f>
        <v>45756.768750000003</v>
      </c>
      <c r="K777" s="6" t="str">
        <f>_xlfn.XLOOKUP(C777,'2025'!C:C,'2025'!B:B,"")</f>
        <v>No Selection Time Issued</v>
      </c>
      <c r="L777" s="19">
        <f t="shared" si="49"/>
        <v>45756.768750000003</v>
      </c>
      <c r="M777" s="16" cm="1">
        <f t="array" ref="M777">IFERROR(_xlfn.LET(
_xlpm.x,TRIM(C777),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7" s="16" t="b">
        <f t="shared" si="50"/>
        <v>0</v>
      </c>
    </row>
    <row r="778" spans="1:14" x14ac:dyDescent="0.25">
      <c r="A778" s="5" t="s">
        <v>639</v>
      </c>
      <c r="B778" s="16">
        <v>143</v>
      </c>
      <c r="C778" s="16" t="str">
        <v>Walker - 714</v>
      </c>
      <c r="D778" s="6">
        <f>_xlfn.XLOOKUP(C778,'2023'!C:C,'2023'!A:A,"")</f>
        <v>45027.816666667</v>
      </c>
      <c r="E778" s="6">
        <f>_xlfn.XLOOKUP(C778,'2023'!C:C,'2023'!B:B,"")</f>
        <v>45027.737500000003</v>
      </c>
      <c r="F778" s="19">
        <f t="shared" si="51"/>
        <v>45027.737500000003</v>
      </c>
      <c r="G778" s="6" t="str">
        <f>_xlfn.XLOOKUP(C778,'2024'!C:C,'2024'!A:A,"")</f>
        <v/>
      </c>
      <c r="H778" s="6">
        <f>_xlfn.XLOOKUP(C779,'2024'!C:C,'2024'!B:B,"")</f>
        <v>45391.714583333</v>
      </c>
      <c r="I778" s="19">
        <f t="shared" si="48"/>
        <v>45391.714583333</v>
      </c>
      <c r="J778" s="6">
        <f>_xlfn.XLOOKUP(C778,'2025'!C:C,'2025'!A:A,"")</f>
        <v>45756.743750000001</v>
      </c>
      <c r="K778" s="6" t="str">
        <f>_xlfn.XLOOKUP(C778,'2025'!C:C,'2025'!B:B,"")</f>
        <v>No Selection Time Issued</v>
      </c>
      <c r="L778" s="19">
        <f t="shared" si="49"/>
        <v>45756.743750000001</v>
      </c>
      <c r="M778" s="16" cm="1">
        <f t="array" ref="M778">IFERROR(_xlfn.LET(
_xlpm.x,TRIM(C778),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8" s="16" t="b">
        <f t="shared" si="50"/>
        <v>0</v>
      </c>
    </row>
    <row r="779" spans="1:14" x14ac:dyDescent="0.25">
      <c r="A779" s="5" t="s">
        <v>242</v>
      </c>
      <c r="B779" s="16">
        <v>142</v>
      </c>
      <c r="C779" s="16" t="str">
        <v>Walker - 715</v>
      </c>
      <c r="D779" s="6" t="str">
        <f>_xlfn.XLOOKUP(C779,'2023'!C:C,'2023'!A:A,"")</f>
        <v/>
      </c>
      <c r="E779" s="6" t="str">
        <f>_xlfn.XLOOKUP(C779,'2023'!C:C,'2023'!B:B,"")</f>
        <v/>
      </c>
      <c r="F779" s="19" t="str">
        <f t="shared" si="51"/>
        <v/>
      </c>
      <c r="G779" s="6">
        <f>_xlfn.XLOOKUP(C779,'2024'!C:C,'2024'!A:A,"")</f>
        <v>45391.9</v>
      </c>
      <c r="H779" s="6" t="str">
        <f>_xlfn.XLOOKUP(C780,'2024'!C:C,'2024'!B:B,"")</f>
        <v/>
      </c>
      <c r="I779" s="19">
        <f t="shared" si="48"/>
        <v>45391.9</v>
      </c>
      <c r="J779" s="6" t="str">
        <f>_xlfn.XLOOKUP(C779,'2025'!C:C,'2025'!A:A,"")</f>
        <v/>
      </c>
      <c r="K779" s="6" t="str">
        <f>_xlfn.XLOOKUP(C779,'2025'!C:C,'2025'!B:B,"")</f>
        <v/>
      </c>
      <c r="L779" s="19" t="str">
        <f t="shared" si="49"/>
        <v/>
      </c>
      <c r="M779" s="16" cm="1">
        <f t="array" ref="M779">IFERROR(_xlfn.LET(
_xlpm.x,TRIM(C779),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79" s="16" t="b">
        <f t="shared" si="50"/>
        <v>0</v>
      </c>
    </row>
    <row r="780" spans="1:14" x14ac:dyDescent="0.25">
      <c r="A780" s="5" t="s">
        <v>242</v>
      </c>
      <c r="B780" s="16">
        <v>143</v>
      </c>
      <c r="C780" s="16" t="str">
        <v>Walker - 716</v>
      </c>
      <c r="D780" s="6">
        <f>_xlfn.XLOOKUP(C780,'2023'!C:C,'2023'!A:A,"")</f>
        <v>45027.770833333001</v>
      </c>
      <c r="E780" s="6" t="str">
        <f>_xlfn.XLOOKUP(C780,'2023'!C:C,'2023'!B:B,"")</f>
        <v>No Selection Time Issued</v>
      </c>
      <c r="F780" s="19">
        <f t="shared" si="51"/>
        <v>45027.770833333001</v>
      </c>
      <c r="G780" s="6" t="str">
        <f>_xlfn.XLOOKUP(C780,'2024'!C:C,'2024'!A:A,"")</f>
        <v/>
      </c>
      <c r="H780" s="6">
        <f>_xlfn.XLOOKUP(C781,'2024'!C:C,'2024'!B:B,"")</f>
        <v>45391.712500000001</v>
      </c>
      <c r="I780" s="19">
        <f t="shared" si="48"/>
        <v>45391.712500000001</v>
      </c>
      <c r="J780" s="6">
        <f>_xlfn.XLOOKUP(C780,'2025'!C:C,'2025'!A:A,"")</f>
        <v>45755.735416666997</v>
      </c>
      <c r="K780" s="6" t="str">
        <f>_xlfn.XLOOKUP(C780,'2025'!C:C,'2025'!B:B,"")</f>
        <v>No Selection Time Issued</v>
      </c>
      <c r="L780" s="19">
        <f t="shared" si="49"/>
        <v>45755.735416666997</v>
      </c>
      <c r="M780" s="16" cm="1">
        <f t="array" ref="M780">IFERROR(_xlfn.LET(
_xlpm.x,TRIM(C780),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0" s="16" t="b">
        <f t="shared" si="50"/>
        <v>0</v>
      </c>
    </row>
    <row r="781" spans="1:14" x14ac:dyDescent="0.25">
      <c r="A781" s="5" t="s">
        <v>242</v>
      </c>
      <c r="B781" s="16">
        <v>144</v>
      </c>
      <c r="C781" s="16" t="str">
        <v>Walker - 717</v>
      </c>
      <c r="D781" s="6" t="str">
        <f>_xlfn.XLOOKUP(C781,'2023'!C:C,'2023'!A:A,"")</f>
        <v/>
      </c>
      <c r="E781" s="6" t="str">
        <f>_xlfn.XLOOKUP(C781,'2023'!C:C,'2023'!B:B,"")</f>
        <v/>
      </c>
      <c r="F781" s="19" t="str">
        <f t="shared" si="51"/>
        <v/>
      </c>
      <c r="G781" s="6">
        <f>_xlfn.XLOOKUP(C781,'2024'!C:C,'2024'!A:A,"")</f>
        <v>45391.852083332997</v>
      </c>
      <c r="H781" s="6" t="str">
        <f>_xlfn.XLOOKUP(C782,'2024'!C:C,'2024'!B:B,"")</f>
        <v/>
      </c>
      <c r="I781" s="19">
        <f t="shared" si="48"/>
        <v>45391.852083332997</v>
      </c>
      <c r="J781" s="6" t="str">
        <f>_xlfn.XLOOKUP(C781,'2025'!C:C,'2025'!A:A,"")</f>
        <v/>
      </c>
      <c r="K781" s="6" t="str">
        <f>_xlfn.XLOOKUP(C781,'2025'!C:C,'2025'!B:B,"")</f>
        <v/>
      </c>
      <c r="L781" s="19" t="str">
        <f t="shared" si="49"/>
        <v/>
      </c>
      <c r="M781" s="16" cm="1">
        <f t="array" ref="M781">IFERROR(_xlfn.LET(
_xlpm.x,TRIM(C781),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1" s="16" t="b">
        <f t="shared" si="50"/>
        <v>0</v>
      </c>
    </row>
    <row r="782" spans="1:14" x14ac:dyDescent="0.25">
      <c r="A782" s="5" t="s">
        <v>608</v>
      </c>
      <c r="B782" s="16">
        <v>143</v>
      </c>
      <c r="C782" s="16" t="str">
        <v>Walker - 718</v>
      </c>
      <c r="D782" s="6">
        <f>_xlfn.XLOOKUP(C782,'2023'!C:C,'2023'!A:A,"")</f>
        <v>45027.797916666997</v>
      </c>
      <c r="E782" s="6" t="str">
        <f>_xlfn.XLOOKUP(C782,'2023'!C:C,'2023'!B:B,"")</f>
        <v>No Selection Time Issued</v>
      </c>
      <c r="F782" s="19">
        <f t="shared" si="51"/>
        <v>45027.797916666997</v>
      </c>
      <c r="G782" s="6" t="str">
        <f>_xlfn.XLOOKUP(C782,'2024'!C:C,'2024'!A:A,"")</f>
        <v/>
      </c>
      <c r="H782" s="6" t="str">
        <f>_xlfn.XLOOKUP(C783,'2024'!C:C,'2024'!B:B,"")</f>
        <v/>
      </c>
      <c r="I782" s="19" t="str">
        <f t="shared" si="48"/>
        <v/>
      </c>
      <c r="J782" s="6" t="str">
        <f>_xlfn.XLOOKUP(C782,'2025'!C:C,'2025'!A:A,"")</f>
        <v/>
      </c>
      <c r="K782" s="6" t="str">
        <f>_xlfn.XLOOKUP(C782,'2025'!C:C,'2025'!B:B,"")</f>
        <v/>
      </c>
      <c r="L782" s="19" t="str">
        <f t="shared" si="49"/>
        <v/>
      </c>
      <c r="M782" s="16" cm="1">
        <f t="array" ref="M782">IFERROR(_xlfn.LET(
_xlpm.x,TRIM(C782),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2" s="16" t="b">
        <f t="shared" si="50"/>
        <v>0</v>
      </c>
    </row>
    <row r="783" spans="1:14" x14ac:dyDescent="0.25">
      <c r="A783" s="5" t="s">
        <v>608</v>
      </c>
      <c r="B783" s="16">
        <v>143</v>
      </c>
      <c r="C783" s="16" t="str">
        <v>Walker - 719</v>
      </c>
      <c r="D783" s="6" t="str">
        <f>_xlfn.XLOOKUP(C783,'2023'!C:C,'2023'!A:A,"")</f>
        <v/>
      </c>
      <c r="E783" s="6" t="str">
        <f>_xlfn.XLOOKUP(C783,'2023'!C:C,'2023'!B:B,"")</f>
        <v/>
      </c>
      <c r="F783" s="19" t="str">
        <f t="shared" si="51"/>
        <v/>
      </c>
      <c r="G783" s="6" t="str">
        <f>_xlfn.XLOOKUP(C783,'2024'!C:C,'2024'!A:A,"")</f>
        <v/>
      </c>
      <c r="H783" s="6">
        <f>_xlfn.XLOOKUP(C784,'2024'!C:C,'2024'!B:B,"")</f>
        <v>45391.729166666999</v>
      </c>
      <c r="I783" s="19">
        <f t="shared" si="48"/>
        <v>45391.729166666999</v>
      </c>
      <c r="J783" s="6">
        <f>_xlfn.XLOOKUP(C783,'2025'!C:C,'2025'!A:A,"")</f>
        <v>45755.739583333001</v>
      </c>
      <c r="K783" s="6" t="str">
        <f>_xlfn.XLOOKUP(C783,'2025'!C:C,'2025'!B:B,"")</f>
        <v>No Selection Time Issued</v>
      </c>
      <c r="L783" s="19">
        <f t="shared" si="49"/>
        <v>45755.739583333001</v>
      </c>
      <c r="M783" s="16" cm="1">
        <f t="array" ref="M783">IFERROR(_xlfn.LET(
_xlpm.x,TRIM(C783),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3" s="16" t="b">
        <f t="shared" si="50"/>
        <v>0</v>
      </c>
    </row>
    <row r="784" spans="1:14" x14ac:dyDescent="0.25">
      <c r="A784" s="5" t="s">
        <v>608</v>
      </c>
      <c r="B784" s="16">
        <v>142</v>
      </c>
      <c r="C784" s="16" t="str">
        <v>Walker - 720</v>
      </c>
      <c r="D784" s="6" t="str">
        <f>_xlfn.XLOOKUP(C784,'2023'!C:C,'2023'!A:A,"")</f>
        <v/>
      </c>
      <c r="E784" s="6" t="str">
        <f>_xlfn.XLOOKUP(C784,'2023'!C:C,'2023'!B:B,"")</f>
        <v/>
      </c>
      <c r="F784" s="19" t="str">
        <f t="shared" si="51"/>
        <v/>
      </c>
      <c r="G784" s="6">
        <f>_xlfn.XLOOKUP(C784,'2024'!C:C,'2024'!A:A,"")</f>
        <v>45392.724999999999</v>
      </c>
      <c r="H784" s="6" t="str">
        <f>_xlfn.XLOOKUP(C785,'2024'!C:C,'2024'!B:B,"")</f>
        <v/>
      </c>
      <c r="I784" s="19">
        <f t="shared" si="48"/>
        <v>45392.724999999999</v>
      </c>
      <c r="J784" s="6" t="str">
        <f>_xlfn.XLOOKUP(C784,'2025'!C:C,'2025'!A:A,"")</f>
        <v/>
      </c>
      <c r="K784" s="6" t="str">
        <f>_xlfn.XLOOKUP(C784,'2025'!C:C,'2025'!B:B,"")</f>
        <v/>
      </c>
      <c r="L784" s="19" t="str">
        <f t="shared" si="49"/>
        <v/>
      </c>
      <c r="M784" s="16" cm="1">
        <f t="array" ref="M784">IFERROR(_xlfn.LET(
_xlpm.x,TRIM(C784),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4" s="16" t="b">
        <f t="shared" si="50"/>
        <v>0</v>
      </c>
    </row>
    <row r="785" spans="1:14" x14ac:dyDescent="0.25">
      <c r="A785" s="5" t="s">
        <v>347</v>
      </c>
      <c r="B785" s="16">
        <v>140</v>
      </c>
      <c r="C785" s="16" t="str">
        <v>Walker - 722</v>
      </c>
      <c r="D785" s="6" t="str">
        <f>_xlfn.XLOOKUP(C785,'2023'!C:C,'2023'!A:A,"")</f>
        <v/>
      </c>
      <c r="E785" s="6" t="str">
        <f>_xlfn.XLOOKUP(C785,'2023'!C:C,'2023'!B:B,"")</f>
        <v/>
      </c>
      <c r="F785" s="19" t="str">
        <f t="shared" si="51"/>
        <v/>
      </c>
      <c r="G785" s="6" t="str">
        <f>_xlfn.XLOOKUP(C785,'2024'!C:C,'2024'!A:A,"")</f>
        <v/>
      </c>
      <c r="H785" s="6" t="str">
        <f>_xlfn.XLOOKUP(C786,'2024'!C:C,'2024'!B:B,"")</f>
        <v/>
      </c>
      <c r="I785" s="19" t="str">
        <f t="shared" si="48"/>
        <v/>
      </c>
      <c r="J785" s="6">
        <f>_xlfn.XLOOKUP(C785,'2025'!C:C,'2025'!A:A,"")</f>
        <v>45756.716666667002</v>
      </c>
      <c r="K785" s="6" t="str">
        <f>_xlfn.XLOOKUP(C785,'2025'!C:C,'2025'!B:B,"")</f>
        <v>No Selection Time Issued</v>
      </c>
      <c r="L785" s="19">
        <f t="shared" si="49"/>
        <v>45756.716666667002</v>
      </c>
      <c r="M785" s="16" cm="1">
        <f t="array" ref="M785">IFERROR(_xlfn.LET(
_xlpm.x,TRIM(C785),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5" s="16" t="b">
        <f t="shared" si="50"/>
        <v>0</v>
      </c>
    </row>
    <row r="786" spans="1:14" x14ac:dyDescent="0.25">
      <c r="A786" s="5" t="s">
        <v>347</v>
      </c>
      <c r="B786" s="16">
        <v>143</v>
      </c>
      <c r="C786" s="16" t="str">
        <v>Walker - 723</v>
      </c>
      <c r="D786" s="6" t="str">
        <f>_xlfn.XLOOKUP(C786,'2023'!C:C,'2023'!A:A,"")</f>
        <v/>
      </c>
      <c r="E786" s="6" t="str">
        <f>_xlfn.XLOOKUP(C786,'2023'!C:C,'2023'!B:B,"")</f>
        <v/>
      </c>
      <c r="F786" s="19" t="str">
        <f t="shared" si="51"/>
        <v/>
      </c>
      <c r="G786" s="6" t="str">
        <f>_xlfn.XLOOKUP(C786,'2024'!C:C,'2024'!A:A,"")</f>
        <v/>
      </c>
      <c r="H786" s="6" t="str">
        <f>_xlfn.XLOOKUP(C787,'2024'!C:C,'2024'!B:B,"")</f>
        <v/>
      </c>
      <c r="I786" s="19" t="str">
        <f t="shared" si="48"/>
        <v/>
      </c>
      <c r="J786" s="6">
        <f>_xlfn.XLOOKUP(C786,'2025'!C:C,'2025'!A:A,"")</f>
        <v>45756.727083332997</v>
      </c>
      <c r="K786" s="6" t="str">
        <f>_xlfn.XLOOKUP(C786,'2025'!C:C,'2025'!B:B,"")</f>
        <v>No Selection Time Issued</v>
      </c>
      <c r="L786" s="19">
        <f t="shared" si="49"/>
        <v>45756.727083332997</v>
      </c>
      <c r="M786" s="16" cm="1">
        <f t="array" ref="M786">IFERROR(_xlfn.LET(
_xlpm.x,TRIM(C786),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6" s="16" t="b">
        <f t="shared" si="50"/>
        <v>0</v>
      </c>
    </row>
    <row r="787" spans="1:14" x14ac:dyDescent="0.25">
      <c r="A787" s="5" t="s">
        <v>347</v>
      </c>
      <c r="B787" s="16">
        <v>143</v>
      </c>
      <c r="C787" s="16" t="str">
        <v>Walker - 724</v>
      </c>
      <c r="D787" s="6" t="str">
        <f>_xlfn.XLOOKUP(C787,'2023'!C:C,'2023'!A:A,"")</f>
        <v/>
      </c>
      <c r="E787" s="6" t="str">
        <f>_xlfn.XLOOKUP(C787,'2023'!C:C,'2023'!B:B,"")</f>
        <v/>
      </c>
      <c r="F787" s="19" t="str">
        <f t="shared" si="51"/>
        <v/>
      </c>
      <c r="G787" s="6" t="str">
        <f>_xlfn.XLOOKUP(C787,'2024'!C:C,'2024'!A:A,"")</f>
        <v/>
      </c>
      <c r="H787" s="6" t="str">
        <f>_xlfn.XLOOKUP(C788,'2024'!C:C,'2024'!B:B,"")</f>
        <v/>
      </c>
      <c r="I787" s="19" t="str">
        <f t="shared" si="48"/>
        <v/>
      </c>
      <c r="J787" s="6">
        <f>_xlfn.XLOOKUP(C787,'2025'!C:C,'2025'!A:A,"")</f>
        <v>45756.729166666999</v>
      </c>
      <c r="K787" s="6" t="str">
        <f>_xlfn.XLOOKUP(C787,'2025'!C:C,'2025'!B:B,"")</f>
        <v>No Selection Time Issued</v>
      </c>
      <c r="L787" s="19">
        <f t="shared" si="49"/>
        <v>45756.729166666999</v>
      </c>
      <c r="M787" s="16" cm="1">
        <f t="array" ref="M787">IFERROR(_xlfn.LET(
_xlpm.x,TRIM(C787),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7" s="16" t="b">
        <f t="shared" si="50"/>
        <v>0</v>
      </c>
    </row>
    <row r="788" spans="1:14" x14ac:dyDescent="0.25">
      <c r="A788" s="5" t="s">
        <v>377</v>
      </c>
      <c r="B788" s="16">
        <v>143</v>
      </c>
      <c r="C788" s="16" t="str">
        <v>Walker - 725</v>
      </c>
      <c r="D788" s="6" t="str">
        <f>_xlfn.XLOOKUP(C788,'2023'!C:C,'2023'!A:A,"")</f>
        <v/>
      </c>
      <c r="E788" s="6" t="str">
        <f>_xlfn.XLOOKUP(C788,'2023'!C:C,'2023'!B:B,"")</f>
        <v/>
      </c>
      <c r="F788" s="19" t="str">
        <f t="shared" si="51"/>
        <v/>
      </c>
      <c r="G788" s="6" t="str">
        <f>_xlfn.XLOOKUP(C788,'2024'!C:C,'2024'!A:A,"")</f>
        <v/>
      </c>
      <c r="H788" s="6" t="str">
        <f>_xlfn.XLOOKUP(C789,'2024'!C:C,'2024'!B:B,"")</f>
        <v/>
      </c>
      <c r="I788" s="19" t="str">
        <f t="shared" si="48"/>
        <v/>
      </c>
      <c r="J788" s="6">
        <f>_xlfn.XLOOKUP(C788,'2025'!C:C,'2025'!A:A,"")</f>
        <v>45755.904166667002</v>
      </c>
      <c r="K788" s="6" t="str">
        <f>_xlfn.XLOOKUP(C788,'2025'!C:C,'2025'!B:B,"")</f>
        <v>No Selection Time Issued</v>
      </c>
      <c r="L788" s="19">
        <f t="shared" si="49"/>
        <v>45755.904166667002</v>
      </c>
      <c r="M788" s="16" cm="1">
        <f t="array" ref="M788">IFERROR(_xlfn.LET(
_xlpm.x,TRIM(C788),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8" s="16" t="b">
        <f t="shared" si="50"/>
        <v>0</v>
      </c>
    </row>
    <row r="789" spans="1:14" x14ac:dyDescent="0.25">
      <c r="A789" s="5" t="s">
        <v>377</v>
      </c>
      <c r="B789" s="16">
        <v>143</v>
      </c>
      <c r="C789" s="16" t="str">
        <v>Walker - 726</v>
      </c>
      <c r="D789" s="6">
        <f>_xlfn.XLOOKUP(C789,'2023'!C:C,'2023'!A:A,"")</f>
        <v>45027.762499999997</v>
      </c>
      <c r="E789" s="6">
        <f>_xlfn.XLOOKUP(C789,'2023'!C:C,'2023'!B:B,"")</f>
        <v>45028.710416667003</v>
      </c>
      <c r="F789" s="19">
        <f t="shared" si="51"/>
        <v>45027.762499999997</v>
      </c>
      <c r="G789" s="6" t="str">
        <f>_xlfn.XLOOKUP(C789,'2024'!C:C,'2024'!A:A,"")</f>
        <v/>
      </c>
      <c r="H789" s="6" t="str">
        <f>_xlfn.XLOOKUP(C790,'2024'!C:C,'2024'!B:B,"")</f>
        <v/>
      </c>
      <c r="I789" s="19" t="str">
        <f t="shared" si="48"/>
        <v/>
      </c>
      <c r="J789" s="6" t="str">
        <f>_xlfn.XLOOKUP(C789,'2025'!C:C,'2025'!A:A,"")</f>
        <v/>
      </c>
      <c r="K789" s="6" t="str">
        <f>_xlfn.XLOOKUP(C789,'2025'!C:C,'2025'!B:B,"")</f>
        <v/>
      </c>
      <c r="L789" s="19" t="str">
        <f t="shared" si="49"/>
        <v/>
      </c>
      <c r="M789" s="16" cm="1">
        <f t="array" ref="M789">IFERROR(_xlfn.LET(
_xlpm.x,TRIM(C789),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89" s="16" t="b">
        <f t="shared" si="50"/>
        <v>0</v>
      </c>
    </row>
    <row r="790" spans="1:14" x14ac:dyDescent="0.25">
      <c r="A790" s="5" t="s">
        <v>377</v>
      </c>
      <c r="B790" s="16">
        <v>143</v>
      </c>
      <c r="C790" s="16" t="str">
        <v>Walker - 727</v>
      </c>
      <c r="D790" s="6" t="str">
        <f>_xlfn.XLOOKUP(C790,'2023'!C:C,'2023'!A:A,"")</f>
        <v/>
      </c>
      <c r="E790" s="6" t="str">
        <f>_xlfn.XLOOKUP(C790,'2023'!C:C,'2023'!B:B,"")</f>
        <v/>
      </c>
      <c r="F790" s="19" t="str">
        <f t="shared" si="51"/>
        <v/>
      </c>
      <c r="G790" s="6" t="str">
        <f>_xlfn.XLOOKUP(C790,'2024'!C:C,'2024'!A:A,"")</f>
        <v/>
      </c>
      <c r="H790" s="6" t="str">
        <f>_xlfn.XLOOKUP(C791,'2024'!C:C,'2024'!B:B,"")</f>
        <v/>
      </c>
      <c r="I790" s="19" t="str">
        <f t="shared" si="48"/>
        <v/>
      </c>
      <c r="J790" s="6">
        <f>_xlfn.XLOOKUP(C790,'2025'!C:C,'2025'!A:A,"")</f>
        <v>45756.768750000003</v>
      </c>
      <c r="K790" s="6" t="str">
        <f>_xlfn.XLOOKUP(C790,'2025'!C:C,'2025'!B:B,"")</f>
        <v>No Selection Time Issued</v>
      </c>
      <c r="L790" s="19">
        <f t="shared" si="49"/>
        <v>45756.768750000003</v>
      </c>
      <c r="M790" s="16" cm="1">
        <f t="array" ref="M790">IFERROR(_xlfn.LET(
_xlpm.x,TRIM(C790),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0" s="16" t="b">
        <f t="shared" si="50"/>
        <v>0</v>
      </c>
    </row>
    <row r="791" spans="1:14" x14ac:dyDescent="0.25">
      <c r="A791" s="5" t="s">
        <v>238</v>
      </c>
      <c r="B791" s="16">
        <v>144</v>
      </c>
      <c r="C791" s="16" t="str">
        <v>Walker - 728</v>
      </c>
      <c r="D791" s="6" t="str">
        <f>_xlfn.XLOOKUP(C791,'2023'!C:C,'2023'!A:A,"")</f>
        <v/>
      </c>
      <c r="E791" s="6" t="str">
        <f>_xlfn.XLOOKUP(C791,'2023'!C:C,'2023'!B:B,"")</f>
        <v/>
      </c>
      <c r="F791" s="19" t="str">
        <f t="shared" si="51"/>
        <v/>
      </c>
      <c r="G791" s="6" t="str">
        <f>_xlfn.XLOOKUP(C791,'2024'!C:C,'2024'!A:A,"")</f>
        <v/>
      </c>
      <c r="H791" s="6" t="str">
        <f>_xlfn.XLOOKUP(C792,'2024'!C:C,'2024'!B:B,"")</f>
        <v/>
      </c>
      <c r="I791" s="19" t="str">
        <f t="shared" si="48"/>
        <v/>
      </c>
      <c r="J791" s="6">
        <f>_xlfn.XLOOKUP(C791,'2025'!C:C,'2025'!A:A,"")</f>
        <v>45755.852083332997</v>
      </c>
      <c r="K791" s="6" t="str">
        <f>_xlfn.XLOOKUP(C791,'2025'!C:C,'2025'!B:B,"")</f>
        <v>No Selection Time Issued</v>
      </c>
      <c r="L791" s="19">
        <f t="shared" si="49"/>
        <v>45755.852083332997</v>
      </c>
      <c r="M791" s="16" cm="1">
        <f t="array" ref="M791">IFERROR(_xlfn.LET(
_xlpm.x,TRIM(C791),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1" s="16" t="b">
        <f t="shared" si="50"/>
        <v>0</v>
      </c>
    </row>
    <row r="792" spans="1:14" x14ac:dyDescent="0.25">
      <c r="A792" s="5" t="s">
        <v>238</v>
      </c>
      <c r="B792" s="16">
        <v>143</v>
      </c>
      <c r="C792" s="16" t="str">
        <v>Walker - 729</v>
      </c>
      <c r="D792" s="6" t="str">
        <f>_xlfn.XLOOKUP(C792,'2023'!C:C,'2023'!A:A,"")</f>
        <v/>
      </c>
      <c r="E792" s="6" t="str">
        <f>_xlfn.XLOOKUP(C792,'2023'!C:C,'2023'!B:B,"")</f>
        <v/>
      </c>
      <c r="F792" s="19" t="str">
        <f t="shared" si="51"/>
        <v/>
      </c>
      <c r="G792" s="6" t="str">
        <f>_xlfn.XLOOKUP(C792,'2024'!C:C,'2024'!A:A,"")</f>
        <v/>
      </c>
      <c r="H792" s="6">
        <f>_xlfn.XLOOKUP(C793,'2024'!C:C,'2024'!B:B,"")</f>
        <v>45391.837500000001</v>
      </c>
      <c r="I792" s="19">
        <f t="shared" si="48"/>
        <v>45391.837500000001</v>
      </c>
      <c r="J792" s="6">
        <f>_xlfn.XLOOKUP(C792,'2025'!C:C,'2025'!A:A,"")</f>
        <v>45755.793749999997</v>
      </c>
      <c r="K792" s="6" t="str">
        <f>_xlfn.XLOOKUP(C792,'2025'!C:C,'2025'!B:B,"")</f>
        <v>No Selection Time Issued</v>
      </c>
      <c r="L792" s="19">
        <f t="shared" si="49"/>
        <v>45755.793749999997</v>
      </c>
      <c r="M792" s="16" cm="1">
        <f t="array" ref="M792">IFERROR(_xlfn.LET(
_xlpm.x,TRIM(C792),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2" s="16" t="b">
        <f t="shared" si="50"/>
        <v>0</v>
      </c>
    </row>
    <row r="793" spans="1:14" x14ac:dyDescent="0.25">
      <c r="A793" s="5" t="s">
        <v>72</v>
      </c>
      <c r="B793" s="16">
        <v>141</v>
      </c>
      <c r="C793" s="16" t="str">
        <v>Walker - 730</v>
      </c>
      <c r="D793" s="6">
        <f>_xlfn.XLOOKUP(C793,'2023'!C:C,'2023'!A:A,"")</f>
        <v>45027.875</v>
      </c>
      <c r="E793" s="6">
        <f>_xlfn.XLOOKUP(C793,'2023'!C:C,'2023'!B:B,"")</f>
        <v>45029.708333333001</v>
      </c>
      <c r="F793" s="19">
        <f t="shared" si="51"/>
        <v>45027.875</v>
      </c>
      <c r="G793" s="6">
        <f>_xlfn.XLOOKUP(C793,'2024'!C:C,'2024'!A:A,"")</f>
        <v>45391.85</v>
      </c>
      <c r="H793" s="6">
        <f>_xlfn.XLOOKUP(C794,'2024'!C:C,'2024'!B:B,"")</f>
        <v>45391.775000000001</v>
      </c>
      <c r="I793" s="19">
        <f t="shared" si="48"/>
        <v>45391.775000000001</v>
      </c>
      <c r="J793" s="6" t="str">
        <f>_xlfn.XLOOKUP(C793,'2025'!C:C,'2025'!A:A,"")</f>
        <v/>
      </c>
      <c r="K793" s="6" t="str">
        <f>_xlfn.XLOOKUP(C793,'2025'!C:C,'2025'!B:B,"")</f>
        <v/>
      </c>
      <c r="L793" s="19" t="str">
        <f t="shared" si="49"/>
        <v/>
      </c>
      <c r="M793" s="16" cm="1">
        <f t="array" ref="M793">IFERROR(_xlfn.LET(
_xlpm.x,TRIM(C793),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3" s="16" t="b">
        <f t="shared" si="50"/>
        <v>0</v>
      </c>
    </row>
    <row r="794" spans="1:14" x14ac:dyDescent="0.25">
      <c r="A794" s="5" t="s">
        <v>72</v>
      </c>
      <c r="B794" s="16">
        <v>142</v>
      </c>
      <c r="C794" s="16" t="str">
        <v>Walker - 731</v>
      </c>
      <c r="D794" s="6" t="str">
        <f>_xlfn.XLOOKUP(C794,'2023'!C:C,'2023'!A:A,"")</f>
        <v/>
      </c>
      <c r="E794" s="6" t="str">
        <f>_xlfn.XLOOKUP(C794,'2023'!C:C,'2023'!B:B,"")</f>
        <v/>
      </c>
      <c r="F794" s="19" t="str">
        <f t="shared" si="51"/>
        <v/>
      </c>
      <c r="G794" s="6">
        <f>_xlfn.XLOOKUP(C794,'2024'!C:C,'2024'!A:A,"")</f>
        <v>45392.716666667002</v>
      </c>
      <c r="H794" s="6" t="str">
        <f>_xlfn.XLOOKUP(C795,'2024'!C:C,'2024'!B:B,"")</f>
        <v/>
      </c>
      <c r="I794" s="19">
        <f t="shared" si="48"/>
        <v>45392.716666667002</v>
      </c>
      <c r="J794" s="6" t="str">
        <f>_xlfn.XLOOKUP(C794,'2025'!C:C,'2025'!A:A,"")</f>
        <v/>
      </c>
      <c r="K794" s="6" t="str">
        <f>_xlfn.XLOOKUP(C794,'2025'!C:C,'2025'!B:B,"")</f>
        <v/>
      </c>
      <c r="L794" s="19" t="str">
        <f t="shared" si="49"/>
        <v/>
      </c>
      <c r="M794" s="16" cm="1">
        <f t="array" ref="M794">IFERROR(_xlfn.LET(
_xlpm.x,TRIM(C794),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4" s="16" t="b">
        <f t="shared" si="50"/>
        <v>0</v>
      </c>
    </row>
    <row r="795" spans="1:14" x14ac:dyDescent="0.25">
      <c r="A795" s="5" t="s">
        <v>545</v>
      </c>
      <c r="B795" s="16">
        <v>142</v>
      </c>
      <c r="C795" s="16" t="str">
        <v>Walker - 732</v>
      </c>
      <c r="D795" s="6" t="str">
        <f>_xlfn.XLOOKUP(C795,'2023'!C:C,'2023'!A:A,"")</f>
        <v/>
      </c>
      <c r="E795" s="6" t="str">
        <f>_xlfn.XLOOKUP(C795,'2023'!C:C,'2023'!B:B,"")</f>
        <v/>
      </c>
      <c r="F795" s="19" t="str">
        <f t="shared" si="51"/>
        <v/>
      </c>
      <c r="G795" s="6" t="str">
        <f>_xlfn.XLOOKUP(C795,'2024'!C:C,'2024'!A:A,"")</f>
        <v/>
      </c>
      <c r="H795" s="6" t="str">
        <f>_xlfn.XLOOKUP(C796,'2024'!C:C,'2024'!B:B,"")</f>
        <v/>
      </c>
      <c r="I795" s="19" t="str">
        <f t="shared" si="48"/>
        <v/>
      </c>
      <c r="J795" s="6">
        <f>_xlfn.XLOOKUP(C795,'2025'!C:C,'2025'!A:A,"")</f>
        <v>45756.731249999997</v>
      </c>
      <c r="K795" s="6" t="str">
        <f>_xlfn.XLOOKUP(C795,'2025'!C:C,'2025'!B:B,"")</f>
        <v>No Selection Time Issued</v>
      </c>
      <c r="L795" s="19">
        <f t="shared" si="49"/>
        <v>45756.731249999997</v>
      </c>
      <c r="M795" s="16" cm="1">
        <f t="array" ref="M795">IFERROR(_xlfn.LET(
_xlpm.x,TRIM(C795),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5" s="16" t="b">
        <f t="shared" si="50"/>
        <v>0</v>
      </c>
    </row>
    <row r="796" spans="1:14" x14ac:dyDescent="0.25">
      <c r="A796" s="5" t="s">
        <v>545</v>
      </c>
      <c r="B796" s="16">
        <v>153</v>
      </c>
      <c r="C796" s="16" t="str">
        <v>Walker - 733</v>
      </c>
      <c r="D796" s="6" t="str">
        <f>_xlfn.XLOOKUP(C796,'2023'!C:C,'2023'!A:A,"")</f>
        <v/>
      </c>
      <c r="E796" s="6" t="str">
        <f>_xlfn.XLOOKUP(C796,'2023'!C:C,'2023'!B:B,"")</f>
        <v/>
      </c>
      <c r="F796" s="19" t="str">
        <f t="shared" si="51"/>
        <v/>
      </c>
      <c r="G796" s="6" t="str">
        <f>_xlfn.XLOOKUP(C796,'2024'!C:C,'2024'!A:A,"")</f>
        <v/>
      </c>
      <c r="H796" s="6">
        <f>_xlfn.XLOOKUP(C797,'2024'!C:C,'2024'!B:B,"")</f>
        <v>45391.885416666999</v>
      </c>
      <c r="I796" s="19">
        <f t="shared" si="48"/>
        <v>45391.885416666999</v>
      </c>
      <c r="J796" s="6">
        <f>_xlfn.XLOOKUP(C796,'2025'!C:C,'2025'!A:A,"")</f>
        <v>45755.85</v>
      </c>
      <c r="K796" s="6" t="str">
        <f>_xlfn.XLOOKUP(C796,'2025'!C:C,'2025'!B:B,"")</f>
        <v>No Selection Time Issued</v>
      </c>
      <c r="L796" s="19">
        <f t="shared" si="49"/>
        <v>45755.85</v>
      </c>
      <c r="M796" s="16" cm="1">
        <f t="array" ref="M796">IFERROR(_xlfn.LET(
_xlpm.x,TRIM(C796),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6" s="16" t="b">
        <f t="shared" si="50"/>
        <v>0</v>
      </c>
    </row>
    <row r="797" spans="1:14" x14ac:dyDescent="0.25">
      <c r="A797" s="5" t="s">
        <v>545</v>
      </c>
      <c r="B797" s="16">
        <v>211</v>
      </c>
      <c r="C797" s="16" t="str">
        <v>Walker - FS WALK 601 602 - 601</v>
      </c>
      <c r="D797" s="6">
        <f>_xlfn.XLOOKUP(C797,'2023'!C:C,'2023'!A:A,"")</f>
        <v>45028.8125</v>
      </c>
      <c r="E797" s="6">
        <f>_xlfn.XLOOKUP(C797,'2023'!C:C,'2023'!B:B,"")</f>
        <v>45029.737500000003</v>
      </c>
      <c r="F797" s="19">
        <f t="shared" si="51"/>
        <v>45028.8125</v>
      </c>
      <c r="G797" s="6">
        <f>_xlfn.XLOOKUP(C797,'2024'!C:C,'2024'!A:A,"")</f>
        <v>45392.85</v>
      </c>
      <c r="H797" s="6">
        <f>_xlfn.XLOOKUP(C798,'2024'!C:C,'2024'!B:B,"")</f>
        <v>45391.733333333003</v>
      </c>
      <c r="I797" s="19">
        <f t="shared" si="48"/>
        <v>45391.733333333003</v>
      </c>
      <c r="J797" s="6">
        <f>_xlfn.XLOOKUP(C797,'2025'!C:C,'2025'!A:A,"")</f>
        <v>45756.777083333</v>
      </c>
      <c r="K797" s="6">
        <f>_xlfn.XLOOKUP(C797,'2025'!C:C,'2025'!B:B,"")</f>
        <v>45756.762499999997</v>
      </c>
      <c r="L797" s="19">
        <f t="shared" si="49"/>
        <v>45756.762499999997</v>
      </c>
      <c r="M797" s="16" cm="1">
        <f t="array" ref="M797">IFERROR(_xlfn.LET(
_xlpm.x,TRIM(C797),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797" s="16" t="b">
        <f t="shared" si="50"/>
        <v>0</v>
      </c>
    </row>
    <row r="798" spans="1:14" x14ac:dyDescent="0.25">
      <c r="A798" s="5" t="s">
        <v>353</v>
      </c>
      <c r="B798" s="16">
        <v>211</v>
      </c>
      <c r="C798" s="16" t="str">
        <v>Walker - FS WALK 601 602 - 602</v>
      </c>
      <c r="D798" s="6">
        <f>_xlfn.XLOOKUP(C798,'2023'!C:C,'2023'!A:A,"")</f>
        <v>45028.795833333003</v>
      </c>
      <c r="E798" s="6">
        <f>_xlfn.XLOOKUP(C798,'2023'!C:C,'2023'!B:B,"")</f>
        <v>45027.71875</v>
      </c>
      <c r="F798" s="19">
        <f t="shared" si="51"/>
        <v>45027.71875</v>
      </c>
      <c r="G798" s="6">
        <f>_xlfn.XLOOKUP(C798,'2024'!C:C,'2024'!A:A,"")</f>
        <v>45392.856249999997</v>
      </c>
      <c r="H798" s="6">
        <f>_xlfn.XLOOKUP(C799,'2024'!C:C,'2024'!B:B,"")</f>
        <v>45391.712500000001</v>
      </c>
      <c r="I798" s="19">
        <f t="shared" si="48"/>
        <v>45391.712500000001</v>
      </c>
      <c r="J798" s="6">
        <f>_xlfn.XLOOKUP(C798,'2025'!C:C,'2025'!A:A,"")</f>
        <v>45756.762499999997</v>
      </c>
      <c r="K798" s="6">
        <f>_xlfn.XLOOKUP(C798,'2025'!C:C,'2025'!B:B,"")</f>
        <v>45756.762499999997</v>
      </c>
      <c r="L798" s="19">
        <f t="shared" si="49"/>
        <v>45756.762499999997</v>
      </c>
      <c r="M798" s="16" cm="1">
        <f t="array" ref="M798">IFERROR(_xlfn.LET(
_xlpm.x,TRIM(C798),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2</v>
      </c>
      <c r="N798" s="16" t="b">
        <f t="shared" si="50"/>
        <v>0</v>
      </c>
    </row>
    <row r="799" spans="1:14" x14ac:dyDescent="0.25">
      <c r="A799" s="5" t="s">
        <v>353</v>
      </c>
      <c r="B799" s="16">
        <v>145</v>
      </c>
      <c r="C799" s="16" t="str">
        <v>Walker - WALK 603-604 - 603</v>
      </c>
      <c r="D799" s="6">
        <f>_xlfn.XLOOKUP(C799,'2023'!C:C,'2023'!A:A,"")</f>
        <v>45028.824999999997</v>
      </c>
      <c r="E799" s="6">
        <f>_xlfn.XLOOKUP(C799,'2023'!C:C,'2023'!B:B,"")</f>
        <v>45027.833333333001</v>
      </c>
      <c r="F799" s="19">
        <f t="shared" si="51"/>
        <v>45027.833333333001</v>
      </c>
      <c r="G799" s="6">
        <f>_xlfn.XLOOKUP(C799,'2024'!C:C,'2024'!A:A,"")</f>
        <v>45392.731249999997</v>
      </c>
      <c r="H799" s="6">
        <f>_xlfn.XLOOKUP(C800,'2024'!C:C,'2024'!B:B,"")</f>
        <v>45391.724999999999</v>
      </c>
      <c r="I799" s="19">
        <f t="shared" si="48"/>
        <v>45391.724999999999</v>
      </c>
      <c r="J799" s="6">
        <f>_xlfn.XLOOKUP(C799,'2025'!C:C,'2025'!A:A,"")</f>
        <v>45756.783333332998</v>
      </c>
      <c r="K799" s="6">
        <f>_xlfn.XLOOKUP(C799,'2025'!C:C,'2025'!B:B,"")</f>
        <v>45756.745833333</v>
      </c>
      <c r="L799" s="19">
        <f t="shared" si="49"/>
        <v>45756.745833333</v>
      </c>
      <c r="M799" s="16" cm="1">
        <f t="array" ref="M799">IFERROR(_xlfn.LET(
_xlpm.x,TRIM(C799),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799" s="16" t="b">
        <f t="shared" si="50"/>
        <v>0</v>
      </c>
    </row>
    <row r="800" spans="1:14" x14ac:dyDescent="0.25">
      <c r="A800" s="5" t="s">
        <v>353</v>
      </c>
      <c r="B800" s="16">
        <v>140</v>
      </c>
      <c r="C800" s="16" t="str">
        <v>Walker - WALK 603-604 - 604</v>
      </c>
      <c r="D800" s="6">
        <f>_xlfn.XLOOKUP(C800,'2023'!C:C,'2023'!A:A,"")</f>
        <v>45028.760416666999</v>
      </c>
      <c r="E800" s="6">
        <f>_xlfn.XLOOKUP(C800,'2023'!C:C,'2023'!B:B,"")</f>
        <v>45027.866666667003</v>
      </c>
      <c r="F800" s="19">
        <f t="shared" si="51"/>
        <v>45027.866666667003</v>
      </c>
      <c r="G800" s="6">
        <f>_xlfn.XLOOKUP(C800,'2024'!C:C,'2024'!A:A,"")</f>
        <v>45392.827083333003</v>
      </c>
      <c r="H800" s="6">
        <f>_xlfn.XLOOKUP(C801,'2024'!C:C,'2024'!B:B,"")</f>
        <v>45391.722916667</v>
      </c>
      <c r="I800" s="19">
        <f t="shared" si="48"/>
        <v>45391.722916667</v>
      </c>
      <c r="J800" s="6">
        <f>_xlfn.XLOOKUP(C800,'2025'!C:C,'2025'!A:A,"")</f>
        <v>45756.745833333</v>
      </c>
      <c r="K800" s="6">
        <f>_xlfn.XLOOKUP(C800,'2025'!C:C,'2025'!B:B,"")</f>
        <v>45756.745833333</v>
      </c>
      <c r="L800" s="19">
        <f t="shared" si="49"/>
        <v>45756.745833333</v>
      </c>
      <c r="M800" s="16" cm="1">
        <f t="array" ref="M800">IFERROR(_xlfn.LET(
_xlpm.x,TRIM(C800),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0" s="16" t="b">
        <f t="shared" si="50"/>
        <v>0</v>
      </c>
    </row>
    <row r="801" spans="1:14" x14ac:dyDescent="0.25">
      <c r="A801" s="5" t="s">
        <v>254</v>
      </c>
      <c r="B801" s="16">
        <v>143</v>
      </c>
      <c r="C801" s="16" t="str">
        <v>Walker - WALK 610-611 - 610</v>
      </c>
      <c r="D801" s="6">
        <f>_xlfn.XLOOKUP(C801,'2023'!C:C,'2023'!A:A,"")</f>
        <v>45028.724999999999</v>
      </c>
      <c r="E801" s="6">
        <f>_xlfn.XLOOKUP(C801,'2023'!C:C,'2023'!B:B,"")</f>
        <v>45029.722916667</v>
      </c>
      <c r="F801" s="19">
        <f t="shared" si="51"/>
        <v>45028.724999999999</v>
      </c>
      <c r="G801" s="6">
        <f>_xlfn.XLOOKUP(C801,'2024'!C:C,'2024'!A:A,"")</f>
        <v>45392.743750000001</v>
      </c>
      <c r="H801" s="6">
        <f>_xlfn.XLOOKUP(C802,'2024'!C:C,'2024'!B:B,"")</f>
        <v>45391.710416667003</v>
      </c>
      <c r="I801" s="19">
        <f t="shared" si="48"/>
        <v>45391.710416667003</v>
      </c>
      <c r="J801" s="6">
        <f>_xlfn.XLOOKUP(C801,'2025'!C:C,'2025'!A:A,"")</f>
        <v>45756.743750000001</v>
      </c>
      <c r="K801" s="6">
        <f>_xlfn.XLOOKUP(C801,'2025'!C:C,'2025'!B:B,"")</f>
        <v>45756.743750000001</v>
      </c>
      <c r="L801" s="19">
        <f t="shared" si="49"/>
        <v>45756.743750000001</v>
      </c>
      <c r="M801" s="16" cm="1">
        <f t="array" ref="M801">IFERROR(_xlfn.LET(
_xlpm.x,TRIM(C801),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1" s="16" t="b">
        <f t="shared" si="50"/>
        <v>0</v>
      </c>
    </row>
    <row r="802" spans="1:14" x14ac:dyDescent="0.25">
      <c r="A802" s="5" t="s">
        <v>254</v>
      </c>
      <c r="B802" s="16">
        <v>140</v>
      </c>
      <c r="C802" s="16" t="str">
        <v>Walker - WALK 610-611 - 611</v>
      </c>
      <c r="D802" s="6">
        <f>_xlfn.XLOOKUP(C802,'2023'!C:C,'2023'!A:A,"")</f>
        <v>45028.8125</v>
      </c>
      <c r="E802" s="6" t="str">
        <f>_xlfn.XLOOKUP(C802,'2023'!C:C,'2023'!B:B,"")</f>
        <v>No Selection Time Issued</v>
      </c>
      <c r="F802" s="19">
        <f t="shared" si="51"/>
        <v>45028.8125</v>
      </c>
      <c r="G802" s="6">
        <f>_xlfn.XLOOKUP(C802,'2024'!C:C,'2024'!A:A,"")</f>
        <v>45392.789583332997</v>
      </c>
      <c r="H802" s="6" t="str">
        <f>_xlfn.XLOOKUP(C803,'2024'!C:C,'2024'!B:B,"")</f>
        <v/>
      </c>
      <c r="I802" s="19">
        <f t="shared" si="48"/>
        <v>45392.789583332997</v>
      </c>
      <c r="J802" s="6">
        <f>_xlfn.XLOOKUP(C802,'2025'!C:C,'2025'!A:A,"")</f>
        <v>45756.78125</v>
      </c>
      <c r="K802" s="6">
        <f>_xlfn.XLOOKUP(C802,'2025'!C:C,'2025'!B:B,"")</f>
        <v>45756.743750000001</v>
      </c>
      <c r="L802" s="19">
        <f t="shared" si="49"/>
        <v>45756.743750000001</v>
      </c>
      <c r="M802" s="16" cm="1">
        <f t="array" ref="M802">IFERROR(_xlfn.LET(
_xlpm.x,TRIM(C802),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2" s="16" t="b">
        <f t="shared" si="50"/>
        <v>0</v>
      </c>
    </row>
    <row r="803" spans="1:14" x14ac:dyDescent="0.25">
      <c r="A803" s="5" t="s">
        <v>46</v>
      </c>
      <c r="B803" s="16">
        <v>143</v>
      </c>
      <c r="C803" s="16" t="str">
        <v>Walker - WALK 617-618 - 617</v>
      </c>
      <c r="D803" s="6">
        <f>_xlfn.XLOOKUP(C803,'2023'!C:C,'2023'!A:A,"")</f>
        <v>45028.816666667</v>
      </c>
      <c r="E803" s="6">
        <f>_xlfn.XLOOKUP(C803,'2023'!C:C,'2023'!B:B,"")</f>
        <v>45029.708333333001</v>
      </c>
      <c r="F803" s="19">
        <f t="shared" si="51"/>
        <v>45028.816666667</v>
      </c>
      <c r="G803" s="6" t="str">
        <f>_xlfn.XLOOKUP(C803,'2024'!C:C,'2024'!A:A,"")</f>
        <v/>
      </c>
      <c r="H803" s="6" t="str">
        <f>_xlfn.XLOOKUP(C804,'2024'!C:C,'2024'!B:B,"")</f>
        <v/>
      </c>
      <c r="I803" s="19" t="str">
        <f t="shared" si="48"/>
        <v/>
      </c>
      <c r="J803" s="6">
        <f>_xlfn.XLOOKUP(C803,'2025'!C:C,'2025'!A:A,"")</f>
        <v>45756.797916666997</v>
      </c>
      <c r="K803" s="6">
        <f>_xlfn.XLOOKUP(C803,'2025'!C:C,'2025'!B:B,"")</f>
        <v>45756.741666667003</v>
      </c>
      <c r="L803" s="19">
        <f t="shared" si="49"/>
        <v>45756.741666667003</v>
      </c>
      <c r="M803" s="16" cm="1">
        <f t="array" ref="M803">IFERROR(_xlfn.LET(
_xlpm.x,TRIM(C803),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3" s="16" t="b">
        <f t="shared" si="50"/>
        <v>0</v>
      </c>
    </row>
    <row r="804" spans="1:14" x14ac:dyDescent="0.25">
      <c r="A804" s="5" t="s">
        <v>46</v>
      </c>
      <c r="B804" s="16">
        <v>140</v>
      </c>
      <c r="C804" s="16" t="str">
        <v>Walker - WALK 617-618 - 618</v>
      </c>
      <c r="D804" s="6">
        <f>_xlfn.XLOOKUP(C804,'2023'!C:C,'2023'!A:A,"")</f>
        <v>45028.724999999999</v>
      </c>
      <c r="E804" s="6">
        <f>_xlfn.XLOOKUP(C804,'2023'!C:C,'2023'!B:B,"")</f>
        <v>45029.712500000001</v>
      </c>
      <c r="F804" s="19">
        <f t="shared" si="51"/>
        <v>45028.724999999999</v>
      </c>
      <c r="G804" s="6" t="str">
        <f>_xlfn.XLOOKUP(C804,'2024'!C:C,'2024'!A:A,"")</f>
        <v/>
      </c>
      <c r="H804" s="6">
        <f>_xlfn.XLOOKUP(C805,'2024'!C:C,'2024'!B:B,"")</f>
        <v>45393.720833332998</v>
      </c>
      <c r="I804" s="19">
        <f t="shared" si="48"/>
        <v>45393.720833332998</v>
      </c>
      <c r="J804" s="6">
        <f>_xlfn.XLOOKUP(C804,'2025'!C:C,'2025'!A:A,"")</f>
        <v>45756.741666667003</v>
      </c>
      <c r="K804" s="6">
        <f>_xlfn.XLOOKUP(C804,'2025'!C:C,'2025'!B:B,"")</f>
        <v>45756.741666667003</v>
      </c>
      <c r="L804" s="19">
        <f t="shared" si="49"/>
        <v>45756.741666667003</v>
      </c>
      <c r="M804" s="16" cm="1">
        <f t="array" ref="M804">IFERROR(_xlfn.LET(
_xlpm.x,TRIM(C804),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4" s="16" t="b">
        <f t="shared" si="50"/>
        <v>0</v>
      </c>
    </row>
    <row r="805" spans="1:14" x14ac:dyDescent="0.25">
      <c r="A805" s="5" t="s">
        <v>256</v>
      </c>
      <c r="B805" s="16">
        <v>154</v>
      </c>
      <c r="C805" s="16" t="str">
        <v>Walker - WALK 624-625 - 624</v>
      </c>
      <c r="D805" s="6">
        <f>_xlfn.XLOOKUP(C805,'2023'!C:C,'2023'!A:A,"")</f>
        <v>45028.837500000001</v>
      </c>
      <c r="E805" s="6">
        <f>_xlfn.XLOOKUP(C805,'2023'!C:C,'2023'!B:B,"")</f>
        <v>45027.737500000003</v>
      </c>
      <c r="F805" s="19">
        <f t="shared" si="51"/>
        <v>45027.737500000003</v>
      </c>
      <c r="G805" s="6">
        <f>_xlfn.XLOOKUP(C805,'2024'!C:C,'2024'!A:A,"")</f>
        <v>45392.797916666997</v>
      </c>
      <c r="H805" s="6">
        <f>_xlfn.XLOOKUP(C806,'2024'!C:C,'2024'!B:B,"")</f>
        <v>45392.71875</v>
      </c>
      <c r="I805" s="19">
        <f t="shared" si="48"/>
        <v>45392.71875</v>
      </c>
      <c r="J805" s="6">
        <f>_xlfn.XLOOKUP(C805,'2025'!C:C,'2025'!A:A,"")</f>
        <v>45756.733333333003</v>
      </c>
      <c r="K805" s="6">
        <f>_xlfn.XLOOKUP(C805,'2025'!C:C,'2025'!B:B,"")</f>
        <v>45756.733333333003</v>
      </c>
      <c r="L805" s="19">
        <f t="shared" si="49"/>
        <v>45756.733333333003</v>
      </c>
      <c r="M805" s="16" cm="1">
        <f t="array" ref="M805">IFERROR(_xlfn.LET(
_xlpm.x,TRIM(C805),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5" s="16" t="b">
        <f t="shared" si="50"/>
        <v>0</v>
      </c>
    </row>
    <row r="806" spans="1:14" x14ac:dyDescent="0.25">
      <c r="A806" s="5" t="s">
        <v>256</v>
      </c>
      <c r="B806" s="16">
        <v>154</v>
      </c>
      <c r="C806" s="16" t="str">
        <v>Walker - WALK 624-625 - 625</v>
      </c>
      <c r="D806" s="6">
        <f>_xlfn.XLOOKUP(C806,'2023'!C:C,'2023'!A:A,"")</f>
        <v>45028.712500000001</v>
      </c>
      <c r="E806" s="6">
        <f>_xlfn.XLOOKUP(C806,'2023'!C:C,'2023'!B:B,"")</f>
        <v>45029.804166667003</v>
      </c>
      <c r="F806" s="19">
        <f t="shared" si="51"/>
        <v>45028.712500000001</v>
      </c>
      <c r="G806" s="6">
        <f>_xlfn.XLOOKUP(C806,'2024'!C:C,'2024'!A:A,"")</f>
        <v>45392.760416666999</v>
      </c>
      <c r="H806" s="6">
        <f>_xlfn.XLOOKUP(C807,'2024'!C:C,'2024'!B:B,"")</f>
        <v>45392.75</v>
      </c>
      <c r="I806" s="19">
        <f t="shared" si="48"/>
        <v>45392.75</v>
      </c>
      <c r="J806" s="6">
        <f>_xlfn.XLOOKUP(C806,'2025'!C:C,'2025'!A:A,"")</f>
        <v>45756.768750000003</v>
      </c>
      <c r="K806" s="6">
        <f>_xlfn.XLOOKUP(C806,'2025'!C:C,'2025'!B:B,"")</f>
        <v>45756.733333333003</v>
      </c>
      <c r="L806" s="19">
        <f t="shared" si="49"/>
        <v>45756.733333333003</v>
      </c>
      <c r="M806" s="16" cm="1">
        <f t="array" ref="M806">IFERROR(_xlfn.LET(
_xlpm.x,TRIM(C806),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6" s="16" t="b">
        <f t="shared" si="50"/>
        <v>0</v>
      </c>
    </row>
    <row r="807" spans="1:14" x14ac:dyDescent="0.25">
      <c r="A807" s="5" t="s">
        <v>256</v>
      </c>
      <c r="B807" s="16">
        <v>154</v>
      </c>
      <c r="C807" s="16" t="str">
        <v>Walker - WALK 626-627 - 626</v>
      </c>
      <c r="D807" s="6">
        <f>_xlfn.XLOOKUP(C807,'2023'!C:C,'2023'!A:A,"")</f>
        <v>45028.818749999999</v>
      </c>
      <c r="E807" s="6">
        <f>_xlfn.XLOOKUP(C807,'2023'!C:C,'2023'!B:B,"")</f>
        <v>45029.779166667002</v>
      </c>
      <c r="F807" s="19">
        <f t="shared" si="51"/>
        <v>45028.818749999999</v>
      </c>
      <c r="G807" s="6">
        <f>_xlfn.XLOOKUP(C807,'2024'!C:C,'2024'!A:A,"")</f>
        <v>45392.760416666999</v>
      </c>
      <c r="H807" s="6">
        <f>_xlfn.XLOOKUP(C808,'2024'!C:C,'2024'!B:B,"")</f>
        <v>45391.745833333</v>
      </c>
      <c r="I807" s="19">
        <f t="shared" si="48"/>
        <v>45391.745833333</v>
      </c>
      <c r="J807" s="6">
        <f>_xlfn.XLOOKUP(C807,'2025'!C:C,'2025'!A:A,"")</f>
        <v>45756.816666667</v>
      </c>
      <c r="K807" s="6">
        <f>_xlfn.XLOOKUP(C807,'2025'!C:C,'2025'!B:B,"")</f>
        <v>45756.733333333003</v>
      </c>
      <c r="L807" s="19">
        <f t="shared" si="49"/>
        <v>45756.733333333003</v>
      </c>
      <c r="M807" s="16" cm="1">
        <f t="array" ref="M807">IFERROR(_xlfn.LET(
_xlpm.x,TRIM(C807),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7" s="16" t="b">
        <f t="shared" si="50"/>
        <v>0</v>
      </c>
    </row>
    <row r="808" spans="1:14" x14ac:dyDescent="0.25">
      <c r="A808" s="5" t="s">
        <v>325</v>
      </c>
      <c r="B808" s="16">
        <v>154</v>
      </c>
      <c r="C808" s="16" t="str">
        <v>Walker - WALK 626-627 - 627</v>
      </c>
      <c r="D808" s="6">
        <f>_xlfn.XLOOKUP(C808,'2023'!C:C,'2023'!A:A,"")</f>
        <v>45028.735416666997</v>
      </c>
      <c r="E808" s="6" t="str">
        <f>_xlfn.XLOOKUP(C808,'2023'!C:C,'2023'!B:B,"")</f>
        <v>No Selection Time Issued</v>
      </c>
      <c r="F808" s="19">
        <f t="shared" si="51"/>
        <v>45028.735416666997</v>
      </c>
      <c r="G808" s="6">
        <f>_xlfn.XLOOKUP(C808,'2024'!C:C,'2024'!A:A,"")</f>
        <v>45392.797916666997</v>
      </c>
      <c r="H808" s="6">
        <f>_xlfn.XLOOKUP(C809,'2024'!C:C,'2024'!B:B,"")</f>
        <v>45391.714583333</v>
      </c>
      <c r="I808" s="19">
        <f t="shared" si="48"/>
        <v>45391.714583333</v>
      </c>
      <c r="J808" s="6">
        <f>_xlfn.XLOOKUP(C808,'2025'!C:C,'2025'!A:A,"")</f>
        <v>45756.733333333003</v>
      </c>
      <c r="K808" s="6">
        <f>_xlfn.XLOOKUP(C808,'2025'!C:C,'2025'!B:B,"")</f>
        <v>45756.733333333003</v>
      </c>
      <c r="L808" s="19">
        <f t="shared" si="49"/>
        <v>45756.733333333003</v>
      </c>
      <c r="M808" s="16" cm="1">
        <f t="array" ref="M808">IFERROR(_xlfn.LET(
_xlpm.x,TRIM(C808),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8" s="16" t="b">
        <f t="shared" si="50"/>
        <v>0</v>
      </c>
    </row>
    <row r="809" spans="1:14" x14ac:dyDescent="0.25">
      <c r="A809" s="5" t="s">
        <v>325</v>
      </c>
      <c r="B809" s="16">
        <v>145</v>
      </c>
      <c r="C809" s="16" t="str">
        <v>Walker - WALK 628-629 - 628</v>
      </c>
      <c r="D809" s="6">
        <f>_xlfn.XLOOKUP(C809,'2023'!C:C,'2023'!A:A,"")</f>
        <v>45028.779166667002</v>
      </c>
      <c r="E809" s="6">
        <f>_xlfn.XLOOKUP(C809,'2023'!C:C,'2023'!B:B,"")</f>
        <v>45027.731249999997</v>
      </c>
      <c r="F809" s="19">
        <f t="shared" si="51"/>
        <v>45027.731249999997</v>
      </c>
      <c r="G809" s="6">
        <f>_xlfn.XLOOKUP(C809,'2024'!C:C,'2024'!A:A,"")</f>
        <v>45392.779166667002</v>
      </c>
      <c r="H809" s="6">
        <f>_xlfn.XLOOKUP(C810,'2024'!C:C,'2024'!B:B,"")</f>
        <v>45391.733333333003</v>
      </c>
      <c r="I809" s="19">
        <f t="shared" si="48"/>
        <v>45391.733333333003</v>
      </c>
      <c r="J809" s="6">
        <f>_xlfn.XLOOKUP(C809,'2025'!C:C,'2025'!A:A,"")</f>
        <v>45756.800000000003</v>
      </c>
      <c r="K809" s="6">
        <f>_xlfn.XLOOKUP(C809,'2025'!C:C,'2025'!B:B,"")</f>
        <v>45756.720833332998</v>
      </c>
      <c r="L809" s="19">
        <f t="shared" si="49"/>
        <v>45756.720833332998</v>
      </c>
      <c r="M809" s="16" cm="1">
        <f t="array" ref="M809">IFERROR(_xlfn.LET(
_xlpm.x,TRIM(C809),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09" s="16" t="b">
        <f t="shared" si="50"/>
        <v>0</v>
      </c>
    </row>
    <row r="810" spans="1:14" x14ac:dyDescent="0.25">
      <c r="A810" s="5" t="s">
        <v>325</v>
      </c>
      <c r="B810" s="16">
        <v>146</v>
      </c>
      <c r="C810" s="16" t="str">
        <v>Walker - WALK 628-629 - 629</v>
      </c>
      <c r="D810" s="6">
        <f>_xlfn.XLOOKUP(C810,'2023'!C:C,'2023'!A:A,"")</f>
        <v>45028.737500000003</v>
      </c>
      <c r="E810" s="6" t="str">
        <f>_xlfn.XLOOKUP(C810,'2023'!C:C,'2023'!B:B,"")</f>
        <v>No Selection Time Issued</v>
      </c>
      <c r="F810" s="19">
        <f t="shared" si="51"/>
        <v>45028.737500000003</v>
      </c>
      <c r="G810" s="6">
        <f>_xlfn.XLOOKUP(C810,'2024'!C:C,'2024'!A:A,"")</f>
        <v>45392.739583333001</v>
      </c>
      <c r="H810" s="6">
        <f>_xlfn.XLOOKUP(C811,'2024'!C:C,'2024'!B:B,"")</f>
        <v>45391.85</v>
      </c>
      <c r="I810" s="19">
        <f t="shared" si="48"/>
        <v>45391.85</v>
      </c>
      <c r="J810" s="6">
        <f>_xlfn.XLOOKUP(C810,'2025'!C:C,'2025'!A:A,"")</f>
        <v>45756.720833332998</v>
      </c>
      <c r="K810" s="6">
        <f>_xlfn.XLOOKUP(C810,'2025'!C:C,'2025'!B:B,"")</f>
        <v>45756.720833332998</v>
      </c>
      <c r="L810" s="19">
        <f t="shared" si="49"/>
        <v>45756.720833332998</v>
      </c>
      <c r="M810" s="16" cm="1">
        <f t="array" ref="M810">IFERROR(_xlfn.LET(
_xlpm.x,TRIM(C810),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0" s="16" t="b">
        <f t="shared" si="50"/>
        <v>0</v>
      </c>
    </row>
    <row r="811" spans="1:14" x14ac:dyDescent="0.25">
      <c r="A811" s="5" t="s">
        <v>531</v>
      </c>
      <c r="B811" s="16">
        <v>146</v>
      </c>
      <c r="C811" s="16" t="str">
        <v>Walker - WALK 630 631 657 - 630</v>
      </c>
      <c r="D811" s="6">
        <f>_xlfn.XLOOKUP(C811,'2023'!C:C,'2023'!A:A,"")</f>
        <v>45029.847916667</v>
      </c>
      <c r="E811" s="6">
        <f>_xlfn.XLOOKUP(C811,'2023'!C:C,'2023'!B:B,"")</f>
        <v>45027.885416666999</v>
      </c>
      <c r="F811" s="19">
        <f t="shared" si="51"/>
        <v>45027.885416666999</v>
      </c>
      <c r="G811" s="6">
        <f>_xlfn.XLOOKUP(C811,'2024'!C:C,'2024'!A:A,"")</f>
        <v>45392.789583332997</v>
      </c>
      <c r="H811" s="6">
        <f>_xlfn.XLOOKUP(C812,'2024'!C:C,'2024'!B:B,"")</f>
        <v>45391.712500000001</v>
      </c>
      <c r="I811" s="19">
        <f t="shared" si="48"/>
        <v>45391.712500000001</v>
      </c>
      <c r="J811" s="6">
        <f>_xlfn.XLOOKUP(C811,'2025'!C:C,'2025'!A:A,"")</f>
        <v>45756.793749999997</v>
      </c>
      <c r="K811" s="6">
        <f>_xlfn.XLOOKUP(C811,'2025'!C:C,'2025'!B:B,"")</f>
        <v>45756.708333333001</v>
      </c>
      <c r="L811" s="19">
        <f t="shared" si="49"/>
        <v>45756.708333333001</v>
      </c>
      <c r="M811" s="16" cm="1">
        <f t="array" ref="M811">IFERROR(_xlfn.LET(
_xlpm.x,TRIM(C811),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1" s="16" t="b">
        <f t="shared" si="50"/>
        <v>0</v>
      </c>
    </row>
    <row r="812" spans="1:14" x14ac:dyDescent="0.25">
      <c r="A812" s="5" t="s">
        <v>313</v>
      </c>
      <c r="B812" s="16">
        <v>146</v>
      </c>
      <c r="C812" s="16" t="str">
        <v>Walker - WALK 630 631 657 - 631</v>
      </c>
      <c r="D812" s="6">
        <f>_xlfn.XLOOKUP(C812,'2023'!C:C,'2023'!A:A,"")</f>
        <v>45028.860416666997</v>
      </c>
      <c r="E812" s="6">
        <f>_xlfn.XLOOKUP(C812,'2023'!C:C,'2023'!B:B,"")</f>
        <v>45027.779166667002</v>
      </c>
      <c r="F812" s="19">
        <f t="shared" si="51"/>
        <v>45027.779166667002</v>
      </c>
      <c r="G812" s="6">
        <f>_xlfn.XLOOKUP(C812,'2024'!C:C,'2024'!A:A,"")</f>
        <v>45392.727083332997</v>
      </c>
      <c r="H812" s="6">
        <f>_xlfn.XLOOKUP(C813,'2024'!C:C,'2024'!B:B,"")</f>
        <v>45392.720833332998</v>
      </c>
      <c r="I812" s="19">
        <f t="shared" si="48"/>
        <v>45392.720833332998</v>
      </c>
      <c r="J812" s="6">
        <f>_xlfn.XLOOKUP(C812,'2025'!C:C,'2025'!A:A,"")</f>
        <v>45756.708333333001</v>
      </c>
      <c r="K812" s="6">
        <f>_xlfn.XLOOKUP(C812,'2025'!C:C,'2025'!B:B,"")</f>
        <v>45756.708333333001</v>
      </c>
      <c r="L812" s="19">
        <f t="shared" si="49"/>
        <v>45756.708333333001</v>
      </c>
      <c r="M812" s="16" cm="1">
        <f t="array" ref="M812">IFERROR(_xlfn.LET(
_xlpm.x,TRIM(C812),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2" s="16" t="b">
        <f t="shared" si="50"/>
        <v>0</v>
      </c>
    </row>
    <row r="813" spans="1:14" x14ac:dyDescent="0.25">
      <c r="A813" s="5" t="s">
        <v>313</v>
      </c>
      <c r="B813" s="16">
        <v>146</v>
      </c>
      <c r="C813" s="16" t="str">
        <v>Walker - WALK 630 631 657 - 657</v>
      </c>
      <c r="D813" s="6">
        <f>_xlfn.XLOOKUP(C813,'2023'!C:C,'2023'!A:A,"")</f>
        <v>45027.889583333003</v>
      </c>
      <c r="E813" s="6" t="str">
        <f>_xlfn.XLOOKUP(C813,'2023'!C:C,'2023'!B:B,"")</f>
        <v>No Selection Time Issued</v>
      </c>
      <c r="F813" s="19">
        <f t="shared" si="51"/>
        <v>45027.889583333003</v>
      </c>
      <c r="G813" s="6">
        <f>_xlfn.XLOOKUP(C813,'2024'!C:C,'2024'!A:A,"")</f>
        <v>45391.775000000001</v>
      </c>
      <c r="H813" s="6">
        <f>_xlfn.XLOOKUP(C814,'2024'!C:C,'2024'!B:B,"")</f>
        <v>45391.833333333001</v>
      </c>
      <c r="I813" s="19">
        <f t="shared" si="48"/>
        <v>45391.775000000001</v>
      </c>
      <c r="J813" s="6">
        <f>_xlfn.XLOOKUP(C813,'2025'!C:C,'2025'!A:A,"")</f>
        <v>45756.824999999997</v>
      </c>
      <c r="K813" s="6">
        <f>_xlfn.XLOOKUP(C813,'2025'!C:C,'2025'!B:B,"")</f>
        <v>45756.708333333001</v>
      </c>
      <c r="L813" s="19">
        <f t="shared" si="49"/>
        <v>45756.708333333001</v>
      </c>
      <c r="M813" s="16" cm="1">
        <f t="array" ref="M813">IFERROR(_xlfn.LET(
_xlpm.x,TRIM(C813),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3" s="16" t="b">
        <f t="shared" si="50"/>
        <v>0</v>
      </c>
    </row>
    <row r="814" spans="1:14" x14ac:dyDescent="0.25">
      <c r="A814" s="5" t="s">
        <v>198</v>
      </c>
      <c r="B814" s="16">
        <v>145</v>
      </c>
      <c r="C814" s="16" t="str">
        <v>Walker - WALK 632-633 - 632</v>
      </c>
      <c r="D814" s="6">
        <f>_xlfn.XLOOKUP(C814,'2023'!C:C,'2023'!A:A,"")</f>
        <v>45028.720833332998</v>
      </c>
      <c r="E814" s="6">
        <f>_xlfn.XLOOKUP(C814,'2023'!C:C,'2023'!B:B,"")</f>
        <v>45027.739583333001</v>
      </c>
      <c r="F814" s="19">
        <f t="shared" si="51"/>
        <v>45027.739583333001</v>
      </c>
      <c r="G814" s="6">
        <f>_xlfn.XLOOKUP(C814,'2024'!C:C,'2024'!A:A,"")</f>
        <v>45392.743750000001</v>
      </c>
      <c r="H814" s="6">
        <f>_xlfn.XLOOKUP(C815,'2024'!C:C,'2024'!B:B,"")</f>
        <v>45391.710416667003</v>
      </c>
      <c r="I814" s="19">
        <f t="shared" si="48"/>
        <v>45391.710416667003</v>
      </c>
      <c r="J814" s="6">
        <f>_xlfn.XLOOKUP(C814,'2025'!C:C,'2025'!A:A,"")</f>
        <v>45756.729166666999</v>
      </c>
      <c r="K814" s="6">
        <f>_xlfn.XLOOKUP(C814,'2025'!C:C,'2025'!B:B,"")</f>
        <v>45756.729166666999</v>
      </c>
      <c r="L814" s="19">
        <f t="shared" si="49"/>
        <v>45756.729166666999</v>
      </c>
      <c r="M814" s="16" cm="1">
        <f t="array" ref="M814">IFERROR(_xlfn.LET(
_xlpm.x,TRIM(C814),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4" s="16" t="b">
        <f t="shared" si="50"/>
        <v>0</v>
      </c>
    </row>
    <row r="815" spans="1:14" x14ac:dyDescent="0.25">
      <c r="A815" s="5" t="s">
        <v>198</v>
      </c>
      <c r="B815" s="16">
        <v>146</v>
      </c>
      <c r="C815" s="16" t="str">
        <v>Walker - WALK 632-633 - 633</v>
      </c>
      <c r="D815" s="6">
        <f>_xlfn.XLOOKUP(C815,'2023'!C:C,'2023'!A:A,"")</f>
        <v>45028.770833333001</v>
      </c>
      <c r="E815" s="6">
        <f>_xlfn.XLOOKUP(C815,'2023'!C:C,'2023'!B:B,"")</f>
        <v>45028.722916667</v>
      </c>
      <c r="F815" s="19">
        <f t="shared" si="51"/>
        <v>45028.722916667</v>
      </c>
      <c r="G815" s="6">
        <f>_xlfn.XLOOKUP(C815,'2024'!C:C,'2024'!A:A,"")</f>
        <v>45392.802083333001</v>
      </c>
      <c r="H815" s="6">
        <f>_xlfn.XLOOKUP(C816,'2024'!C:C,'2024'!B:B,"")</f>
        <v>45393.75</v>
      </c>
      <c r="I815" s="19">
        <f t="shared" si="48"/>
        <v>45392.802083333001</v>
      </c>
      <c r="J815" s="6">
        <f>_xlfn.XLOOKUP(C815,'2025'!C:C,'2025'!A:A,"")</f>
        <v>45756.8125</v>
      </c>
      <c r="K815" s="6">
        <f>_xlfn.XLOOKUP(C815,'2025'!C:C,'2025'!B:B,"")</f>
        <v>45756.729166666999</v>
      </c>
      <c r="L815" s="19">
        <f t="shared" si="49"/>
        <v>45756.729166666999</v>
      </c>
      <c r="M815" s="16" cm="1">
        <f t="array" ref="M815">IFERROR(_xlfn.LET(
_xlpm.x,TRIM(C815),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5" s="16" t="b">
        <f t="shared" si="50"/>
        <v>0</v>
      </c>
    </row>
    <row r="816" spans="1:14" x14ac:dyDescent="0.25">
      <c r="A816" s="5" t="s">
        <v>198</v>
      </c>
      <c r="B816" s="16">
        <v>146</v>
      </c>
      <c r="C816" s="16" t="str">
        <v>Walker - WALK 634 635 656 - 634</v>
      </c>
      <c r="D816" s="6">
        <f>_xlfn.XLOOKUP(C816,'2023'!C:C,'2023'!A:A,"")</f>
        <v>45028.787499999999</v>
      </c>
      <c r="E816" s="6">
        <f>_xlfn.XLOOKUP(C816,'2023'!C:C,'2023'!B:B,"")</f>
        <v>45029.724999999999</v>
      </c>
      <c r="F816" s="19">
        <f t="shared" si="51"/>
        <v>45028.787499999999</v>
      </c>
      <c r="G816" s="6">
        <f>_xlfn.XLOOKUP(C816,'2024'!C:C,'2024'!A:A,"")</f>
        <v>45392.768750000003</v>
      </c>
      <c r="H816" s="6">
        <f>_xlfn.XLOOKUP(C817,'2024'!C:C,'2024'!B:B,"")</f>
        <v>45391.775000000001</v>
      </c>
      <c r="I816" s="19">
        <f t="shared" si="48"/>
        <v>45391.775000000001</v>
      </c>
      <c r="J816" s="6">
        <f>_xlfn.XLOOKUP(C816,'2025'!C:C,'2025'!A:A,"")</f>
        <v>45755.875</v>
      </c>
      <c r="K816" s="6">
        <f>_xlfn.XLOOKUP(C816,'2025'!C:C,'2025'!B:B,"")</f>
        <v>45755.768750000003</v>
      </c>
      <c r="L816" s="19">
        <f t="shared" si="49"/>
        <v>45755.768750000003</v>
      </c>
      <c r="M816" s="16" cm="1">
        <f t="array" ref="M816">IFERROR(_xlfn.LET(
_xlpm.x,TRIM(C816),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6" s="16" t="b">
        <f t="shared" si="50"/>
        <v>0</v>
      </c>
    </row>
    <row r="817" spans="1:14" x14ac:dyDescent="0.25">
      <c r="A817" s="5" t="s">
        <v>379</v>
      </c>
      <c r="B817" s="16">
        <v>146</v>
      </c>
      <c r="C817" s="16" t="str">
        <v>Walker - WALK 634 635 656 - 635</v>
      </c>
      <c r="D817" s="6">
        <f>_xlfn.XLOOKUP(C817,'2023'!C:C,'2023'!A:A,"")</f>
        <v>45028.858333333003</v>
      </c>
      <c r="E817" s="6" t="str">
        <f>_xlfn.XLOOKUP(C817,'2023'!C:C,'2023'!B:B,"")</f>
        <v>No Selection Time Issued</v>
      </c>
      <c r="F817" s="19">
        <f t="shared" si="51"/>
        <v>45028.858333333003</v>
      </c>
      <c r="G817" s="6">
        <f>_xlfn.XLOOKUP(C817,'2024'!C:C,'2024'!A:A,"")</f>
        <v>45392.787499999999</v>
      </c>
      <c r="H817" s="6">
        <f>_xlfn.XLOOKUP(C818,'2024'!C:C,'2024'!B:B,"")</f>
        <v>45393.791666666999</v>
      </c>
      <c r="I817" s="19">
        <f t="shared" si="48"/>
        <v>45392.787499999999</v>
      </c>
      <c r="J817" s="6">
        <f>_xlfn.XLOOKUP(C817,'2025'!C:C,'2025'!A:A,"")</f>
        <v>45755.768750000003</v>
      </c>
      <c r="K817" s="6">
        <f>_xlfn.XLOOKUP(C817,'2025'!C:C,'2025'!B:B,"")</f>
        <v>45755.768750000003</v>
      </c>
      <c r="L817" s="19">
        <f t="shared" si="49"/>
        <v>45755.768750000003</v>
      </c>
      <c r="M817" s="16" cm="1">
        <f t="array" ref="M817">IFERROR(_xlfn.LET(
_xlpm.x,TRIM(C817),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7" s="16" t="b">
        <f t="shared" si="50"/>
        <v>0</v>
      </c>
    </row>
    <row r="818" spans="1:14" x14ac:dyDescent="0.25">
      <c r="A818" s="5" t="s">
        <v>379</v>
      </c>
      <c r="B818" s="16">
        <v>146</v>
      </c>
      <c r="C818" s="16" t="str">
        <v>Walker - WALK 634 635 656 - 656</v>
      </c>
      <c r="D818" s="6">
        <f>_xlfn.XLOOKUP(C818,'2023'!C:C,'2023'!A:A,"")</f>
        <v>45028.712500000001</v>
      </c>
      <c r="E818" s="6">
        <f>_xlfn.XLOOKUP(C818,'2023'!C:C,'2023'!B:B,"")</f>
        <v>45027.714583333</v>
      </c>
      <c r="F818" s="19">
        <f t="shared" si="51"/>
        <v>45027.714583333</v>
      </c>
      <c r="G818" s="6">
        <f>_xlfn.XLOOKUP(C818,'2024'!C:C,'2024'!A:A,"")</f>
        <v>45391.833333333001</v>
      </c>
      <c r="H818" s="6">
        <f>_xlfn.XLOOKUP(C819,'2024'!C:C,'2024'!B:B,"")</f>
        <v>45393.708333333001</v>
      </c>
      <c r="I818" s="19">
        <f t="shared" si="48"/>
        <v>45391.833333333001</v>
      </c>
      <c r="J818" s="6">
        <f>_xlfn.XLOOKUP(C818,'2025'!C:C,'2025'!A:A,"")</f>
        <v>45755.8125</v>
      </c>
      <c r="K818" s="6">
        <f>_xlfn.XLOOKUP(C818,'2025'!C:C,'2025'!B:B,"")</f>
        <v>45755.768750000003</v>
      </c>
      <c r="L818" s="19">
        <f t="shared" si="49"/>
        <v>45755.768750000003</v>
      </c>
      <c r="M818" s="16" cm="1">
        <f t="array" ref="M818">IFERROR(_xlfn.LET(
_xlpm.x,TRIM(C818),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8" s="16" t="b">
        <f t="shared" si="50"/>
        <v>0</v>
      </c>
    </row>
    <row r="819" spans="1:14" x14ac:dyDescent="0.25">
      <c r="A819" s="5" t="s">
        <v>379</v>
      </c>
      <c r="B819" s="16">
        <v>145</v>
      </c>
      <c r="C819" s="16" t="str">
        <v>Walker - WALK 636-637 - 636</v>
      </c>
      <c r="D819" s="6">
        <f>_xlfn.XLOOKUP(C819,'2023'!C:C,'2023'!A:A,"")</f>
        <v>45028.729166666999</v>
      </c>
      <c r="E819" s="6">
        <f>_xlfn.XLOOKUP(C819,'2023'!C:C,'2023'!B:B,"")</f>
        <v>45029.724999999999</v>
      </c>
      <c r="F819" s="19">
        <f t="shared" si="51"/>
        <v>45028.729166666999</v>
      </c>
      <c r="G819" s="6">
        <f>_xlfn.XLOOKUP(C819,'2024'!C:C,'2024'!A:A,"")</f>
        <v>45391.845833332998</v>
      </c>
      <c r="H819" s="6">
        <f>_xlfn.XLOOKUP(C820,'2024'!C:C,'2024'!B:B,"")</f>
        <v>45391.708333333001</v>
      </c>
      <c r="I819" s="19">
        <f t="shared" si="48"/>
        <v>45391.708333333001</v>
      </c>
      <c r="J819" s="6">
        <f>_xlfn.XLOOKUP(C819,'2025'!C:C,'2025'!A:A,"")</f>
        <v>45756.710416667003</v>
      </c>
      <c r="K819" s="6">
        <f>_xlfn.XLOOKUP(C819,'2025'!C:C,'2025'!B:B,"")</f>
        <v>45756.710416667003</v>
      </c>
      <c r="L819" s="19">
        <f t="shared" si="49"/>
        <v>45756.710416667003</v>
      </c>
      <c r="M819" s="16" cm="1">
        <f t="array" ref="M819">IFERROR(_xlfn.LET(
_xlpm.x,TRIM(C819),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19" s="16" t="b">
        <f t="shared" si="50"/>
        <v>0</v>
      </c>
    </row>
    <row r="820" spans="1:14" x14ac:dyDescent="0.25">
      <c r="A820" s="5" t="s">
        <v>244</v>
      </c>
      <c r="B820" s="16">
        <v>146</v>
      </c>
      <c r="C820" s="16" t="str">
        <v>Walker - WALK 636-637 - 637</v>
      </c>
      <c r="D820" s="6">
        <f>_xlfn.XLOOKUP(C820,'2023'!C:C,'2023'!A:A,"")</f>
        <v>45028.829166666997</v>
      </c>
      <c r="E820" s="6">
        <f>_xlfn.XLOOKUP(C820,'2023'!C:C,'2023'!B:B,"")</f>
        <v>45029.727083332997</v>
      </c>
      <c r="F820" s="19">
        <f t="shared" si="51"/>
        <v>45028.829166666997</v>
      </c>
      <c r="G820" s="6">
        <f>_xlfn.XLOOKUP(C820,'2024'!C:C,'2024'!A:A,"")</f>
        <v>45391.889583333003</v>
      </c>
      <c r="H820" s="6">
        <f>_xlfn.XLOOKUP(C821,'2024'!C:C,'2024'!B:B,"")</f>
        <v>45392.720833332998</v>
      </c>
      <c r="I820" s="19">
        <f t="shared" si="48"/>
        <v>45391.889583333003</v>
      </c>
      <c r="J820" s="6">
        <f>_xlfn.XLOOKUP(C820,'2025'!C:C,'2025'!A:A,"")</f>
        <v>45756.772916667003</v>
      </c>
      <c r="K820" s="6">
        <f>_xlfn.XLOOKUP(C820,'2025'!C:C,'2025'!B:B,"")</f>
        <v>45756.710416667003</v>
      </c>
      <c r="L820" s="19">
        <f t="shared" si="49"/>
        <v>45756.710416667003</v>
      </c>
      <c r="M820" s="16" cm="1">
        <f t="array" ref="M820">IFERROR(_xlfn.LET(
_xlpm.x,TRIM(C820),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0" s="16" t="b">
        <f t="shared" si="50"/>
        <v>0</v>
      </c>
    </row>
    <row r="821" spans="1:14" x14ac:dyDescent="0.25">
      <c r="A821" s="5" t="s">
        <v>244</v>
      </c>
      <c r="B821" s="16">
        <v>146</v>
      </c>
      <c r="C821" s="16" t="str">
        <v>Walker - WALK 638 639 655 - 638</v>
      </c>
      <c r="D821" s="6">
        <f>_xlfn.XLOOKUP(C821,'2023'!C:C,'2023'!A:A,"")</f>
        <v>45028.712500000001</v>
      </c>
      <c r="E821" s="6">
        <f>_xlfn.XLOOKUP(C821,'2023'!C:C,'2023'!B:B,"")</f>
        <v>45028.770833333001</v>
      </c>
      <c r="F821" s="19">
        <f t="shared" si="51"/>
        <v>45028.712500000001</v>
      </c>
      <c r="G821" s="6">
        <f>_xlfn.XLOOKUP(C821,'2024'!C:C,'2024'!A:A,"")</f>
        <v>45392.772916667003</v>
      </c>
      <c r="H821" s="6">
        <f>_xlfn.XLOOKUP(C822,'2024'!C:C,'2024'!B:B,"")</f>
        <v>45391.724999999999</v>
      </c>
      <c r="I821" s="19">
        <f t="shared" si="48"/>
        <v>45391.724999999999</v>
      </c>
      <c r="J821" s="6">
        <f>_xlfn.XLOOKUP(C821,'2025'!C:C,'2025'!A:A,"")</f>
        <v>45757.845833332998</v>
      </c>
      <c r="K821" s="6">
        <f>_xlfn.XLOOKUP(C821,'2025'!C:C,'2025'!B:B,"")</f>
        <v>45755.787499999999</v>
      </c>
      <c r="L821" s="19">
        <f t="shared" si="49"/>
        <v>45755.787499999999</v>
      </c>
      <c r="M821" s="16" cm="1">
        <f t="array" ref="M821">IFERROR(_xlfn.LET(
_xlpm.x,TRIM(C821),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1" s="16" t="b">
        <f t="shared" si="50"/>
        <v>0</v>
      </c>
    </row>
    <row r="822" spans="1:14" x14ac:dyDescent="0.25">
      <c r="A822" s="5" t="s">
        <v>244</v>
      </c>
      <c r="B822" s="16">
        <v>146</v>
      </c>
      <c r="C822" s="16" t="str">
        <v>Walker - WALK 638 639 655 - 639</v>
      </c>
      <c r="D822" s="6">
        <f>_xlfn.XLOOKUP(C822,'2023'!C:C,'2023'!A:A,"")</f>
        <v>45028.827083333003</v>
      </c>
      <c r="E822" s="6">
        <f>_xlfn.XLOOKUP(C822,'2023'!C:C,'2023'!B:B,"")</f>
        <v>45028.833333333001</v>
      </c>
      <c r="F822" s="19">
        <f t="shared" si="51"/>
        <v>45028.827083333003</v>
      </c>
      <c r="G822" s="6">
        <f>_xlfn.XLOOKUP(C822,'2024'!C:C,'2024'!A:A,"")</f>
        <v>45392.743750000001</v>
      </c>
      <c r="H822" s="6">
        <f>_xlfn.XLOOKUP(C823,'2024'!C:C,'2024'!B:B,"")</f>
        <v>45391.783333332998</v>
      </c>
      <c r="I822" s="19">
        <f t="shared" si="48"/>
        <v>45391.783333332998</v>
      </c>
      <c r="J822" s="6">
        <f>_xlfn.XLOOKUP(C822,'2025'!C:C,'2025'!A:A,"")</f>
        <v>45756.833333333001</v>
      </c>
      <c r="K822" s="6">
        <f>_xlfn.XLOOKUP(C822,'2025'!C:C,'2025'!B:B,"")</f>
        <v>45755.787499999999</v>
      </c>
      <c r="L822" s="19">
        <f t="shared" si="49"/>
        <v>45755.787499999999</v>
      </c>
      <c r="M822" s="16" cm="1">
        <f t="array" ref="M822">IFERROR(_xlfn.LET(
_xlpm.x,TRIM(C822),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2" s="16" t="b">
        <f t="shared" si="50"/>
        <v>0</v>
      </c>
    </row>
    <row r="823" spans="1:14" x14ac:dyDescent="0.25">
      <c r="A823" s="5" t="s">
        <v>421</v>
      </c>
      <c r="B823" s="16">
        <v>146</v>
      </c>
      <c r="C823" s="16" t="str">
        <v>Walker - WALK 638 639 655 - 655</v>
      </c>
      <c r="D823" s="6">
        <f>_xlfn.XLOOKUP(C823,'2023'!C:C,'2023'!A:A,"")</f>
        <v>45027.902083333</v>
      </c>
      <c r="E823" s="6">
        <f>_xlfn.XLOOKUP(C823,'2023'!C:C,'2023'!B:B,"")</f>
        <v>45027.724999999999</v>
      </c>
      <c r="F823" s="19">
        <f t="shared" si="51"/>
        <v>45027.724999999999</v>
      </c>
      <c r="G823" s="6">
        <f>_xlfn.XLOOKUP(C823,'2024'!C:C,'2024'!A:A,"")</f>
        <v>45391.9</v>
      </c>
      <c r="H823" s="6" t="str">
        <f>_xlfn.XLOOKUP(C824,'2024'!C:C,'2024'!B:B,"")</f>
        <v>No Selection Time Issued</v>
      </c>
      <c r="I823" s="19">
        <f t="shared" si="48"/>
        <v>45391.9</v>
      </c>
      <c r="J823" s="6">
        <f>_xlfn.XLOOKUP(C823,'2025'!C:C,'2025'!A:A,"")</f>
        <v>45755.787499999999</v>
      </c>
      <c r="K823" s="6">
        <f>_xlfn.XLOOKUP(C823,'2025'!C:C,'2025'!B:B,"")</f>
        <v>45755.787499999999</v>
      </c>
      <c r="L823" s="19">
        <f t="shared" si="49"/>
        <v>45755.787499999999</v>
      </c>
      <c r="M823" s="16" cm="1">
        <f t="array" ref="M823">IFERROR(_xlfn.LET(
_xlpm.x,TRIM(C823),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3" s="16" t="b">
        <f t="shared" si="50"/>
        <v>0</v>
      </c>
    </row>
    <row r="824" spans="1:14" x14ac:dyDescent="0.25">
      <c r="A824" s="5" t="s">
        <v>421</v>
      </c>
      <c r="B824" s="16">
        <v>145</v>
      </c>
      <c r="C824" s="16" t="str">
        <v>Walker - WALK 640-641 - 640</v>
      </c>
      <c r="D824" s="6">
        <f>_xlfn.XLOOKUP(C824,'2023'!C:C,'2023'!A:A,"")</f>
        <v>45028.854166666999</v>
      </c>
      <c r="E824" s="6">
        <f>_xlfn.XLOOKUP(C824,'2023'!C:C,'2023'!B:B,"")</f>
        <v>45029.804166667003</v>
      </c>
      <c r="F824" s="19">
        <f t="shared" si="51"/>
        <v>45028.854166666999</v>
      </c>
      <c r="G824" s="6">
        <f>_xlfn.XLOOKUP(C824,'2024'!C:C,'2024'!A:A,"")</f>
        <v>45392.720833332998</v>
      </c>
      <c r="H824" s="6">
        <f>_xlfn.XLOOKUP(C825,'2024'!C:C,'2024'!B:B,"")</f>
        <v>45392.722916667</v>
      </c>
      <c r="I824" s="19">
        <f t="shared" si="48"/>
        <v>45392.720833332998</v>
      </c>
      <c r="J824" s="6">
        <f>_xlfn.XLOOKUP(C824,'2025'!C:C,'2025'!A:A,"")</f>
        <v>45756.729166666999</v>
      </c>
      <c r="K824" s="6">
        <f>_xlfn.XLOOKUP(C824,'2025'!C:C,'2025'!B:B,"")</f>
        <v>45756.729166666999</v>
      </c>
      <c r="L824" s="19">
        <f t="shared" si="49"/>
        <v>45756.729166666999</v>
      </c>
      <c r="M824" s="16" cm="1">
        <f t="array" ref="M824">IFERROR(_xlfn.LET(
_xlpm.x,TRIM(C824),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4" s="16" t="b">
        <f t="shared" si="50"/>
        <v>0</v>
      </c>
    </row>
    <row r="825" spans="1:14" x14ac:dyDescent="0.25">
      <c r="A825" s="5" t="s">
        <v>421</v>
      </c>
      <c r="B825" s="16">
        <v>146</v>
      </c>
      <c r="C825" s="16" t="str">
        <v>Walker - WALK 640-641 - 641</v>
      </c>
      <c r="D825" s="6">
        <f>_xlfn.XLOOKUP(C825,'2023'!C:C,'2023'!A:A,"")</f>
        <v>45028.727083332997</v>
      </c>
      <c r="E825" s="6">
        <f>_xlfn.XLOOKUP(C825,'2023'!C:C,'2023'!B:B,"")</f>
        <v>45027.731249999997</v>
      </c>
      <c r="F825" s="19">
        <f t="shared" si="51"/>
        <v>45027.731249999997</v>
      </c>
      <c r="G825" s="6">
        <f>_xlfn.XLOOKUP(C825,'2024'!C:C,'2024'!A:A,"")</f>
        <v>45392.829166666997</v>
      </c>
      <c r="H825" s="6">
        <f>_xlfn.XLOOKUP(C826,'2024'!C:C,'2024'!B:B,"")</f>
        <v>45391.747916667002</v>
      </c>
      <c r="I825" s="19">
        <f t="shared" si="48"/>
        <v>45391.747916667002</v>
      </c>
      <c r="J825" s="6">
        <f>_xlfn.XLOOKUP(C825,'2025'!C:C,'2025'!A:A,"")</f>
        <v>45756.783333332998</v>
      </c>
      <c r="K825" s="6">
        <f>_xlfn.XLOOKUP(C825,'2025'!C:C,'2025'!B:B,"")</f>
        <v>45756.729166666999</v>
      </c>
      <c r="L825" s="19">
        <f t="shared" si="49"/>
        <v>45756.729166666999</v>
      </c>
      <c r="M825" s="16" cm="1">
        <f t="array" ref="M825">IFERROR(_xlfn.LET(
_xlpm.x,TRIM(C825),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5" s="16" t="b">
        <f t="shared" si="50"/>
        <v>0</v>
      </c>
    </row>
    <row r="826" spans="1:14" x14ac:dyDescent="0.25">
      <c r="A826" s="5" t="s">
        <v>595</v>
      </c>
      <c r="B826" s="16">
        <v>146</v>
      </c>
      <c r="C826" s="16" t="str">
        <v>Walker - WALK 642 643 654 - 642</v>
      </c>
      <c r="D826" s="6">
        <f>_xlfn.XLOOKUP(C826,'2023'!C:C,'2023'!A:A,"")</f>
        <v>45029.810416667002</v>
      </c>
      <c r="E826" s="6" t="str">
        <f>_xlfn.XLOOKUP(C826,'2023'!C:C,'2023'!B:B,"")</f>
        <v>No Selection Time Issued</v>
      </c>
      <c r="F826" s="19">
        <f t="shared" si="51"/>
        <v>45029.810416667002</v>
      </c>
      <c r="G826" s="6">
        <f>_xlfn.XLOOKUP(C826,'2024'!C:C,'2024'!A:A,"")</f>
        <v>45392.860416666997</v>
      </c>
      <c r="H826" s="6" t="str">
        <f>_xlfn.XLOOKUP(C827,'2024'!C:C,'2024'!B:B,"")</f>
        <v>No Selection Time Issued</v>
      </c>
      <c r="I826" s="19">
        <f t="shared" si="48"/>
        <v>45392.860416666997</v>
      </c>
      <c r="J826" s="6">
        <f>_xlfn.XLOOKUP(C826,'2025'!C:C,'2025'!A:A,"")</f>
        <v>45755.9</v>
      </c>
      <c r="K826" s="6">
        <f>_xlfn.XLOOKUP(C826,'2025'!C:C,'2025'!B:B,"")</f>
        <v>45755.770833333001</v>
      </c>
      <c r="L826" s="19">
        <f t="shared" si="49"/>
        <v>45755.770833333001</v>
      </c>
      <c r="M826" s="16" cm="1">
        <f t="array" ref="M826">IFERROR(_xlfn.LET(
_xlpm.x,TRIM(C826),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6" s="16" t="b">
        <f t="shared" si="50"/>
        <v>0</v>
      </c>
    </row>
    <row r="827" spans="1:14" x14ac:dyDescent="0.25">
      <c r="A827" s="5" t="s">
        <v>595</v>
      </c>
      <c r="B827" s="16">
        <v>146</v>
      </c>
      <c r="C827" s="16" t="str">
        <v>Walker - WALK 642 643 654 - 643</v>
      </c>
      <c r="D827" s="6">
        <f>_xlfn.XLOOKUP(C827,'2023'!C:C,'2023'!A:A,"")</f>
        <v>45029.793749999997</v>
      </c>
      <c r="E827" s="6" t="str">
        <f>_xlfn.XLOOKUP(C827,'2023'!C:C,'2023'!B:B,"")</f>
        <v>No Selection Time Issued</v>
      </c>
      <c r="F827" s="19">
        <f t="shared" si="51"/>
        <v>45029.793749999997</v>
      </c>
      <c r="G827" s="6">
        <f>_xlfn.XLOOKUP(C827,'2024'!C:C,'2024'!A:A,"")</f>
        <v>45393.735416666997</v>
      </c>
      <c r="H827" s="6">
        <f>_xlfn.XLOOKUP(C828,'2024'!C:C,'2024'!B:B,"")</f>
        <v>45391.731249999997</v>
      </c>
      <c r="I827" s="19">
        <f t="shared" si="48"/>
        <v>45391.731249999997</v>
      </c>
      <c r="J827" s="6">
        <f>_xlfn.XLOOKUP(C827,'2025'!C:C,'2025'!A:A,"")</f>
        <v>45755.822916666999</v>
      </c>
      <c r="K827" s="6">
        <f>_xlfn.XLOOKUP(C827,'2025'!C:C,'2025'!B:B,"")</f>
        <v>45755.770833333001</v>
      </c>
      <c r="L827" s="19">
        <f t="shared" si="49"/>
        <v>45755.770833333001</v>
      </c>
      <c r="M827" s="16" cm="1">
        <f t="array" ref="M827">IFERROR(_xlfn.LET(
_xlpm.x,TRIM(C827),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7" s="16" t="b">
        <f t="shared" si="50"/>
        <v>0</v>
      </c>
    </row>
    <row r="828" spans="1:14" x14ac:dyDescent="0.25">
      <c r="A828" s="5" t="s">
        <v>589</v>
      </c>
      <c r="B828" s="16">
        <v>146</v>
      </c>
      <c r="C828" s="16" t="str">
        <v>Walker - WALK 642 643 654 - 654</v>
      </c>
      <c r="D828" s="6">
        <f>_xlfn.XLOOKUP(C828,'2023'!C:C,'2023'!A:A,"")</f>
        <v>45027.841666667002</v>
      </c>
      <c r="E828" s="6" t="str">
        <f>_xlfn.XLOOKUP(C828,'2023'!C:C,'2023'!B:B,"")</f>
        <v>No Selection Time Issued</v>
      </c>
      <c r="F828" s="19">
        <f t="shared" si="51"/>
        <v>45027.841666667002</v>
      </c>
      <c r="G828" s="6">
        <f>_xlfn.XLOOKUP(C828,'2024'!C:C,'2024'!A:A,"")</f>
        <v>45391.870833333</v>
      </c>
      <c r="H828" s="6">
        <f>_xlfn.XLOOKUP(C829,'2024'!C:C,'2024'!B:B,"")</f>
        <v>45391.710416667003</v>
      </c>
      <c r="I828" s="19">
        <f t="shared" si="48"/>
        <v>45391.710416667003</v>
      </c>
      <c r="J828" s="6">
        <f>_xlfn.XLOOKUP(C828,'2025'!C:C,'2025'!A:A,"")</f>
        <v>45755.770833333001</v>
      </c>
      <c r="K828" s="6">
        <f>_xlfn.XLOOKUP(C828,'2025'!C:C,'2025'!B:B,"")</f>
        <v>45755.770833333001</v>
      </c>
      <c r="L828" s="19">
        <f t="shared" si="49"/>
        <v>45755.770833333001</v>
      </c>
      <c r="M828" s="16" cm="1">
        <f t="array" ref="M828">IFERROR(_xlfn.LET(
_xlpm.x,TRIM(C828),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8" s="16" t="b">
        <f t="shared" si="50"/>
        <v>0</v>
      </c>
    </row>
    <row r="829" spans="1:14" x14ac:dyDescent="0.25">
      <c r="A829" s="5" t="s">
        <v>589</v>
      </c>
      <c r="B829" s="16">
        <v>145</v>
      </c>
      <c r="C829" s="16" t="str">
        <v>Walker - WALK 644-645 - 644</v>
      </c>
      <c r="D829" s="6">
        <f>_xlfn.XLOOKUP(C829,'2023'!C:C,'2023'!A:A,"")</f>
        <v>45028.797916666997</v>
      </c>
      <c r="E829" s="6" t="str">
        <f>_xlfn.XLOOKUP(C829,'2023'!C:C,'2023'!B:B,"")</f>
        <v>No Selection Time Issued</v>
      </c>
      <c r="F829" s="19">
        <f t="shared" si="51"/>
        <v>45028.797916666997</v>
      </c>
      <c r="G829" s="6">
        <f>_xlfn.XLOOKUP(C829,'2024'!C:C,'2024'!A:A,"")</f>
        <v>45392.75</v>
      </c>
      <c r="H829" s="6">
        <f>_xlfn.XLOOKUP(C830,'2024'!C:C,'2024'!B:B,"")</f>
        <v>45393.824999999997</v>
      </c>
      <c r="I829" s="19">
        <f t="shared" si="48"/>
        <v>45392.75</v>
      </c>
      <c r="J829" s="6">
        <f>_xlfn.XLOOKUP(C829,'2025'!C:C,'2025'!A:A,"")</f>
        <v>45756.731249999997</v>
      </c>
      <c r="K829" s="6">
        <f>_xlfn.XLOOKUP(C829,'2025'!C:C,'2025'!B:B,"")</f>
        <v>45756.731249999997</v>
      </c>
      <c r="L829" s="19">
        <f t="shared" si="49"/>
        <v>45756.731249999997</v>
      </c>
      <c r="M829" s="16" cm="1">
        <f t="array" ref="M829">IFERROR(_xlfn.LET(
_xlpm.x,TRIM(C829),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29" s="16" t="b">
        <f t="shared" si="50"/>
        <v>0</v>
      </c>
    </row>
    <row r="830" spans="1:14" x14ac:dyDescent="0.25">
      <c r="A830" s="5" t="s">
        <v>320</v>
      </c>
      <c r="B830" s="16">
        <v>148</v>
      </c>
      <c r="C830" s="16" t="str">
        <v>Walker - WALK 644-645 - 645</v>
      </c>
      <c r="D830" s="6">
        <f>_xlfn.XLOOKUP(C830,'2023'!C:C,'2023'!A:A,"")</f>
        <v>45027.779166667002</v>
      </c>
      <c r="E830" s="6" t="str">
        <f>_xlfn.XLOOKUP(C830,'2023'!C:C,'2023'!B:B,"")</f>
        <v>No Selection Time Issued</v>
      </c>
      <c r="F830" s="19">
        <f t="shared" si="51"/>
        <v>45027.779166667002</v>
      </c>
      <c r="G830" s="6">
        <f>_xlfn.XLOOKUP(C830,'2024'!C:C,'2024'!A:A,"")</f>
        <v>45392.845833332998</v>
      </c>
      <c r="H830" s="6">
        <f>_xlfn.XLOOKUP(C831,'2024'!C:C,'2024'!B:B,"")</f>
        <v>45392.720833332998</v>
      </c>
      <c r="I830" s="19">
        <f t="shared" si="48"/>
        <v>45392.720833332998</v>
      </c>
      <c r="J830" s="6">
        <f>_xlfn.XLOOKUP(C830,'2025'!C:C,'2025'!A:A,"")</f>
        <v>45756.795833333003</v>
      </c>
      <c r="K830" s="6">
        <f>_xlfn.XLOOKUP(C830,'2025'!C:C,'2025'!B:B,"")</f>
        <v>45756.731249999997</v>
      </c>
      <c r="L830" s="19">
        <f t="shared" si="49"/>
        <v>45756.731249999997</v>
      </c>
      <c r="M830" s="16" cm="1">
        <f t="array" ref="M830">IFERROR(_xlfn.LET(
_xlpm.x,TRIM(C830),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0" s="16" t="b">
        <f t="shared" si="50"/>
        <v>0</v>
      </c>
    </row>
    <row r="831" spans="1:14" x14ac:dyDescent="0.25">
      <c r="A831" s="5" t="s">
        <v>320</v>
      </c>
      <c r="B831" s="16">
        <v>148</v>
      </c>
      <c r="C831" s="16" t="str">
        <v>Walker - WALK 646 647 653 - 646</v>
      </c>
      <c r="D831" s="6">
        <f>_xlfn.XLOOKUP(C831,'2023'!C:C,'2023'!A:A,"")</f>
        <v>45028.818749999999</v>
      </c>
      <c r="E831" s="6" t="str">
        <f>_xlfn.XLOOKUP(C831,'2023'!C:C,'2023'!B:B,"")</f>
        <v>No Selection Time Issued</v>
      </c>
      <c r="F831" s="19">
        <f t="shared" si="51"/>
        <v>45028.818749999999</v>
      </c>
      <c r="G831" s="6">
        <f>_xlfn.XLOOKUP(C831,'2024'!C:C,'2024'!A:A,"")</f>
        <v>45392.8125</v>
      </c>
      <c r="H831" s="6">
        <f>_xlfn.XLOOKUP(C832,'2024'!C:C,'2024'!B:B,"")</f>
        <v>45393.724999999999</v>
      </c>
      <c r="I831" s="19">
        <f t="shared" si="48"/>
        <v>45392.8125</v>
      </c>
      <c r="J831" s="6">
        <f>_xlfn.XLOOKUP(C831,'2025'!C:C,'2025'!A:A,"")</f>
        <v>45756.787499999999</v>
      </c>
      <c r="K831" s="6">
        <f>_xlfn.XLOOKUP(C831,'2025'!C:C,'2025'!B:B,"")</f>
        <v>45755.783333332998</v>
      </c>
      <c r="L831" s="19">
        <f t="shared" si="49"/>
        <v>45755.783333332998</v>
      </c>
      <c r="M831" s="16" cm="1">
        <f t="array" ref="M831">IFERROR(_xlfn.LET(
_xlpm.x,TRIM(C831),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1" s="16" t="b">
        <f t="shared" si="50"/>
        <v>0</v>
      </c>
    </row>
    <row r="832" spans="1:14" x14ac:dyDescent="0.25">
      <c r="A832" s="5" t="s">
        <v>320</v>
      </c>
      <c r="B832" s="16">
        <v>146</v>
      </c>
      <c r="C832" s="16" t="str">
        <v>Walker - WALK 646 647 653 - 647</v>
      </c>
      <c r="D832" s="6">
        <f>_xlfn.XLOOKUP(C832,'2023'!C:C,'2023'!A:A,"")</f>
        <v>45028.833333333001</v>
      </c>
      <c r="E832" s="6">
        <f>_xlfn.XLOOKUP(C832,'2023'!C:C,'2023'!B:B,"")</f>
        <v>45027.714583333</v>
      </c>
      <c r="F832" s="19">
        <f t="shared" si="51"/>
        <v>45027.714583333</v>
      </c>
      <c r="G832" s="6">
        <f>_xlfn.XLOOKUP(C832,'2024'!C:C,'2024'!A:A,"")</f>
        <v>45392.820833332997</v>
      </c>
      <c r="H832" s="6">
        <f>_xlfn.XLOOKUP(C833,'2024'!C:C,'2024'!B:B,"")</f>
        <v>45391.743750000001</v>
      </c>
      <c r="I832" s="19">
        <f t="shared" si="48"/>
        <v>45391.743750000001</v>
      </c>
      <c r="J832" s="6">
        <f>_xlfn.XLOOKUP(C832,'2025'!C:C,'2025'!A:A,"")</f>
        <v>45756.791666666999</v>
      </c>
      <c r="K832" s="6">
        <f>_xlfn.XLOOKUP(C832,'2025'!C:C,'2025'!B:B,"")</f>
        <v>45755.783333332998</v>
      </c>
      <c r="L832" s="19">
        <f t="shared" si="49"/>
        <v>45755.783333332998</v>
      </c>
      <c r="M832" s="16" cm="1">
        <f t="array" ref="M832">IFERROR(_xlfn.LET(
_xlpm.x,TRIM(C832),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2" s="16" t="b">
        <f t="shared" si="50"/>
        <v>0</v>
      </c>
    </row>
    <row r="833" spans="1:14" x14ac:dyDescent="0.25">
      <c r="A833" s="5" t="s">
        <v>301</v>
      </c>
      <c r="B833" s="16">
        <v>146</v>
      </c>
      <c r="C833" s="16" t="str">
        <v>Walker - WALK 646 647 653 - 653</v>
      </c>
      <c r="D833" s="6">
        <f>_xlfn.XLOOKUP(C833,'2023'!C:C,'2023'!A:A,"")</f>
        <v>45028.710416667003</v>
      </c>
      <c r="E833" s="6">
        <f>_xlfn.XLOOKUP(C833,'2023'!C:C,'2023'!B:B,"")</f>
        <v>45029.708333333001</v>
      </c>
      <c r="F833" s="19">
        <f t="shared" si="51"/>
        <v>45028.710416667003</v>
      </c>
      <c r="G833" s="6">
        <f>_xlfn.XLOOKUP(C833,'2024'!C:C,'2024'!A:A,"")</f>
        <v>45392.708333333001</v>
      </c>
      <c r="H833" s="6">
        <f>_xlfn.XLOOKUP(C834,'2024'!C:C,'2024'!B:B,"")</f>
        <v>45392.720833332998</v>
      </c>
      <c r="I833" s="19">
        <f t="shared" si="48"/>
        <v>45392.708333333001</v>
      </c>
      <c r="J833" s="6">
        <f>_xlfn.XLOOKUP(C833,'2025'!C:C,'2025'!A:A,"")</f>
        <v>45755.783333332998</v>
      </c>
      <c r="K833" s="6">
        <f>_xlfn.XLOOKUP(C833,'2025'!C:C,'2025'!B:B,"")</f>
        <v>45755.783333332998</v>
      </c>
      <c r="L833" s="19">
        <f t="shared" si="49"/>
        <v>45755.783333332998</v>
      </c>
      <c r="M833" s="16" cm="1">
        <f t="array" ref="M833">IFERROR(_xlfn.LET(
_xlpm.x,TRIM(C833),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3" s="16" t="b">
        <f t="shared" si="50"/>
        <v>0</v>
      </c>
    </row>
    <row r="834" spans="1:14" x14ac:dyDescent="0.25">
      <c r="A834" s="5" t="s">
        <v>301</v>
      </c>
      <c r="B834" s="16">
        <v>145</v>
      </c>
      <c r="C834" s="16" t="str">
        <v>Walker - WALK 648-649 - 648</v>
      </c>
      <c r="D834" s="6">
        <f>_xlfn.XLOOKUP(C834,'2023'!C:C,'2023'!A:A,"")</f>
        <v>45028.737500000003</v>
      </c>
      <c r="E834" s="6">
        <f>_xlfn.XLOOKUP(C834,'2023'!C:C,'2023'!B:B,"")</f>
        <v>45029.84375</v>
      </c>
      <c r="F834" s="19">
        <f t="shared" si="51"/>
        <v>45028.737500000003</v>
      </c>
      <c r="G834" s="6">
        <f>_xlfn.XLOOKUP(C834,'2024'!C:C,'2024'!A:A,"")</f>
        <v>45392.762499999997</v>
      </c>
      <c r="H834" s="6">
        <f>_xlfn.XLOOKUP(C835,'2024'!C:C,'2024'!B:B,"")</f>
        <v>45393.708333333001</v>
      </c>
      <c r="I834" s="19">
        <f t="shared" ref="I834:I858" si="52">_xlfn.LET(
_xlpm.ind,G834,
_xlpm.grp,H834,
IF(AND(NOT(ISNUMBER(_xlpm.ind)),NOT(ISNUMBER(_xlpm.grp))),"",
MIN(IF(ISNUMBER(_xlpm.ind),_xlpm.ind,1E+99),IF(ISNUMBER(_xlpm.grp),_xlpm.grp,1E+99))
)
)</f>
        <v>45392.762499999997</v>
      </c>
      <c r="J834" s="6">
        <f>_xlfn.XLOOKUP(C834,'2025'!C:C,'2025'!A:A,"")</f>
        <v>45756.741666667003</v>
      </c>
      <c r="K834" s="6">
        <f>_xlfn.XLOOKUP(C834,'2025'!C:C,'2025'!B:B,"")</f>
        <v>45756.741666667003</v>
      </c>
      <c r="L834" s="19">
        <f t="shared" ref="L834:L858" si="53">_xlfn.LET(_xlpm.ind,J834,_xlpm.grp,K834,IF(AND(NOT(ISNUMBER(_xlpm.ind)),NOT(ISNUMBER(_xlpm.grp))),"",MIN(IF(ISNUMBER(_xlpm.ind),_xlpm.ind,1E+99),IF(ISNUMBER(_xlpm.grp),_xlpm.grp,1E+99))))</f>
        <v>45756.741666667003</v>
      </c>
      <c r="M834" s="16" cm="1">
        <f t="array" ref="M834">IFERROR(_xlfn.LET(
_xlpm.x,TRIM(C834),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4" s="16" t="b">
        <f t="shared" ref="N834:N858" si="54">OR(_xlfn.TEXTBEFORE(C834," - ")="Blaisdell",_xlfn.TEXTBEFORE(C834," - ")="Mudd",_xlfn.TEXTBEFORE(C834," - ")="Dialynas",_xlfn.TEXTBEFORE(C834," - ")="Sontag")</f>
        <v>0</v>
      </c>
    </row>
    <row r="835" spans="1:14" x14ac:dyDescent="0.25">
      <c r="A835" s="5" t="s">
        <v>301</v>
      </c>
      <c r="B835" s="16">
        <v>148</v>
      </c>
      <c r="C835" s="16" t="str">
        <v>Walker - WALK 648-649 - 649</v>
      </c>
      <c r="D835" s="6">
        <f>_xlfn.XLOOKUP(C835,'2023'!C:C,'2023'!A:A,"")</f>
        <v>45028.795833333003</v>
      </c>
      <c r="E835" s="6">
        <f>_xlfn.XLOOKUP(C835,'2023'!C:C,'2023'!B:B,"")</f>
        <v>45027.708333333001</v>
      </c>
      <c r="F835" s="19">
        <f t="shared" ref="F835:F858" si="55">_xlfn.LET(
_xlpm.ind,D835,
_xlpm.grp,E835,
IF(AND(NOT(ISNUMBER(_xlpm.ind)),NOT(ISNUMBER(_xlpm.grp))),"",
MIN(IF(ISNUMBER(_xlpm.ind),_xlpm.ind,1E+99),IF(ISNUMBER(_xlpm.grp),_xlpm.grp,1E+99))
)
)</f>
        <v>45027.708333333001</v>
      </c>
      <c r="G835" s="6">
        <f>_xlfn.XLOOKUP(C835,'2024'!C:C,'2024'!A:A,"")</f>
        <v>45392.839583333</v>
      </c>
      <c r="H835" s="6">
        <f>_xlfn.XLOOKUP(C836,'2024'!C:C,'2024'!B:B,"")</f>
        <v>45391.731249999997</v>
      </c>
      <c r="I835" s="19">
        <f t="shared" si="52"/>
        <v>45391.731249999997</v>
      </c>
      <c r="J835" s="6">
        <f>_xlfn.XLOOKUP(C835,'2025'!C:C,'2025'!A:A,"")</f>
        <v>45756.797916666997</v>
      </c>
      <c r="K835" s="6">
        <f>_xlfn.XLOOKUP(C835,'2025'!C:C,'2025'!B:B,"")</f>
        <v>45756.741666667003</v>
      </c>
      <c r="L835" s="19">
        <f t="shared" si="53"/>
        <v>45756.741666667003</v>
      </c>
      <c r="M835" s="16" cm="1">
        <f t="array" ref="M835">IFERROR(_xlfn.LET(
_xlpm.x,TRIM(C835),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5" s="16" t="b">
        <f t="shared" si="54"/>
        <v>0</v>
      </c>
    </row>
    <row r="836" spans="1:14" x14ac:dyDescent="0.25">
      <c r="A836" s="5" t="s">
        <v>588</v>
      </c>
      <c r="B836" s="16">
        <v>148</v>
      </c>
      <c r="C836" s="16" t="str">
        <v>Walker - WALK 650 651 652 - 650</v>
      </c>
      <c r="D836" s="6">
        <f>_xlfn.XLOOKUP(C836,'2023'!C:C,'2023'!A:A,"")</f>
        <v>45028.714583333</v>
      </c>
      <c r="E836" s="6">
        <f>_xlfn.XLOOKUP(C836,'2023'!C:C,'2023'!B:B,"")</f>
        <v>45029.78125</v>
      </c>
      <c r="F836" s="19">
        <f t="shared" si="55"/>
        <v>45028.714583333</v>
      </c>
      <c r="G836" s="6">
        <f>_xlfn.XLOOKUP(C836,'2024'!C:C,'2024'!A:A,"")</f>
        <v>45391.772916667003</v>
      </c>
      <c r="H836" s="6">
        <f>_xlfn.XLOOKUP(C837,'2024'!C:C,'2024'!B:B,"")</f>
        <v>45391.733333333003</v>
      </c>
      <c r="I836" s="19">
        <f t="shared" si="52"/>
        <v>45391.733333333003</v>
      </c>
      <c r="J836" s="6">
        <f>_xlfn.XLOOKUP(C836,'2025'!C:C,'2025'!A:A,"")</f>
        <v>45756.720833332998</v>
      </c>
      <c r="K836" s="6">
        <f>_xlfn.XLOOKUP(C836,'2025'!C:C,'2025'!B:B,"")</f>
        <v>45756.708333333001</v>
      </c>
      <c r="L836" s="19">
        <f t="shared" si="53"/>
        <v>45756.708333333001</v>
      </c>
      <c r="M836" s="16" cm="1">
        <f t="array" ref="M836">IFERROR(_xlfn.LET(
_xlpm.x,TRIM(C836),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6" s="16" t="b">
        <f t="shared" si="54"/>
        <v>0</v>
      </c>
    </row>
    <row r="837" spans="1:14" x14ac:dyDescent="0.25">
      <c r="A837" s="5" t="s">
        <v>588</v>
      </c>
      <c r="B837" s="16">
        <v>146</v>
      </c>
      <c r="C837" s="16" t="str">
        <v>Walker - WALK 650 651 652 - 651</v>
      </c>
      <c r="D837" s="6">
        <f>_xlfn.XLOOKUP(C837,'2023'!C:C,'2023'!A:A,"")</f>
        <v>45028.845833332998</v>
      </c>
      <c r="E837" s="6">
        <f>_xlfn.XLOOKUP(C837,'2023'!C:C,'2023'!B:B,"")</f>
        <v>45028.787499999999</v>
      </c>
      <c r="F837" s="19">
        <f t="shared" si="55"/>
        <v>45028.787499999999</v>
      </c>
      <c r="G837" s="6">
        <f>_xlfn.XLOOKUP(C837,'2024'!C:C,'2024'!A:A,"")</f>
        <v>45391.889583333003</v>
      </c>
      <c r="H837" s="6">
        <f>_xlfn.XLOOKUP(C838,'2024'!C:C,'2024'!B:B,"")</f>
        <v>45391.722916667</v>
      </c>
      <c r="I837" s="19">
        <f t="shared" si="52"/>
        <v>45391.722916667</v>
      </c>
      <c r="J837" s="6">
        <f>_xlfn.XLOOKUP(C837,'2025'!C:C,'2025'!A:A,"")</f>
        <v>45757.841666667002</v>
      </c>
      <c r="K837" s="6">
        <f>_xlfn.XLOOKUP(C837,'2025'!C:C,'2025'!B:B,"")</f>
        <v>45756.708333333001</v>
      </c>
      <c r="L837" s="19">
        <f t="shared" si="53"/>
        <v>45756.708333333001</v>
      </c>
      <c r="M837" s="16" cm="1">
        <f t="array" ref="M837">IFERROR(_xlfn.LET(
_xlpm.x,TRIM(C837),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7" s="16" t="b">
        <f t="shared" si="54"/>
        <v>0</v>
      </c>
    </row>
    <row r="838" spans="1:14" x14ac:dyDescent="0.25">
      <c r="A838" s="5" t="s">
        <v>689</v>
      </c>
      <c r="B838" s="16">
        <v>146</v>
      </c>
      <c r="C838" s="16" t="str">
        <v>Walker - WALK 650 651 652 - 652</v>
      </c>
      <c r="D838" s="6">
        <f>_xlfn.XLOOKUP(C838,'2023'!C:C,'2023'!A:A,"")</f>
        <v>45028.829166666997</v>
      </c>
      <c r="E838" s="6">
        <f>_xlfn.XLOOKUP(C838,'2023'!C:C,'2023'!B:B,"")</f>
        <v>45029.708333333001</v>
      </c>
      <c r="F838" s="19">
        <f t="shared" si="55"/>
        <v>45028.829166666997</v>
      </c>
      <c r="G838" s="6">
        <f>_xlfn.XLOOKUP(C838,'2024'!C:C,'2024'!A:A,"")</f>
        <v>45391.910416667</v>
      </c>
      <c r="H838" s="6">
        <f>_xlfn.XLOOKUP(C839,'2024'!C:C,'2024'!B:B,"")</f>
        <v>45392.779166667002</v>
      </c>
      <c r="I838" s="19">
        <f t="shared" si="52"/>
        <v>45391.910416667</v>
      </c>
      <c r="J838" s="6">
        <f>_xlfn.XLOOKUP(C838,'2025'!C:C,'2025'!A:A,"")</f>
        <v>45756.708333333001</v>
      </c>
      <c r="K838" s="6">
        <f>_xlfn.XLOOKUP(C838,'2025'!C:C,'2025'!B:B,"")</f>
        <v>45756.708333333001</v>
      </c>
      <c r="L838" s="19">
        <f t="shared" si="53"/>
        <v>45756.708333333001</v>
      </c>
      <c r="M838" s="16" cm="1">
        <f t="array" ref="M838">IFERROR(_xlfn.LET(
_xlpm.x,TRIM(C838),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8" s="16" t="b">
        <f t="shared" si="54"/>
        <v>0</v>
      </c>
    </row>
    <row r="839" spans="1:14" x14ac:dyDescent="0.25">
      <c r="A839" s="5" t="s">
        <v>689</v>
      </c>
      <c r="B839" s="16">
        <v>154</v>
      </c>
      <c r="C839" s="16" t="str">
        <v>Walker - WALK 734-735 - 734</v>
      </c>
      <c r="D839" s="6">
        <f>_xlfn.XLOOKUP(C839,'2023'!C:C,'2023'!A:A,"")</f>
        <v>45028.775000000001</v>
      </c>
      <c r="E839" s="6">
        <f>_xlfn.XLOOKUP(C839,'2023'!C:C,'2023'!B:B,"")</f>
        <v>45027.727083332997</v>
      </c>
      <c r="F839" s="19">
        <f t="shared" si="55"/>
        <v>45027.727083332997</v>
      </c>
      <c r="G839" s="6">
        <f>_xlfn.XLOOKUP(C839,'2024'!C:C,'2024'!A:A,"")</f>
        <v>45392.854166666999</v>
      </c>
      <c r="H839" s="6">
        <f>_xlfn.XLOOKUP(C840,'2024'!C:C,'2024'!B:B,"")</f>
        <v>45391.731249999997</v>
      </c>
      <c r="I839" s="19">
        <f t="shared" si="52"/>
        <v>45391.731249999997</v>
      </c>
      <c r="J839" s="6">
        <f>_xlfn.XLOOKUP(C839,'2025'!C:C,'2025'!A:A,"")</f>
        <v>45756.829166666997</v>
      </c>
      <c r="K839" s="6">
        <f>_xlfn.XLOOKUP(C839,'2025'!C:C,'2025'!B:B,"")</f>
        <v>45756.731249999997</v>
      </c>
      <c r="L839" s="19">
        <f t="shared" si="53"/>
        <v>45756.731249999997</v>
      </c>
      <c r="M839" s="16" cm="1">
        <f t="array" ref="M839">IFERROR(_xlfn.LET(
_xlpm.x,TRIM(C839),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39" s="16" t="b">
        <f t="shared" si="54"/>
        <v>0</v>
      </c>
    </row>
    <row r="840" spans="1:14" x14ac:dyDescent="0.25">
      <c r="A840" s="5" t="s">
        <v>220</v>
      </c>
      <c r="B840" s="16">
        <v>154</v>
      </c>
      <c r="C840" s="16" t="str">
        <v>Walker - WALK 734-735 - 735</v>
      </c>
      <c r="D840" s="6">
        <f>_xlfn.XLOOKUP(C840,'2023'!C:C,'2023'!A:A,"")</f>
        <v>45028.731249999997</v>
      </c>
      <c r="E840" s="6" t="str">
        <f>_xlfn.XLOOKUP(C840,'2023'!C:C,'2023'!B:B,"")</f>
        <v>No Selection Time Issued</v>
      </c>
      <c r="F840" s="19">
        <f t="shared" si="55"/>
        <v>45028.731249999997</v>
      </c>
      <c r="G840" s="6">
        <f>_xlfn.XLOOKUP(C840,'2024'!C:C,'2024'!A:A,"")</f>
        <v>45392.737500000003</v>
      </c>
      <c r="H840" s="6">
        <f>_xlfn.XLOOKUP(C841,'2024'!C:C,'2024'!B:B,"")</f>
        <v>45392.766666666997</v>
      </c>
      <c r="I840" s="19">
        <f t="shared" si="52"/>
        <v>45392.737500000003</v>
      </c>
      <c r="J840" s="6">
        <f>_xlfn.XLOOKUP(C840,'2025'!C:C,'2025'!A:A,"")</f>
        <v>45756.731249999997</v>
      </c>
      <c r="K840" s="6">
        <f>_xlfn.XLOOKUP(C840,'2025'!C:C,'2025'!B:B,"")</f>
        <v>45756.731249999997</v>
      </c>
      <c r="L840" s="19">
        <f t="shared" si="53"/>
        <v>45756.731249999997</v>
      </c>
      <c r="M840" s="16" cm="1">
        <f t="array" ref="M840">IFERROR(_xlfn.LET(
_xlpm.x,TRIM(C840),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0" s="16" t="b">
        <f t="shared" si="54"/>
        <v>0</v>
      </c>
    </row>
    <row r="841" spans="1:14" x14ac:dyDescent="0.25">
      <c r="A841" s="5" t="s">
        <v>220</v>
      </c>
      <c r="B841" s="16">
        <v>138</v>
      </c>
      <c r="C841" s="16" t="str">
        <v>Walker - WALK 736-737 - 736</v>
      </c>
      <c r="D841" s="6">
        <f>_xlfn.XLOOKUP(C841,'2023'!C:C,'2023'!A:A,"")</f>
        <v>45028.760416666999</v>
      </c>
      <c r="E841" s="6">
        <f>_xlfn.XLOOKUP(C841,'2023'!C:C,'2023'!B:B,"")</f>
        <v>45027.739583333001</v>
      </c>
      <c r="F841" s="19">
        <f t="shared" si="55"/>
        <v>45027.739583333001</v>
      </c>
      <c r="G841" s="6">
        <f>_xlfn.XLOOKUP(C841,'2024'!C:C,'2024'!A:A,"")</f>
        <v>45392.745833333</v>
      </c>
      <c r="H841" s="6">
        <f>_xlfn.XLOOKUP(C842,'2024'!C:C,'2024'!B:B,"")</f>
        <v>45392.852083332997</v>
      </c>
      <c r="I841" s="19">
        <f t="shared" si="52"/>
        <v>45392.745833333</v>
      </c>
      <c r="J841" s="6">
        <f>_xlfn.XLOOKUP(C841,'2025'!C:C,'2025'!A:A,"")</f>
        <v>45756.84375</v>
      </c>
      <c r="K841" s="6">
        <f>_xlfn.XLOOKUP(C841,'2025'!C:C,'2025'!B:B,"")</f>
        <v>45756.739583333001</v>
      </c>
      <c r="L841" s="19">
        <f t="shared" si="53"/>
        <v>45756.739583333001</v>
      </c>
      <c r="M841" s="16" cm="1">
        <f t="array" ref="M841">IFERROR(_xlfn.LET(
_xlpm.x,TRIM(C841),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1" s="16" t="b">
        <f t="shared" si="54"/>
        <v>0</v>
      </c>
    </row>
    <row r="842" spans="1:14" x14ac:dyDescent="0.25">
      <c r="A842" s="5" t="s">
        <v>33</v>
      </c>
      <c r="B842" s="16">
        <v>138</v>
      </c>
      <c r="C842" s="16" t="str">
        <v>Walker - WALK 736-737 - 737</v>
      </c>
      <c r="D842" s="6">
        <f>_xlfn.XLOOKUP(C842,'2023'!C:C,'2023'!A:A,"")</f>
        <v>45028.737500000003</v>
      </c>
      <c r="E842" s="6">
        <f>_xlfn.XLOOKUP(C842,'2023'!C:C,'2023'!B:B,"")</f>
        <v>45028.735416666997</v>
      </c>
      <c r="F842" s="19">
        <f t="shared" si="55"/>
        <v>45028.735416666997</v>
      </c>
      <c r="G842" s="6">
        <f>_xlfn.XLOOKUP(C842,'2024'!C:C,'2024'!A:A,"")</f>
        <v>45392.770833333001</v>
      </c>
      <c r="H842" s="6">
        <f>_xlfn.XLOOKUP(C843,'2024'!C:C,'2024'!B:B,"")</f>
        <v>45391.741666667003</v>
      </c>
      <c r="I842" s="19">
        <f t="shared" si="52"/>
        <v>45391.741666667003</v>
      </c>
      <c r="J842" s="6">
        <f>_xlfn.XLOOKUP(C842,'2025'!C:C,'2025'!A:A,"")</f>
        <v>45756.739583333001</v>
      </c>
      <c r="K842" s="6">
        <f>_xlfn.XLOOKUP(C842,'2025'!C:C,'2025'!B:B,"")</f>
        <v>45756.739583333001</v>
      </c>
      <c r="L842" s="19">
        <f t="shared" si="53"/>
        <v>45756.739583333001</v>
      </c>
      <c r="M842" s="16" cm="1">
        <f t="array" ref="M842">IFERROR(_xlfn.LET(
_xlpm.x,TRIM(C842),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2" s="16" t="b">
        <f t="shared" si="54"/>
        <v>0</v>
      </c>
    </row>
    <row r="843" spans="1:14" x14ac:dyDescent="0.25">
      <c r="A843" s="5" t="s">
        <v>33</v>
      </c>
      <c r="B843" s="16">
        <v>145</v>
      </c>
      <c r="C843" s="16" t="str">
        <v>Walker - WALK 738-739 - 738</v>
      </c>
      <c r="D843" s="6">
        <f>_xlfn.XLOOKUP(C843,'2023'!C:C,'2023'!A:A,"")</f>
        <v>45028.800000000003</v>
      </c>
      <c r="E843" s="6">
        <f>_xlfn.XLOOKUP(C843,'2023'!C:C,'2023'!B:B,"")</f>
        <v>45027.708333333001</v>
      </c>
      <c r="F843" s="19">
        <f t="shared" si="55"/>
        <v>45027.708333333001</v>
      </c>
      <c r="G843" s="6">
        <f>_xlfn.XLOOKUP(C843,'2024'!C:C,'2024'!A:A,"")</f>
        <v>45392.775000000001</v>
      </c>
      <c r="H843" s="6">
        <f>_xlfn.XLOOKUP(C844,'2024'!C:C,'2024'!B:B,"")</f>
        <v>45391.710416667003</v>
      </c>
      <c r="I843" s="19">
        <f t="shared" si="52"/>
        <v>45391.710416667003</v>
      </c>
      <c r="J843" s="6">
        <f>_xlfn.XLOOKUP(C843,'2025'!C:C,'2025'!A:A,"")</f>
        <v>45756.735416666997</v>
      </c>
      <c r="K843" s="6">
        <f>_xlfn.XLOOKUP(C843,'2025'!C:C,'2025'!B:B,"")</f>
        <v>45756.735416666997</v>
      </c>
      <c r="L843" s="19">
        <f t="shared" si="53"/>
        <v>45756.735416666997</v>
      </c>
      <c r="M843" s="16" cm="1">
        <f t="array" ref="M843">IFERROR(_xlfn.LET(
_xlpm.x,TRIM(C843),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3" s="16" t="b">
        <f t="shared" si="54"/>
        <v>0</v>
      </c>
    </row>
    <row r="844" spans="1:14" x14ac:dyDescent="0.25">
      <c r="A844" s="5" t="s">
        <v>422</v>
      </c>
      <c r="B844" s="16">
        <v>146</v>
      </c>
      <c r="C844" s="16" t="str">
        <v>Walker - WALK 738-739 - 739</v>
      </c>
      <c r="D844" s="6">
        <f>_xlfn.XLOOKUP(C844,'2023'!C:C,'2023'!A:A,"")</f>
        <v>45028.729166666999</v>
      </c>
      <c r="E844" s="6">
        <f>_xlfn.XLOOKUP(C844,'2023'!C:C,'2023'!B:B,"")</f>
        <v>45027.722916667</v>
      </c>
      <c r="F844" s="19">
        <f t="shared" si="55"/>
        <v>45027.722916667</v>
      </c>
      <c r="G844" s="6">
        <f>_xlfn.XLOOKUP(C844,'2024'!C:C,'2024'!A:A,"")</f>
        <v>45392.745833333</v>
      </c>
      <c r="H844" s="6">
        <f>_xlfn.XLOOKUP(C845,'2024'!C:C,'2024'!B:B,"")</f>
        <v>45391.735416666997</v>
      </c>
      <c r="I844" s="19">
        <f t="shared" si="52"/>
        <v>45391.735416666997</v>
      </c>
      <c r="J844" s="6">
        <f>_xlfn.XLOOKUP(C844,'2025'!C:C,'2025'!A:A,"")</f>
        <v>45756.822916666999</v>
      </c>
      <c r="K844" s="6">
        <f>_xlfn.XLOOKUP(C844,'2025'!C:C,'2025'!B:B,"")</f>
        <v>45756.735416666997</v>
      </c>
      <c r="L844" s="19">
        <f t="shared" si="53"/>
        <v>45756.735416666997</v>
      </c>
      <c r="M844" s="16" cm="1">
        <f t="array" ref="M844">IFERROR(_xlfn.LET(
_xlpm.x,TRIM(C844),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4" s="16" t="b">
        <f t="shared" si="54"/>
        <v>0</v>
      </c>
    </row>
    <row r="845" spans="1:14" x14ac:dyDescent="0.25">
      <c r="A845" s="5" t="s">
        <v>422</v>
      </c>
      <c r="B845" s="16">
        <v>146</v>
      </c>
      <c r="C845" s="16" t="str">
        <v>Walker - WALK 740-741 - 740</v>
      </c>
      <c r="D845" s="6">
        <f>_xlfn.XLOOKUP(C845,'2023'!C:C,'2023'!A:A,"")</f>
        <v>45028.731249999997</v>
      </c>
      <c r="E845" s="6">
        <f>_xlfn.XLOOKUP(C845,'2023'!C:C,'2023'!B:B,"")</f>
        <v>45028.777083333</v>
      </c>
      <c r="F845" s="19">
        <f t="shared" si="55"/>
        <v>45028.731249999997</v>
      </c>
      <c r="G845" s="6">
        <f>_xlfn.XLOOKUP(C845,'2024'!C:C,'2024'!A:A,"")</f>
        <v>45392.822916666999</v>
      </c>
      <c r="H845" s="6">
        <f>_xlfn.XLOOKUP(C846,'2024'!C:C,'2024'!B:B,"")</f>
        <v>45391.716666667002</v>
      </c>
      <c r="I845" s="19">
        <f t="shared" si="52"/>
        <v>45391.716666667002</v>
      </c>
      <c r="J845" s="6">
        <f>_xlfn.XLOOKUP(C845,'2025'!C:C,'2025'!A:A,"")</f>
        <v>45755.879166667</v>
      </c>
      <c r="K845" s="6">
        <f>_xlfn.XLOOKUP(C845,'2025'!C:C,'2025'!B:B,"")</f>
        <v>45755.879166667</v>
      </c>
      <c r="L845" s="19">
        <f t="shared" si="53"/>
        <v>45755.879166667</v>
      </c>
      <c r="M845" s="16" cm="1">
        <f t="array" ref="M845">IFERROR(_xlfn.LET(
_xlpm.x,TRIM(C845),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5" s="16" t="b">
        <f t="shared" si="54"/>
        <v>0</v>
      </c>
    </row>
    <row r="846" spans="1:14" x14ac:dyDescent="0.25">
      <c r="A846" s="5" t="s">
        <v>422</v>
      </c>
      <c r="B846" s="16">
        <v>146</v>
      </c>
      <c r="C846" s="16" t="str">
        <v>Walker - WALK 740-741 - 741</v>
      </c>
      <c r="D846" s="6">
        <f>_xlfn.XLOOKUP(C846,'2023'!C:C,'2023'!A:A,"")</f>
        <v>45028.84375</v>
      </c>
      <c r="E846" s="6">
        <f>_xlfn.XLOOKUP(C846,'2023'!C:C,'2023'!B:B,"")</f>
        <v>45027.816666667</v>
      </c>
      <c r="F846" s="19">
        <f t="shared" si="55"/>
        <v>45027.816666667</v>
      </c>
      <c r="G846" s="6">
        <f>_xlfn.XLOOKUP(C846,'2024'!C:C,'2024'!A:A,"")</f>
        <v>45392.714583333</v>
      </c>
      <c r="H846" s="6">
        <f>_xlfn.XLOOKUP(C847,'2024'!C:C,'2024'!B:B,"")</f>
        <v>45391.829166666997</v>
      </c>
      <c r="I846" s="19">
        <f t="shared" si="52"/>
        <v>45391.829166666997</v>
      </c>
      <c r="J846" s="6">
        <f>_xlfn.XLOOKUP(C846,'2025'!C:C,'2025'!A:A,"")</f>
        <v>45756.739583333001</v>
      </c>
      <c r="K846" s="6">
        <f>_xlfn.XLOOKUP(C846,'2025'!C:C,'2025'!B:B,"")</f>
        <v>45755.879166667</v>
      </c>
      <c r="L846" s="19">
        <f t="shared" si="53"/>
        <v>45755.879166667</v>
      </c>
      <c r="M846" s="16" cm="1">
        <f t="array" ref="M846">IFERROR(_xlfn.LET(
_xlpm.x,TRIM(C846),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6" s="16" t="b">
        <f t="shared" si="54"/>
        <v>0</v>
      </c>
    </row>
    <row r="847" spans="1:14" x14ac:dyDescent="0.25">
      <c r="A847" s="5" t="s">
        <v>566</v>
      </c>
      <c r="B847" s="16">
        <v>145</v>
      </c>
      <c r="C847" s="16" t="str">
        <v>Walker - WALK 742-743 - 742</v>
      </c>
      <c r="D847" s="6">
        <f>_xlfn.XLOOKUP(C847,'2023'!C:C,'2023'!A:A,"")</f>
        <v>45027.866666667003</v>
      </c>
      <c r="E847" s="6">
        <f>_xlfn.XLOOKUP(C847,'2023'!C:C,'2023'!B:B,"")</f>
        <v>45027.71875</v>
      </c>
      <c r="F847" s="19">
        <f t="shared" si="55"/>
        <v>45027.71875</v>
      </c>
      <c r="G847" s="6">
        <f>_xlfn.XLOOKUP(C847,'2024'!C:C,'2024'!A:A,"")</f>
        <v>45392.860416666997</v>
      </c>
      <c r="H847" s="6">
        <f>_xlfn.XLOOKUP(C848,'2024'!C:C,'2024'!B:B,"")</f>
        <v>45391.731249999997</v>
      </c>
      <c r="I847" s="19">
        <f t="shared" si="52"/>
        <v>45391.731249999997</v>
      </c>
      <c r="J847" s="6">
        <f>_xlfn.XLOOKUP(C847,'2025'!C:C,'2025'!A:A,"")</f>
        <v>45756.729166666999</v>
      </c>
      <c r="K847" s="6">
        <f>_xlfn.XLOOKUP(C847,'2025'!C:C,'2025'!B:B,"")</f>
        <v>45756.729166666999</v>
      </c>
      <c r="L847" s="19">
        <f t="shared" si="53"/>
        <v>45756.729166666999</v>
      </c>
      <c r="M847" s="16" cm="1">
        <f t="array" ref="M847">IFERROR(_xlfn.LET(
_xlpm.x,TRIM(C847),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7" s="16" t="b">
        <f t="shared" si="54"/>
        <v>0</v>
      </c>
    </row>
    <row r="848" spans="1:14" x14ac:dyDescent="0.25">
      <c r="A848" s="5" t="s">
        <v>566</v>
      </c>
      <c r="B848" s="16">
        <v>146</v>
      </c>
      <c r="C848" s="16" t="str">
        <v>Walker - WALK 742-743 - 743</v>
      </c>
      <c r="D848" s="6">
        <f>_xlfn.XLOOKUP(C848,'2023'!C:C,'2023'!A:A,"")</f>
        <v>45027.891666666997</v>
      </c>
      <c r="E848" s="6">
        <f>_xlfn.XLOOKUP(C848,'2023'!C:C,'2023'!B:B,"")</f>
        <v>45029.731249999997</v>
      </c>
      <c r="F848" s="19">
        <f t="shared" si="55"/>
        <v>45027.891666666997</v>
      </c>
      <c r="G848" s="6">
        <f>_xlfn.XLOOKUP(C848,'2024'!C:C,'2024'!A:A,"")</f>
        <v>45392.731249999997</v>
      </c>
      <c r="H848" s="6" t="str">
        <f>_xlfn.XLOOKUP(C849,'2024'!C:C,'2024'!B:B,"")</f>
        <v/>
      </c>
      <c r="I848" s="19">
        <f t="shared" si="52"/>
        <v>45392.731249999997</v>
      </c>
      <c r="J848" s="6">
        <f>_xlfn.XLOOKUP(C848,'2025'!C:C,'2025'!A:A,"")</f>
        <v>45756.747916667002</v>
      </c>
      <c r="K848" s="6">
        <f>_xlfn.XLOOKUP(C848,'2025'!C:C,'2025'!B:B,"")</f>
        <v>45756.729166666999</v>
      </c>
      <c r="L848" s="19">
        <f t="shared" si="53"/>
        <v>45756.729166666999</v>
      </c>
      <c r="M848" s="16" cm="1">
        <f t="array" ref="M848">IFERROR(_xlfn.LET(
_xlpm.x,TRIM(C848),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8" s="16" t="b">
        <f t="shared" si="54"/>
        <v>0</v>
      </c>
    </row>
    <row r="849" spans="1:14" x14ac:dyDescent="0.25">
      <c r="A849" s="5" t="s">
        <v>566</v>
      </c>
      <c r="B849" s="16">
        <v>146</v>
      </c>
      <c r="C849" s="16" t="str">
        <v>Walker - WALK 744-745 - 744</v>
      </c>
      <c r="D849" s="6" t="str">
        <f>_xlfn.XLOOKUP(C849,'2023'!C:C,'2023'!A:A,"")</f>
        <v/>
      </c>
      <c r="E849" s="6" t="str">
        <f>_xlfn.XLOOKUP(C849,'2023'!C:C,'2023'!B:B,"")</f>
        <v/>
      </c>
      <c r="F849" s="19" t="str">
        <f t="shared" si="55"/>
        <v/>
      </c>
      <c r="G849" s="6" t="str">
        <f>_xlfn.XLOOKUP(C849,'2024'!C:C,'2024'!A:A,"")</f>
        <v/>
      </c>
      <c r="H849" s="6" t="str">
        <f>_xlfn.XLOOKUP(C850,'2024'!C:C,'2024'!B:B,"")</f>
        <v/>
      </c>
      <c r="I849" s="19" t="str">
        <f t="shared" si="52"/>
        <v/>
      </c>
      <c r="J849" s="6">
        <f>_xlfn.XLOOKUP(C849,'2025'!C:C,'2025'!A:A,"")</f>
        <v>45756.835416667003</v>
      </c>
      <c r="K849" s="6">
        <f>_xlfn.XLOOKUP(C849,'2025'!C:C,'2025'!B:B,"")</f>
        <v>45756.722916667</v>
      </c>
      <c r="L849" s="19">
        <f t="shared" si="53"/>
        <v>45756.722916667</v>
      </c>
      <c r="M849" s="16" cm="1">
        <f t="array" ref="M849">IFERROR(_xlfn.LET(
_xlpm.x,TRIM(C849),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49" s="16" t="b">
        <f t="shared" si="54"/>
        <v>0</v>
      </c>
    </row>
    <row r="850" spans="1:14" x14ac:dyDescent="0.25">
      <c r="A850" s="5" t="s">
        <v>71</v>
      </c>
      <c r="B850" s="16">
        <v>146</v>
      </c>
      <c r="C850" s="16" t="str">
        <v>Walker - WALK 744-745 - 745</v>
      </c>
      <c r="D850" s="6" t="str">
        <f>_xlfn.XLOOKUP(C850,'2023'!C:C,'2023'!A:A,"")</f>
        <v/>
      </c>
      <c r="E850" s="6" t="str">
        <f>_xlfn.XLOOKUP(C850,'2023'!C:C,'2023'!B:B,"")</f>
        <v/>
      </c>
      <c r="F850" s="19" t="str">
        <f t="shared" si="55"/>
        <v/>
      </c>
      <c r="G850" s="6" t="str">
        <f>_xlfn.XLOOKUP(C850,'2024'!C:C,'2024'!A:A,"")</f>
        <v/>
      </c>
      <c r="H850" s="6">
        <f>_xlfn.XLOOKUP(C851,'2024'!C:C,'2024'!B:B,"")</f>
        <v>45393.795833333003</v>
      </c>
      <c r="I850" s="19">
        <f t="shared" si="52"/>
        <v>45393.795833333003</v>
      </c>
      <c r="J850" s="6">
        <f>_xlfn.XLOOKUP(C850,'2025'!C:C,'2025'!A:A,"")</f>
        <v>45756.722916667</v>
      </c>
      <c r="K850" s="6">
        <f>_xlfn.XLOOKUP(C850,'2025'!C:C,'2025'!B:B,"")</f>
        <v>45756.722916667</v>
      </c>
      <c r="L850" s="19">
        <f t="shared" si="53"/>
        <v>45756.722916667</v>
      </c>
      <c r="M850" s="16" cm="1">
        <f t="array" ref="M850">IFERROR(_xlfn.LET(
_xlpm.x,TRIM(C850),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0" s="16" t="b">
        <f t="shared" si="54"/>
        <v>0</v>
      </c>
    </row>
    <row r="851" spans="1:14" x14ac:dyDescent="0.25">
      <c r="A851" s="5" t="s">
        <v>71</v>
      </c>
      <c r="B851" s="16">
        <v>145</v>
      </c>
      <c r="C851" s="16" t="str">
        <v>Walker - WALK 746-747 - 746</v>
      </c>
      <c r="D851" s="6">
        <f>_xlfn.XLOOKUP(C851,'2023'!C:C,'2023'!A:A,"")</f>
        <v>45028.714583333</v>
      </c>
      <c r="E851" s="6" t="str">
        <f>_xlfn.XLOOKUP(C851,'2023'!C:C,'2023'!B:B,"")</f>
        <v>No Selection Time Issued</v>
      </c>
      <c r="F851" s="19">
        <f t="shared" si="55"/>
        <v>45028.714583333</v>
      </c>
      <c r="G851" s="6">
        <f>_xlfn.XLOOKUP(C851,'2024'!C:C,'2024'!A:A,"")</f>
        <v>45392.785416667</v>
      </c>
      <c r="H851" s="6">
        <f>_xlfn.XLOOKUP(C852,'2024'!C:C,'2024'!B:B,"")</f>
        <v>45393.727083332997</v>
      </c>
      <c r="I851" s="19">
        <f t="shared" si="52"/>
        <v>45392.785416667</v>
      </c>
      <c r="J851" s="6">
        <f>_xlfn.XLOOKUP(C851,'2025'!C:C,'2025'!A:A,"")</f>
        <v>45756.733333333003</v>
      </c>
      <c r="K851" s="6">
        <f>_xlfn.XLOOKUP(C851,'2025'!C:C,'2025'!B:B,"")</f>
        <v>45756.733333333003</v>
      </c>
      <c r="L851" s="19">
        <f t="shared" si="53"/>
        <v>45756.733333333003</v>
      </c>
      <c r="M851" s="16" cm="1">
        <f t="array" ref="M851">IFERROR(_xlfn.LET(
_xlpm.x,TRIM(C851),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1" s="16" t="b">
        <f t="shared" si="54"/>
        <v>0</v>
      </c>
    </row>
    <row r="852" spans="1:14" x14ac:dyDescent="0.25">
      <c r="A852" s="5" t="s">
        <v>71</v>
      </c>
      <c r="B852" s="16">
        <v>146</v>
      </c>
      <c r="C852" s="16" t="str">
        <v>Walker - WALK 746-747 - 747</v>
      </c>
      <c r="D852" s="6">
        <f>_xlfn.XLOOKUP(C852,'2023'!C:C,'2023'!A:A,"")</f>
        <v>45028.862500000003</v>
      </c>
      <c r="E852" s="6">
        <f>_xlfn.XLOOKUP(C852,'2023'!C:C,'2023'!B:B,"")</f>
        <v>45027.741666667003</v>
      </c>
      <c r="F852" s="19">
        <f t="shared" si="55"/>
        <v>45027.741666667003</v>
      </c>
      <c r="G852" s="6">
        <f>_xlfn.XLOOKUP(C852,'2024'!C:C,'2024'!A:A,"")</f>
        <v>45392.745833333</v>
      </c>
      <c r="H852" s="6">
        <f>_xlfn.XLOOKUP(C853,'2024'!C:C,'2024'!B:B,"")</f>
        <v>45391.724999999999</v>
      </c>
      <c r="I852" s="19">
        <f t="shared" si="52"/>
        <v>45391.724999999999</v>
      </c>
      <c r="J852" s="6">
        <f>_xlfn.XLOOKUP(C852,'2025'!C:C,'2025'!A:A,"")</f>
        <v>45756.845833332998</v>
      </c>
      <c r="K852" s="6">
        <f>_xlfn.XLOOKUP(C852,'2025'!C:C,'2025'!B:B,"")</f>
        <v>45756.733333333003</v>
      </c>
      <c r="L852" s="19">
        <f t="shared" si="53"/>
        <v>45756.733333333003</v>
      </c>
      <c r="M852" s="16" cm="1">
        <f t="array" ref="M852">IFERROR(_xlfn.LET(
_xlpm.x,TRIM(C852),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2" s="16" t="b">
        <f t="shared" si="54"/>
        <v>0</v>
      </c>
    </row>
    <row r="853" spans="1:14" x14ac:dyDescent="0.25">
      <c r="A853" s="5" t="s">
        <v>392</v>
      </c>
      <c r="B853" s="16">
        <v>146</v>
      </c>
      <c r="C853" s="16" t="str">
        <v>Walker - WALK 748-749 - 748</v>
      </c>
      <c r="D853" s="6">
        <f>_xlfn.XLOOKUP(C853,'2023'!C:C,'2023'!A:A,"")</f>
        <v>45028.729166666999</v>
      </c>
      <c r="E853" s="6">
        <f>_xlfn.XLOOKUP(C853,'2023'!C:C,'2023'!B:B,"")</f>
        <v>45027.722916667</v>
      </c>
      <c r="F853" s="19">
        <f t="shared" si="55"/>
        <v>45027.722916667</v>
      </c>
      <c r="G853" s="6">
        <f>_xlfn.XLOOKUP(C853,'2024'!C:C,'2024'!A:A,"")</f>
        <v>45391.775000000001</v>
      </c>
      <c r="H853" s="6">
        <f>_xlfn.XLOOKUP(C854,'2024'!C:C,'2024'!B:B,"")</f>
        <v>45393.824999999997</v>
      </c>
      <c r="I853" s="19">
        <f t="shared" si="52"/>
        <v>45391.775000000001</v>
      </c>
      <c r="J853" s="6">
        <f>_xlfn.XLOOKUP(C853,'2025'!C:C,'2025'!A:A,"")</f>
        <v>45756.737500000003</v>
      </c>
      <c r="K853" s="6">
        <f>_xlfn.XLOOKUP(C853,'2025'!C:C,'2025'!B:B,"")</f>
        <v>45756.737500000003</v>
      </c>
      <c r="L853" s="19">
        <f t="shared" si="53"/>
        <v>45756.737500000003</v>
      </c>
      <c r="M853" s="16" cm="1">
        <f t="array" ref="M853">IFERROR(_xlfn.LET(
_xlpm.x,TRIM(C853),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3" s="16" t="b">
        <f t="shared" si="54"/>
        <v>0</v>
      </c>
    </row>
    <row r="854" spans="1:14" x14ac:dyDescent="0.25">
      <c r="A854" s="5" t="s">
        <v>392</v>
      </c>
      <c r="B854" s="16">
        <v>146</v>
      </c>
      <c r="C854" s="16" t="str">
        <v>Walker - WALK 748-749 - 749</v>
      </c>
      <c r="D854" s="6">
        <f>_xlfn.XLOOKUP(C854,'2023'!C:C,'2023'!A:A,"")</f>
        <v>45028.777083333</v>
      </c>
      <c r="E854" s="6">
        <f>_xlfn.XLOOKUP(C854,'2023'!C:C,'2023'!B:B,"")</f>
        <v>45028.75</v>
      </c>
      <c r="F854" s="19">
        <f t="shared" si="55"/>
        <v>45028.75</v>
      </c>
      <c r="G854" s="6">
        <f>_xlfn.XLOOKUP(C854,'2024'!C:C,'2024'!A:A,"")</f>
        <v>45392.847916667</v>
      </c>
      <c r="H854" s="6">
        <f>_xlfn.XLOOKUP(C855,'2024'!C:C,'2024'!B:B,"")</f>
        <v>45391.708333333001</v>
      </c>
      <c r="I854" s="19">
        <f t="shared" si="52"/>
        <v>45391.708333333001</v>
      </c>
      <c r="J854" s="6">
        <f>_xlfn.XLOOKUP(C854,'2025'!C:C,'2025'!A:A,"")</f>
        <v>45756.766666666997</v>
      </c>
      <c r="K854" s="6">
        <f>_xlfn.XLOOKUP(C854,'2025'!C:C,'2025'!B:B,"")</f>
        <v>45756.737500000003</v>
      </c>
      <c r="L854" s="19">
        <f t="shared" si="53"/>
        <v>45756.737500000003</v>
      </c>
      <c r="M854" s="16" cm="1">
        <f t="array" ref="M854">IFERROR(_xlfn.LET(
_xlpm.x,TRIM(C854),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4" s="16" t="b">
        <f t="shared" si="54"/>
        <v>0</v>
      </c>
    </row>
    <row r="855" spans="1:14" x14ac:dyDescent="0.25">
      <c r="A855" s="5" t="s">
        <v>392</v>
      </c>
      <c r="B855" s="16">
        <v>145</v>
      </c>
      <c r="C855" s="16" t="str">
        <v>Walker - WALK 750-751 - 750</v>
      </c>
      <c r="D855" s="6">
        <f>_xlfn.XLOOKUP(C855,'2023'!C:C,'2023'!A:A,"")</f>
        <v>45027.789583332997</v>
      </c>
      <c r="E855" s="6">
        <f>_xlfn.XLOOKUP(C855,'2023'!C:C,'2023'!B:B,"")</f>
        <v>45028.712500000001</v>
      </c>
      <c r="F855" s="19">
        <f t="shared" si="55"/>
        <v>45027.789583332997</v>
      </c>
      <c r="G855" s="6">
        <f>_xlfn.XLOOKUP(C855,'2024'!C:C,'2024'!A:A,"")</f>
        <v>45392.764583333003</v>
      </c>
      <c r="H855" s="6">
        <f>_xlfn.XLOOKUP(C856,'2024'!C:C,'2024'!B:B,"")</f>
        <v>45391.708333333001</v>
      </c>
      <c r="I855" s="19">
        <f t="shared" si="52"/>
        <v>45391.708333333001</v>
      </c>
      <c r="J855" s="6">
        <f>_xlfn.XLOOKUP(C855,'2025'!C:C,'2025'!A:A,"")</f>
        <v>45756.829166666997</v>
      </c>
      <c r="K855" s="6">
        <f>_xlfn.XLOOKUP(C855,'2025'!C:C,'2025'!B:B,"")</f>
        <v>45756.733333333003</v>
      </c>
      <c r="L855" s="19">
        <f t="shared" si="53"/>
        <v>45756.733333333003</v>
      </c>
      <c r="M855" s="16" cm="1">
        <f t="array" ref="M855">IFERROR(_xlfn.LET(
_xlpm.x,TRIM(C855),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5" s="16" t="b">
        <f t="shared" si="54"/>
        <v>0</v>
      </c>
    </row>
    <row r="856" spans="1:14" x14ac:dyDescent="0.25">
      <c r="A856" s="5" t="s">
        <v>447</v>
      </c>
      <c r="B856" s="16">
        <v>146</v>
      </c>
      <c r="C856" s="16" t="str">
        <v>Walker - WALK 750-751 - 751</v>
      </c>
      <c r="D856" s="6">
        <f>_xlfn.XLOOKUP(C856,'2023'!C:C,'2023'!A:A,"")</f>
        <v>45028.762499999997</v>
      </c>
      <c r="E856" s="6">
        <f>_xlfn.XLOOKUP(C856,'2023'!C:C,'2023'!B:B,"")</f>
        <v>45027.779166667002</v>
      </c>
      <c r="F856" s="19">
        <f t="shared" si="55"/>
        <v>45027.779166667002</v>
      </c>
      <c r="G856" s="6">
        <f>_xlfn.XLOOKUP(C856,'2024'!C:C,'2024'!A:A,"")</f>
        <v>45392.741666667003</v>
      </c>
      <c r="H856" s="6">
        <f>_xlfn.XLOOKUP(C857,'2024'!C:C,'2024'!B:B,"")</f>
        <v>45393.762499999997</v>
      </c>
      <c r="I856" s="19">
        <f t="shared" si="52"/>
        <v>45392.741666667003</v>
      </c>
      <c r="J856" s="6">
        <f>_xlfn.XLOOKUP(C856,'2025'!C:C,'2025'!A:A,"")</f>
        <v>45756.733333333003</v>
      </c>
      <c r="K856" s="6">
        <f>_xlfn.XLOOKUP(C856,'2025'!C:C,'2025'!B:B,"")</f>
        <v>45756.733333333003</v>
      </c>
      <c r="L856" s="19">
        <f t="shared" si="53"/>
        <v>45756.733333333003</v>
      </c>
      <c r="M856" s="16" cm="1">
        <f t="array" ref="M856">IFERROR(_xlfn.LET(
_xlpm.x,TRIM(C856),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6" s="16" t="b">
        <f t="shared" si="54"/>
        <v>0</v>
      </c>
    </row>
    <row r="857" spans="1:14" x14ac:dyDescent="0.25">
      <c r="A857" s="5" t="s">
        <v>447</v>
      </c>
      <c r="B857" s="16">
        <v>146</v>
      </c>
      <c r="C857" s="16" t="str">
        <v>Walker - WALK 752-753 - 752</v>
      </c>
      <c r="D857" s="6">
        <f>_xlfn.XLOOKUP(C857,'2023'!C:C,'2023'!A:A,"")</f>
        <v>45028.733333333003</v>
      </c>
      <c r="E857" s="6">
        <f>_xlfn.XLOOKUP(C857,'2023'!C:C,'2023'!B:B,"")</f>
        <v>45028.852083332997</v>
      </c>
      <c r="F857" s="19">
        <f t="shared" si="55"/>
        <v>45028.733333333003</v>
      </c>
      <c r="G857" s="6">
        <f>_xlfn.XLOOKUP(C857,'2024'!C:C,'2024'!A:A,"")</f>
        <v>45392.747916667002</v>
      </c>
      <c r="H857" s="6">
        <f>_xlfn.XLOOKUP(C858,'2024'!C:C,'2024'!B:B,"")</f>
        <v>45392.720833332998</v>
      </c>
      <c r="I857" s="19">
        <f t="shared" si="52"/>
        <v>45392.720833332998</v>
      </c>
      <c r="J857" s="6">
        <f>_xlfn.XLOOKUP(C857,'2025'!C:C,'2025'!A:A,"")</f>
        <v>45756.737500000003</v>
      </c>
      <c r="K857" s="6">
        <f>_xlfn.XLOOKUP(C857,'2025'!C:C,'2025'!B:B,"")</f>
        <v>45756.737500000003</v>
      </c>
      <c r="L857" s="19">
        <f t="shared" si="53"/>
        <v>45756.737500000003</v>
      </c>
      <c r="M857" s="16" cm="1">
        <f t="array" ref="M857">IFERROR(_xlfn.LET(
_xlpm.x,TRIM(C857),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7" s="16" t="b">
        <f t="shared" si="54"/>
        <v>0</v>
      </c>
    </row>
    <row r="858" spans="1:14" x14ac:dyDescent="0.25">
      <c r="A858" s="5" t="s">
        <v>447</v>
      </c>
      <c r="B858" s="16">
        <v>146</v>
      </c>
      <c r="C858" s="16" t="str">
        <v>Walker - WALK 752-753 - 753</v>
      </c>
      <c r="D858" s="6">
        <f>_xlfn.XLOOKUP(C858,'2023'!C:C,'2023'!A:A,"")</f>
        <v>45028.75</v>
      </c>
      <c r="E858" s="6" t="str">
        <f>_xlfn.XLOOKUP(C858,'2023'!C:C,'2023'!B:B,"")</f>
        <v>No Selection Time Issued</v>
      </c>
      <c r="F858" s="19">
        <f t="shared" si="55"/>
        <v>45028.75</v>
      </c>
      <c r="G858" s="6">
        <f>_xlfn.XLOOKUP(C858,'2024'!C:C,'2024'!A:A,"")</f>
        <v>45392.777083333</v>
      </c>
      <c r="H858" s="6">
        <f>_xlfn.XLOOKUP(C859,'2024'!C:C,'2024'!B:B,"")</f>
        <v>45391.708333333001</v>
      </c>
      <c r="I858" s="19">
        <f t="shared" si="52"/>
        <v>45391.708333333001</v>
      </c>
      <c r="J858" s="6">
        <f>_xlfn.XLOOKUP(C858,'2025'!C:C,'2025'!A:A,"")</f>
        <v>45756.84375</v>
      </c>
      <c r="K858" s="6">
        <f>_xlfn.XLOOKUP(C858,'2025'!C:C,'2025'!B:B,"")</f>
        <v>45756.737500000003</v>
      </c>
      <c r="L858" s="19">
        <f t="shared" si="53"/>
        <v>45756.737500000003</v>
      </c>
      <c r="M858" s="16" cm="1">
        <f t="array" ref="M858">IFERROR(_xlfn.LET(
_xlpm.x,TRIM(C858),
_xlpm.dorm,TRIM(_xlfn.TEXTBEFORE(_xlpm.x," - ")),
_xlpm.room,TRIM(_xlfn.TEXTAFTER(_xlpm.x," - ",-1)),
_xlpm.occ,_xlfn.XLOOKUP(
1,
(TRIM('Room Capacity'!A:A)=_xlpm.dorm)*(TRIM('Room Capacity'!D:D&amp;"")=_xlpm.room),
'Room Capacity'!E:E,
""
),
VALUE(_xlfn.TEXTBEFORE(_xlpm.occ," "))
),"")</f>
        <v>1</v>
      </c>
      <c r="N858" s="16" t="b">
        <f t="shared" si="54"/>
        <v>0</v>
      </c>
    </row>
    <row r="859" spans="1:14" x14ac:dyDescent="0.25">
      <c r="A859" s="5" t="s">
        <v>697</v>
      </c>
      <c r="B859" s="14"/>
      <c r="C859" s="5"/>
      <c r="D859" s="4"/>
      <c r="E859" s="13"/>
      <c r="F859" s="15"/>
      <c r="G859" s="13"/>
      <c r="H859" s="13"/>
      <c r="I859" s="14"/>
      <c r="J859" s="13"/>
      <c r="K859" s="13"/>
      <c r="L859" s="14"/>
      <c r="M859" s="14"/>
      <c r="N859" s="14"/>
    </row>
    <row r="860" spans="1:14" x14ac:dyDescent="0.25">
      <c r="A860" s="5" t="s">
        <v>697</v>
      </c>
      <c r="B860" s="12"/>
      <c r="C860" s="13"/>
      <c r="D860" s="4"/>
      <c r="E860" s="13"/>
      <c r="F860" s="10"/>
      <c r="G860" s="13"/>
      <c r="H860" s="13"/>
      <c r="I860" s="12"/>
      <c r="J860" s="13"/>
      <c r="K860" s="13"/>
      <c r="L860" s="12"/>
    </row>
    <row r="861" spans="1:14" x14ac:dyDescent="0.25">
      <c r="A861" s="5" t="s">
        <v>697</v>
      </c>
      <c r="B861" s="12"/>
      <c r="C861" s="5"/>
      <c r="D861" s="4"/>
      <c r="E861" s="13"/>
      <c r="F861" s="10"/>
      <c r="G861" s="13"/>
      <c r="H861" s="13"/>
      <c r="I861" s="12"/>
      <c r="J861" s="13"/>
      <c r="K861" s="13"/>
      <c r="L861" s="12"/>
    </row>
    <row r="862" spans="1:14" x14ac:dyDescent="0.25">
      <c r="A862" s="5" t="s">
        <v>104</v>
      </c>
      <c r="B862" s="12"/>
      <c r="C862" s="5"/>
      <c r="D862" s="4"/>
      <c r="E862" s="13"/>
      <c r="F862" s="10"/>
      <c r="G862" s="13"/>
      <c r="H862" s="13"/>
      <c r="I862" s="12"/>
      <c r="J862" s="13"/>
      <c r="K862" s="13"/>
      <c r="L862" s="12"/>
    </row>
    <row r="863" spans="1:14" x14ac:dyDescent="0.25">
      <c r="A863" s="5" t="s">
        <v>104</v>
      </c>
      <c r="B863" s="12"/>
      <c r="C863" s="5"/>
      <c r="D863" s="4"/>
      <c r="E863" s="13"/>
      <c r="F863" s="10"/>
      <c r="G863" s="13"/>
      <c r="H863" s="13"/>
      <c r="I863" s="12"/>
      <c r="J863" s="13"/>
      <c r="K863" s="13"/>
      <c r="L863" s="12"/>
    </row>
    <row r="864" spans="1:14" x14ac:dyDescent="0.25">
      <c r="A864" s="5" t="s">
        <v>104</v>
      </c>
      <c r="B864" s="12"/>
      <c r="C864" s="5"/>
      <c r="D864" s="4"/>
      <c r="E864" s="13"/>
      <c r="F864" s="10"/>
      <c r="G864" s="13"/>
      <c r="H864" s="13"/>
      <c r="I864" s="12"/>
      <c r="J864" s="13"/>
      <c r="K864" s="13"/>
      <c r="L864" s="12"/>
    </row>
    <row r="865" spans="1:12" x14ac:dyDescent="0.25">
      <c r="A865" s="5" t="s">
        <v>186</v>
      </c>
      <c r="B865" s="12"/>
      <c r="C865" s="5"/>
      <c r="D865" s="4"/>
      <c r="E865" s="13"/>
      <c r="F865" s="10"/>
      <c r="G865" s="13"/>
      <c r="H865" s="13"/>
      <c r="I865" s="12"/>
      <c r="J865" s="13"/>
      <c r="K865" s="13"/>
      <c r="L865" s="12"/>
    </row>
    <row r="866" spans="1:12" x14ac:dyDescent="0.25">
      <c r="A866" s="5" t="s">
        <v>186</v>
      </c>
      <c r="B866" s="12"/>
      <c r="C866" s="5"/>
      <c r="D866" s="4"/>
      <c r="E866" s="13"/>
      <c r="F866" s="10"/>
      <c r="G866" s="13"/>
      <c r="H866" s="13"/>
      <c r="I866" s="12"/>
      <c r="J866" s="13"/>
      <c r="K866" s="13"/>
      <c r="L866" s="12"/>
    </row>
    <row r="867" spans="1:12" x14ac:dyDescent="0.25">
      <c r="A867" s="5" t="s">
        <v>186</v>
      </c>
      <c r="B867" s="12"/>
      <c r="C867" s="5"/>
      <c r="D867" s="4"/>
      <c r="E867" s="13"/>
      <c r="F867" s="10"/>
      <c r="G867" s="13"/>
      <c r="H867" s="13"/>
      <c r="I867" s="12"/>
      <c r="J867" s="13"/>
      <c r="K867" s="13"/>
      <c r="L867" s="12"/>
    </row>
    <row r="868" spans="1:12" x14ac:dyDescent="0.25">
      <c r="A868" s="5" t="s">
        <v>779</v>
      </c>
      <c r="B868" s="12"/>
      <c r="C868" s="5"/>
      <c r="D868" s="4"/>
      <c r="E868" s="13"/>
      <c r="F868" s="10"/>
      <c r="G868" s="13"/>
      <c r="H868" s="13"/>
      <c r="I868" s="12"/>
      <c r="J868" s="13"/>
      <c r="K868" s="13"/>
      <c r="L868" s="12"/>
    </row>
    <row r="869" spans="1:12" x14ac:dyDescent="0.25">
      <c r="A869" s="5" t="s">
        <v>779</v>
      </c>
      <c r="B869" s="12"/>
      <c r="C869" s="5"/>
      <c r="D869" s="4"/>
      <c r="E869" s="13"/>
      <c r="F869" s="10"/>
      <c r="G869" s="13"/>
      <c r="H869" s="13"/>
      <c r="I869" s="12"/>
      <c r="J869" s="13"/>
      <c r="K869" s="13"/>
      <c r="L869" s="12"/>
    </row>
    <row r="870" spans="1:12" x14ac:dyDescent="0.25">
      <c r="A870" s="5" t="s">
        <v>743</v>
      </c>
      <c r="B870" s="12"/>
      <c r="C870" s="5"/>
      <c r="D870" s="4"/>
      <c r="E870" s="13"/>
      <c r="F870" s="10"/>
      <c r="G870" s="13"/>
      <c r="H870" s="13"/>
      <c r="I870" s="12"/>
      <c r="J870" s="13"/>
      <c r="K870" s="13"/>
      <c r="L870" s="12"/>
    </row>
    <row r="871" spans="1:12" x14ac:dyDescent="0.25">
      <c r="A871" s="5" t="s">
        <v>743</v>
      </c>
      <c r="B871" s="12"/>
      <c r="C871" s="5"/>
      <c r="D871" s="4"/>
      <c r="E871" s="13"/>
      <c r="F871" s="10"/>
      <c r="G871" s="13"/>
      <c r="H871" s="13"/>
      <c r="I871" s="12"/>
      <c r="J871" s="13"/>
      <c r="K871" s="13"/>
      <c r="L871" s="12"/>
    </row>
    <row r="872" spans="1:12" x14ac:dyDescent="0.25">
      <c r="A872" s="5" t="s">
        <v>757</v>
      </c>
      <c r="B872" s="12"/>
      <c r="C872" s="5"/>
      <c r="D872" s="4"/>
      <c r="E872" s="13"/>
      <c r="F872" s="10"/>
      <c r="G872" s="13"/>
      <c r="H872" s="13"/>
      <c r="I872" s="12"/>
      <c r="J872" s="13"/>
      <c r="K872" s="13"/>
      <c r="L872" s="12"/>
    </row>
    <row r="873" spans="1:12" x14ac:dyDescent="0.25">
      <c r="A873" s="5" t="s">
        <v>757</v>
      </c>
      <c r="B873" s="12"/>
      <c r="C873" s="5"/>
      <c r="D873" s="4"/>
      <c r="E873" s="13"/>
      <c r="F873" s="10"/>
      <c r="G873" s="13"/>
      <c r="H873" s="13"/>
      <c r="I873" s="12"/>
      <c r="J873" s="13"/>
      <c r="K873" s="13"/>
      <c r="L873" s="12"/>
    </row>
    <row r="874" spans="1:12" x14ac:dyDescent="0.25">
      <c r="A874" s="5" t="s">
        <v>751</v>
      </c>
      <c r="B874" s="12"/>
      <c r="C874" s="5"/>
      <c r="D874" s="4"/>
      <c r="E874" s="13"/>
      <c r="F874" s="10"/>
      <c r="G874" s="13"/>
      <c r="H874" s="13"/>
      <c r="I874" s="12"/>
      <c r="J874" s="13"/>
      <c r="K874" s="13"/>
      <c r="L874" s="12"/>
    </row>
    <row r="875" spans="1:12" x14ac:dyDescent="0.25">
      <c r="A875" s="5" t="s">
        <v>751</v>
      </c>
      <c r="B875" s="12"/>
      <c r="C875" s="5"/>
      <c r="D875" s="4"/>
      <c r="E875" s="13"/>
      <c r="F875" s="10"/>
      <c r="G875" s="13"/>
      <c r="H875" s="13"/>
      <c r="I875" s="12"/>
      <c r="J875" s="13"/>
      <c r="K875" s="13"/>
      <c r="L875" s="12"/>
    </row>
    <row r="876" spans="1:12" x14ac:dyDescent="0.25">
      <c r="A876" s="5" t="s">
        <v>31</v>
      </c>
      <c r="B876" s="12"/>
      <c r="C876" s="5"/>
      <c r="D876" s="4"/>
      <c r="E876" s="13"/>
      <c r="F876" s="10"/>
      <c r="G876" s="13"/>
      <c r="H876" s="13"/>
      <c r="I876" s="12"/>
      <c r="J876" s="13"/>
      <c r="K876" s="13"/>
      <c r="L876" s="12"/>
    </row>
    <row r="877" spans="1:12" x14ac:dyDescent="0.25">
      <c r="A877" s="5" t="s">
        <v>31</v>
      </c>
      <c r="B877" s="12"/>
      <c r="C877" s="5"/>
      <c r="D877" s="4"/>
      <c r="E877" s="13"/>
      <c r="F877" s="10"/>
      <c r="G877" s="13"/>
      <c r="H877" s="13"/>
      <c r="I877" s="12"/>
      <c r="J877" s="13"/>
      <c r="K877" s="13"/>
      <c r="L877" s="12"/>
    </row>
    <row r="878" spans="1:12" x14ac:dyDescent="0.25">
      <c r="A878" s="5" t="s">
        <v>31</v>
      </c>
      <c r="B878" s="12"/>
      <c r="C878" s="5"/>
      <c r="D878" s="4"/>
      <c r="E878" s="13"/>
      <c r="F878" s="10"/>
      <c r="G878" s="13"/>
      <c r="H878" s="13"/>
      <c r="I878" s="12"/>
      <c r="J878" s="13"/>
      <c r="K878" s="13"/>
      <c r="L878" s="12"/>
    </row>
    <row r="879" spans="1:12" x14ac:dyDescent="0.25">
      <c r="A879" s="5" t="s">
        <v>326</v>
      </c>
      <c r="B879" s="12"/>
      <c r="C879" s="5"/>
      <c r="D879" s="4"/>
      <c r="E879" s="13"/>
      <c r="F879" s="10"/>
      <c r="G879" s="13"/>
      <c r="H879" s="13"/>
      <c r="I879" s="12"/>
      <c r="J879" s="13"/>
      <c r="K879" s="13"/>
      <c r="L879" s="12"/>
    </row>
    <row r="880" spans="1:12" x14ac:dyDescent="0.25">
      <c r="A880" s="5" t="s">
        <v>326</v>
      </c>
      <c r="B880" s="12"/>
      <c r="C880" s="5"/>
      <c r="D880" s="4"/>
      <c r="E880" s="13"/>
      <c r="F880" s="10"/>
      <c r="G880" s="13"/>
      <c r="H880" s="13"/>
      <c r="I880" s="12"/>
      <c r="J880" s="13"/>
      <c r="K880" s="13"/>
      <c r="L880" s="12"/>
    </row>
    <row r="881" spans="1:12" x14ac:dyDescent="0.25">
      <c r="A881" s="5" t="s">
        <v>326</v>
      </c>
      <c r="B881" s="12"/>
      <c r="C881" s="5"/>
      <c r="D881" s="4"/>
      <c r="E881" s="13"/>
      <c r="F881" s="10"/>
      <c r="G881" s="13"/>
      <c r="H881" s="13"/>
      <c r="I881" s="12"/>
      <c r="J881" s="13"/>
      <c r="K881" s="13"/>
      <c r="L881" s="12"/>
    </row>
    <row r="882" spans="1:12" x14ac:dyDescent="0.25">
      <c r="A882" s="5" t="s">
        <v>103</v>
      </c>
      <c r="B882" s="12"/>
      <c r="C882" s="5"/>
      <c r="D882" s="4"/>
      <c r="E882" s="13"/>
      <c r="F882" s="10"/>
      <c r="G882" s="13"/>
      <c r="H882" s="13"/>
      <c r="I882" s="12"/>
      <c r="J882" s="13"/>
      <c r="K882" s="13"/>
      <c r="L882" s="12"/>
    </row>
    <row r="883" spans="1:12" x14ac:dyDescent="0.25">
      <c r="A883" s="5" t="s">
        <v>103</v>
      </c>
      <c r="B883" s="12"/>
      <c r="C883" s="5"/>
      <c r="D883" s="4"/>
      <c r="E883" s="13"/>
      <c r="F883" s="10"/>
      <c r="G883" s="13"/>
      <c r="H883" s="13"/>
      <c r="I883" s="12"/>
      <c r="J883" s="13"/>
      <c r="K883" s="13"/>
      <c r="L883" s="12"/>
    </row>
    <row r="884" spans="1:12" x14ac:dyDescent="0.25">
      <c r="A884" s="5" t="s">
        <v>103</v>
      </c>
      <c r="B884" s="12"/>
      <c r="C884" s="5"/>
      <c r="D884" s="4"/>
      <c r="E884" s="13"/>
      <c r="F884" s="10"/>
      <c r="G884" s="13"/>
      <c r="H884" s="13"/>
      <c r="I884" s="12"/>
      <c r="J884" s="13"/>
      <c r="K884" s="13"/>
      <c r="L884" s="12"/>
    </row>
    <row r="885" spans="1:12" x14ac:dyDescent="0.25">
      <c r="A885" s="5" t="s">
        <v>154</v>
      </c>
      <c r="B885" s="12"/>
      <c r="C885" s="5"/>
      <c r="D885" s="4"/>
      <c r="E885" s="13"/>
      <c r="F885" s="10"/>
      <c r="G885" s="13"/>
      <c r="H885" s="13"/>
      <c r="I885" s="12"/>
      <c r="J885" s="13"/>
      <c r="K885" s="13"/>
      <c r="L885" s="12"/>
    </row>
    <row r="886" spans="1:12" x14ac:dyDescent="0.25">
      <c r="A886" s="5" t="s">
        <v>154</v>
      </c>
      <c r="B886" s="12"/>
      <c r="C886" s="5"/>
      <c r="D886" s="4"/>
      <c r="E886" s="13"/>
      <c r="F886" s="10"/>
      <c r="G886" s="13"/>
      <c r="H886" s="13"/>
      <c r="I886" s="12"/>
      <c r="J886" s="13"/>
      <c r="K886" s="13"/>
      <c r="L886" s="12"/>
    </row>
    <row r="887" spans="1:12" x14ac:dyDescent="0.25">
      <c r="A887" s="5" t="s">
        <v>154</v>
      </c>
      <c r="B887" s="12"/>
      <c r="C887" s="5"/>
      <c r="D887" s="4"/>
      <c r="E887" s="13"/>
      <c r="F887" s="10"/>
      <c r="G887" s="13"/>
      <c r="H887" s="13"/>
      <c r="I887" s="12"/>
      <c r="J887" s="13"/>
      <c r="K887" s="13"/>
      <c r="L887" s="12"/>
    </row>
    <row r="888" spans="1:12" x14ac:dyDescent="0.25">
      <c r="A888" s="5" t="s">
        <v>485</v>
      </c>
      <c r="B888" s="12"/>
      <c r="C888" s="5"/>
      <c r="D888" s="4"/>
      <c r="E888" s="13"/>
      <c r="F888" s="10"/>
      <c r="G888" s="13"/>
      <c r="H888" s="13"/>
      <c r="I888" s="12"/>
      <c r="J888" s="13"/>
      <c r="K888" s="13"/>
      <c r="L888" s="12"/>
    </row>
    <row r="889" spans="1:12" x14ac:dyDescent="0.25">
      <c r="A889" s="5" t="s">
        <v>485</v>
      </c>
      <c r="B889" s="12"/>
      <c r="C889" s="5"/>
      <c r="D889" s="4"/>
      <c r="E889" s="13"/>
      <c r="F889" s="10"/>
      <c r="G889" s="13"/>
      <c r="H889" s="13"/>
      <c r="I889" s="12"/>
      <c r="J889" s="13"/>
      <c r="K889" s="13"/>
      <c r="L889" s="12"/>
    </row>
    <row r="890" spans="1:12" x14ac:dyDescent="0.25">
      <c r="A890" s="5" t="s">
        <v>485</v>
      </c>
      <c r="B890" s="12"/>
      <c r="C890" s="5"/>
      <c r="D890" s="4"/>
      <c r="E890" s="13"/>
      <c r="F890" s="10"/>
      <c r="G890" s="13"/>
      <c r="H890" s="13"/>
      <c r="I890" s="12"/>
      <c r="J890" s="13"/>
      <c r="K890" s="13"/>
      <c r="L890" s="12"/>
    </row>
    <row r="891" spans="1:12" x14ac:dyDescent="0.25">
      <c r="A891" s="5" t="s">
        <v>413</v>
      </c>
      <c r="B891" s="12"/>
      <c r="C891" s="5"/>
      <c r="D891" s="4"/>
      <c r="E891" s="13"/>
      <c r="F891" s="10"/>
      <c r="G891" s="13"/>
      <c r="H891" s="13"/>
      <c r="I891" s="12"/>
      <c r="J891" s="13"/>
      <c r="K891" s="13"/>
      <c r="L891" s="12"/>
    </row>
    <row r="892" spans="1:12" x14ac:dyDescent="0.25">
      <c r="A892" s="5" t="s">
        <v>413</v>
      </c>
      <c r="B892" s="12"/>
      <c r="C892" s="5"/>
      <c r="D892" s="4"/>
      <c r="E892" s="13"/>
      <c r="F892" s="10"/>
      <c r="G892" s="13"/>
      <c r="H892" s="13"/>
      <c r="I892" s="12"/>
      <c r="J892" s="13"/>
      <c r="K892" s="13"/>
      <c r="L892" s="12"/>
    </row>
    <row r="893" spans="1:12" x14ac:dyDescent="0.25">
      <c r="A893" s="5" t="s">
        <v>413</v>
      </c>
      <c r="B893" s="12"/>
      <c r="C893" s="5"/>
      <c r="D893" s="4"/>
      <c r="E893" s="13"/>
      <c r="F893" s="10"/>
      <c r="G893" s="13"/>
      <c r="H893" s="13"/>
      <c r="I893" s="12"/>
      <c r="J893" s="13"/>
      <c r="K893" s="13"/>
      <c r="L893" s="12"/>
    </row>
    <row r="894" spans="1:12" x14ac:dyDescent="0.25">
      <c r="A894" s="5" t="s">
        <v>540</v>
      </c>
      <c r="B894" s="12"/>
      <c r="C894" s="5"/>
      <c r="D894" s="4"/>
      <c r="E894" s="13"/>
      <c r="F894" s="10"/>
      <c r="G894" s="13"/>
      <c r="H894" s="13"/>
      <c r="I894" s="12"/>
      <c r="J894" s="13"/>
      <c r="K894" s="13"/>
      <c r="L894" s="12"/>
    </row>
    <row r="895" spans="1:12" x14ac:dyDescent="0.25">
      <c r="A895" s="5" t="s">
        <v>540</v>
      </c>
      <c r="B895" s="12"/>
      <c r="C895" s="5"/>
      <c r="D895" s="4"/>
      <c r="E895" s="13"/>
      <c r="F895" s="10"/>
      <c r="G895" s="13"/>
      <c r="H895" s="13"/>
      <c r="I895" s="12"/>
      <c r="J895" s="13"/>
      <c r="K895" s="13"/>
      <c r="L895" s="12"/>
    </row>
    <row r="896" spans="1:12" x14ac:dyDescent="0.25">
      <c r="A896" s="5" t="s">
        <v>540</v>
      </c>
      <c r="B896" s="12"/>
      <c r="C896" s="5"/>
      <c r="D896" s="4"/>
      <c r="E896" s="13"/>
      <c r="F896" s="10"/>
      <c r="G896" s="13"/>
      <c r="H896" s="13"/>
      <c r="I896" s="12"/>
      <c r="J896" s="13"/>
      <c r="K896" s="13"/>
      <c r="L896" s="12"/>
    </row>
    <row r="897" spans="1:12" x14ac:dyDescent="0.25">
      <c r="A897" s="5" t="s">
        <v>75</v>
      </c>
      <c r="B897" s="12"/>
      <c r="C897" s="5"/>
      <c r="D897" s="4"/>
      <c r="E897" s="13"/>
      <c r="F897" s="10"/>
      <c r="G897" s="13"/>
      <c r="H897" s="13"/>
      <c r="I897" s="12"/>
      <c r="J897" s="13"/>
      <c r="K897" s="13"/>
      <c r="L897" s="12"/>
    </row>
    <row r="898" spans="1:12" x14ac:dyDescent="0.25">
      <c r="A898" s="5" t="s">
        <v>75</v>
      </c>
      <c r="B898" s="12"/>
      <c r="C898" s="5"/>
      <c r="D898" s="4"/>
      <c r="E898" s="13"/>
      <c r="F898" s="10"/>
      <c r="G898" s="13"/>
      <c r="H898" s="13"/>
      <c r="I898" s="12"/>
      <c r="J898" s="13"/>
      <c r="K898" s="13"/>
      <c r="L898" s="12"/>
    </row>
    <row r="899" spans="1:12" x14ac:dyDescent="0.25">
      <c r="A899" s="5" t="s">
        <v>75</v>
      </c>
      <c r="B899" s="12"/>
      <c r="C899" s="5"/>
      <c r="D899" s="4"/>
      <c r="E899" s="13"/>
      <c r="F899" s="10"/>
      <c r="G899" s="13"/>
      <c r="H899" s="13"/>
      <c r="I899" s="12"/>
      <c r="J899" s="13"/>
      <c r="K899" s="13"/>
      <c r="L899" s="12"/>
    </row>
    <row r="900" spans="1:12" x14ac:dyDescent="0.25">
      <c r="A900" s="5" t="s">
        <v>675</v>
      </c>
      <c r="B900" s="12"/>
      <c r="C900" s="5"/>
      <c r="D900" s="4"/>
      <c r="E900" s="13"/>
      <c r="F900" s="10"/>
      <c r="G900" s="13"/>
      <c r="H900" s="13"/>
      <c r="I900" s="12"/>
      <c r="J900" s="13"/>
      <c r="K900" s="13"/>
      <c r="L900" s="12"/>
    </row>
    <row r="901" spans="1:12" x14ac:dyDescent="0.25">
      <c r="A901" s="5" t="s">
        <v>675</v>
      </c>
      <c r="B901" s="12"/>
      <c r="C901" s="5"/>
      <c r="D901" s="4"/>
      <c r="E901" s="13"/>
      <c r="F901" s="10"/>
      <c r="G901" s="13"/>
      <c r="H901" s="13"/>
      <c r="I901" s="12"/>
      <c r="J901" s="13"/>
      <c r="K901" s="13"/>
      <c r="L901" s="12"/>
    </row>
    <row r="902" spans="1:12" x14ac:dyDescent="0.25">
      <c r="A902" s="5" t="s">
        <v>675</v>
      </c>
      <c r="B902" s="12"/>
      <c r="C902" s="5"/>
      <c r="D902" s="4"/>
      <c r="E902" s="13"/>
      <c r="F902" s="10"/>
      <c r="G902" s="13"/>
      <c r="H902" s="13"/>
      <c r="I902" s="12"/>
      <c r="J902" s="13"/>
      <c r="K902" s="13"/>
      <c r="L902" s="12"/>
    </row>
    <row r="903" spans="1:12" x14ac:dyDescent="0.25">
      <c r="A903" s="5" t="s">
        <v>240</v>
      </c>
      <c r="B903" s="12"/>
      <c r="C903" s="5"/>
      <c r="D903" s="4"/>
      <c r="E903" s="13"/>
      <c r="F903" s="10"/>
      <c r="G903" s="13"/>
      <c r="H903" s="13"/>
      <c r="I903" s="12"/>
      <c r="J903" s="13"/>
      <c r="K903" s="13"/>
      <c r="L903" s="12"/>
    </row>
    <row r="904" spans="1:12" x14ac:dyDescent="0.25">
      <c r="A904" s="5" t="s">
        <v>240</v>
      </c>
      <c r="B904" s="12"/>
      <c r="C904" s="5"/>
      <c r="D904" s="4"/>
      <c r="E904" s="13"/>
      <c r="F904" s="10"/>
      <c r="G904" s="13"/>
      <c r="H904" s="13"/>
      <c r="I904" s="12"/>
      <c r="J904" s="13"/>
      <c r="K904" s="13"/>
      <c r="L904" s="12"/>
    </row>
    <row r="905" spans="1:12" x14ac:dyDescent="0.25">
      <c r="A905" s="5" t="s">
        <v>240</v>
      </c>
      <c r="B905" s="12"/>
      <c r="C905" s="5"/>
      <c r="D905" s="4"/>
      <c r="E905" s="13"/>
      <c r="F905" s="10"/>
      <c r="G905" s="13"/>
      <c r="H905" s="13"/>
      <c r="I905" s="12"/>
      <c r="J905" s="13"/>
      <c r="K905" s="13"/>
      <c r="L905" s="12"/>
    </row>
    <row r="906" spans="1:12" x14ac:dyDescent="0.25">
      <c r="A906" s="5" t="s">
        <v>409</v>
      </c>
      <c r="B906" s="12"/>
      <c r="C906" s="5"/>
      <c r="D906" s="4"/>
      <c r="E906" s="13"/>
      <c r="F906" s="10"/>
      <c r="G906" s="13"/>
      <c r="H906" s="13"/>
      <c r="I906" s="12"/>
      <c r="J906" s="13"/>
      <c r="K906" s="13"/>
      <c r="L906" s="12"/>
    </row>
    <row r="907" spans="1:12" x14ac:dyDescent="0.25">
      <c r="A907" s="5" t="s">
        <v>409</v>
      </c>
      <c r="B907" s="12"/>
      <c r="C907" s="5"/>
      <c r="D907" s="4"/>
      <c r="E907" s="13"/>
      <c r="F907" s="10"/>
      <c r="G907" s="13"/>
      <c r="H907" s="13"/>
      <c r="I907" s="12"/>
      <c r="J907" s="13"/>
      <c r="K907" s="13"/>
      <c r="L907" s="12"/>
    </row>
    <row r="908" spans="1:12" x14ac:dyDescent="0.25">
      <c r="A908" s="5" t="s">
        <v>409</v>
      </c>
      <c r="B908" s="12"/>
      <c r="C908" s="5"/>
      <c r="D908" s="4"/>
      <c r="E908" s="13"/>
      <c r="F908" s="10"/>
      <c r="G908" s="13"/>
      <c r="H908" s="13"/>
      <c r="I908" s="12"/>
      <c r="J908" s="13"/>
      <c r="K908" s="13"/>
      <c r="L908" s="12"/>
    </row>
    <row r="909" spans="1:12" x14ac:dyDescent="0.25">
      <c r="A909" s="5" t="s">
        <v>17</v>
      </c>
      <c r="B909" s="12"/>
      <c r="C909" s="5"/>
      <c r="D909" s="4"/>
      <c r="E909" s="13"/>
      <c r="F909" s="10"/>
      <c r="G909" s="13"/>
      <c r="H909" s="13"/>
      <c r="I909" s="12"/>
      <c r="J909" s="13"/>
      <c r="K909" s="13"/>
      <c r="L909" s="12"/>
    </row>
    <row r="910" spans="1:12" x14ac:dyDescent="0.25">
      <c r="A910" s="5" t="s">
        <v>17</v>
      </c>
      <c r="B910" s="12"/>
      <c r="C910" s="5"/>
      <c r="D910" s="4"/>
      <c r="E910" s="13"/>
      <c r="F910" s="10"/>
      <c r="G910" s="13"/>
      <c r="H910" s="13"/>
      <c r="I910" s="12"/>
      <c r="J910" s="13"/>
      <c r="K910" s="13"/>
      <c r="L910" s="12"/>
    </row>
    <row r="911" spans="1:12" x14ac:dyDescent="0.25">
      <c r="A911" s="5" t="s">
        <v>17</v>
      </c>
      <c r="B911" s="12"/>
      <c r="C911" s="5"/>
      <c r="D911" s="4"/>
      <c r="E911" s="13"/>
      <c r="F911" s="10"/>
      <c r="G911" s="13"/>
      <c r="H911" s="13"/>
      <c r="I911" s="12"/>
      <c r="J911" s="13"/>
      <c r="K911" s="13"/>
      <c r="L911" s="12"/>
    </row>
    <row r="912" spans="1:12" x14ac:dyDescent="0.25">
      <c r="A912" s="5" t="s">
        <v>551</v>
      </c>
      <c r="B912" s="12"/>
      <c r="C912" s="5"/>
      <c r="D912" s="4"/>
      <c r="E912" s="13"/>
      <c r="F912" s="10"/>
      <c r="G912" s="13"/>
      <c r="H912" s="13"/>
      <c r="I912" s="12"/>
      <c r="J912" s="13"/>
      <c r="K912" s="13"/>
      <c r="L912" s="12"/>
    </row>
    <row r="913" spans="1:12" x14ac:dyDescent="0.25">
      <c r="A913" s="5" t="s">
        <v>551</v>
      </c>
      <c r="B913" s="12"/>
      <c r="C913" s="5"/>
      <c r="D913" s="4"/>
      <c r="E913" s="13"/>
      <c r="F913" s="10"/>
      <c r="G913" s="13"/>
      <c r="H913" s="13"/>
      <c r="I913" s="12"/>
      <c r="J913" s="13"/>
      <c r="K913" s="13"/>
      <c r="L913" s="12"/>
    </row>
    <row r="914" spans="1:12" x14ac:dyDescent="0.25">
      <c r="A914" s="5" t="s">
        <v>551</v>
      </c>
      <c r="B914" s="12"/>
      <c r="C914" s="5"/>
      <c r="D914" s="4"/>
      <c r="E914" s="13"/>
      <c r="F914" s="10"/>
      <c r="G914" s="13"/>
      <c r="H914" s="13"/>
      <c r="I914" s="12"/>
      <c r="J914" s="13"/>
      <c r="K914" s="13"/>
      <c r="L914" s="12"/>
    </row>
    <row r="915" spans="1:12" x14ac:dyDescent="0.25">
      <c r="A915" s="5" t="s">
        <v>599</v>
      </c>
      <c r="B915" s="12"/>
      <c r="C915" s="5"/>
      <c r="D915" s="4"/>
      <c r="E915" s="13"/>
      <c r="F915" s="10"/>
      <c r="G915" s="13"/>
      <c r="H915" s="13"/>
      <c r="I915" s="12"/>
      <c r="J915" s="13"/>
      <c r="K915" s="13"/>
      <c r="L915" s="12"/>
    </row>
    <row r="916" spans="1:12" x14ac:dyDescent="0.25">
      <c r="A916" s="5" t="s">
        <v>599</v>
      </c>
      <c r="B916" s="12"/>
      <c r="C916" s="5"/>
      <c r="D916" s="4"/>
      <c r="E916" s="13"/>
      <c r="F916" s="10"/>
      <c r="G916" s="13"/>
      <c r="H916" s="13"/>
      <c r="I916" s="12"/>
      <c r="J916" s="13"/>
      <c r="K916" s="13"/>
      <c r="L916" s="12"/>
    </row>
    <row r="917" spans="1:12" x14ac:dyDescent="0.25">
      <c r="A917" s="5" t="s">
        <v>599</v>
      </c>
      <c r="B917" s="12"/>
      <c r="C917" s="5"/>
      <c r="D917" s="4"/>
      <c r="E917" s="13"/>
      <c r="F917" s="10"/>
      <c r="G917" s="13"/>
      <c r="H917" s="13"/>
      <c r="I917" s="12"/>
      <c r="J917" s="13"/>
      <c r="K917" s="13"/>
      <c r="L917" s="12"/>
    </row>
    <row r="918" spans="1:12" x14ac:dyDescent="0.25">
      <c r="A918" s="5" t="s">
        <v>456</v>
      </c>
      <c r="B918" s="12"/>
      <c r="C918" s="5"/>
      <c r="D918" s="4"/>
      <c r="E918" s="13"/>
      <c r="F918" s="10"/>
      <c r="G918" s="13"/>
      <c r="H918" s="13"/>
      <c r="I918" s="12"/>
      <c r="J918" s="13"/>
      <c r="K918" s="13"/>
      <c r="L918" s="12"/>
    </row>
    <row r="919" spans="1:12" x14ac:dyDescent="0.25">
      <c r="A919" s="5" t="s">
        <v>456</v>
      </c>
      <c r="B919" s="12"/>
      <c r="C919" s="5"/>
      <c r="D919" s="4"/>
      <c r="E919" s="13"/>
      <c r="F919" s="10"/>
      <c r="G919" s="13"/>
      <c r="H919" s="13"/>
      <c r="I919" s="12"/>
      <c r="J919" s="13"/>
      <c r="K919" s="13"/>
      <c r="L919" s="12"/>
    </row>
    <row r="920" spans="1:12" x14ac:dyDescent="0.25">
      <c r="A920" s="5" t="s">
        <v>456</v>
      </c>
      <c r="B920" s="12"/>
      <c r="C920" s="5"/>
      <c r="D920" s="4"/>
      <c r="E920" s="13"/>
      <c r="F920" s="10"/>
      <c r="G920" s="13"/>
      <c r="H920" s="13"/>
      <c r="I920" s="12"/>
      <c r="J920" s="13"/>
      <c r="K920" s="13"/>
      <c r="L920" s="12"/>
    </row>
    <row r="921" spans="1:12" x14ac:dyDescent="0.25">
      <c r="A921" s="5" t="s">
        <v>9</v>
      </c>
      <c r="B921" s="12"/>
      <c r="C921" s="5"/>
      <c r="D921" s="4"/>
      <c r="E921" s="13"/>
      <c r="F921" s="10"/>
      <c r="G921" s="13"/>
      <c r="H921" s="13"/>
      <c r="I921" s="12"/>
      <c r="J921" s="13"/>
      <c r="K921" s="13"/>
      <c r="L921" s="12"/>
    </row>
    <row r="922" spans="1:12" x14ac:dyDescent="0.25">
      <c r="A922" s="5" t="s">
        <v>9</v>
      </c>
      <c r="B922" s="12"/>
      <c r="C922" s="5"/>
      <c r="D922" s="4"/>
      <c r="E922" s="13"/>
      <c r="F922" s="10"/>
      <c r="G922" s="13"/>
      <c r="H922" s="13"/>
      <c r="I922" s="12"/>
      <c r="J922" s="13"/>
      <c r="K922" s="13"/>
      <c r="L922" s="12"/>
    </row>
    <row r="923" spans="1:12" x14ac:dyDescent="0.25">
      <c r="A923" s="5" t="s">
        <v>9</v>
      </c>
      <c r="B923" s="12"/>
      <c r="C923" s="5"/>
      <c r="D923" s="4"/>
      <c r="E923" s="13"/>
      <c r="F923" s="10"/>
      <c r="G923" s="13"/>
      <c r="H923" s="13"/>
      <c r="I923" s="12"/>
      <c r="J923" s="13"/>
      <c r="K923" s="13"/>
      <c r="L923" s="12"/>
    </row>
    <row r="924" spans="1:12" x14ac:dyDescent="0.25">
      <c r="A924" s="5" t="s">
        <v>369</v>
      </c>
      <c r="B924" s="12"/>
      <c r="C924" s="5"/>
      <c r="D924" s="4"/>
      <c r="E924" s="13"/>
      <c r="F924" s="10"/>
      <c r="G924" s="13"/>
      <c r="H924" s="13"/>
      <c r="I924" s="12"/>
      <c r="J924" s="13"/>
      <c r="K924" s="13"/>
      <c r="L924" s="12"/>
    </row>
    <row r="925" spans="1:12" x14ac:dyDescent="0.25">
      <c r="A925" s="5" t="s">
        <v>369</v>
      </c>
      <c r="B925" s="12"/>
      <c r="C925" s="5"/>
      <c r="D925" s="4"/>
      <c r="E925" s="13"/>
      <c r="F925" s="10"/>
      <c r="G925" s="13"/>
      <c r="H925" s="13"/>
      <c r="I925" s="12"/>
      <c r="J925" s="13"/>
      <c r="K925" s="13"/>
      <c r="L925" s="12"/>
    </row>
    <row r="926" spans="1:12" x14ac:dyDescent="0.25">
      <c r="A926" s="5" t="s">
        <v>369</v>
      </c>
      <c r="B926" s="12"/>
      <c r="C926" s="5"/>
      <c r="D926" s="4"/>
      <c r="E926" s="13"/>
      <c r="F926" s="10"/>
      <c r="G926" s="13"/>
      <c r="H926" s="13"/>
      <c r="I926" s="12"/>
      <c r="J926" s="13"/>
      <c r="K926" s="13"/>
      <c r="L926" s="12"/>
    </row>
    <row r="927" spans="1:12" x14ac:dyDescent="0.25">
      <c r="A927" s="5" t="s">
        <v>29</v>
      </c>
      <c r="B927" s="12"/>
      <c r="C927" s="5"/>
      <c r="D927" s="4"/>
      <c r="E927" s="13"/>
      <c r="F927" s="10"/>
      <c r="G927" s="13"/>
      <c r="H927" s="13"/>
      <c r="I927" s="12"/>
      <c r="J927" s="13"/>
      <c r="K927" s="13"/>
      <c r="L927" s="12"/>
    </row>
    <row r="928" spans="1:12" x14ac:dyDescent="0.25">
      <c r="A928" s="5" t="s">
        <v>29</v>
      </c>
      <c r="B928" s="12"/>
      <c r="C928" s="5"/>
      <c r="D928" s="4"/>
      <c r="E928" s="13"/>
      <c r="F928" s="10"/>
      <c r="G928" s="13"/>
      <c r="H928" s="13"/>
      <c r="I928" s="12"/>
      <c r="J928" s="13"/>
      <c r="K928" s="13"/>
      <c r="L928" s="12"/>
    </row>
    <row r="929" spans="1:12" x14ac:dyDescent="0.25">
      <c r="A929" s="5" t="s">
        <v>29</v>
      </c>
      <c r="B929" s="12"/>
      <c r="C929" s="5"/>
      <c r="D929" s="4"/>
      <c r="E929" s="13"/>
      <c r="F929" s="10"/>
      <c r="G929" s="13"/>
      <c r="H929" s="13"/>
      <c r="I929" s="12"/>
      <c r="J929" s="13"/>
      <c r="K929" s="13"/>
      <c r="L929" s="12"/>
    </row>
    <row r="930" spans="1:12" x14ac:dyDescent="0.25">
      <c r="A930" s="5" t="s">
        <v>407</v>
      </c>
      <c r="B930" s="12"/>
      <c r="C930" s="5"/>
      <c r="D930" s="4"/>
      <c r="E930" s="13"/>
      <c r="F930" s="10"/>
      <c r="G930" s="13"/>
      <c r="H930" s="13"/>
      <c r="I930" s="12"/>
      <c r="J930" s="13"/>
      <c r="K930" s="13"/>
      <c r="L930" s="12"/>
    </row>
    <row r="931" spans="1:12" x14ac:dyDescent="0.25">
      <c r="A931" s="5" t="s">
        <v>407</v>
      </c>
      <c r="B931" s="12"/>
      <c r="C931" s="5"/>
      <c r="D931" s="4"/>
      <c r="E931" s="13"/>
      <c r="F931" s="10"/>
      <c r="G931" s="13"/>
      <c r="H931" s="13"/>
      <c r="I931" s="12"/>
      <c r="J931" s="13"/>
      <c r="K931" s="13"/>
      <c r="L931" s="12"/>
    </row>
    <row r="932" spans="1:12" x14ac:dyDescent="0.25">
      <c r="A932" s="5" t="s">
        <v>407</v>
      </c>
      <c r="B932" s="12"/>
      <c r="C932" s="5"/>
      <c r="D932" s="4"/>
      <c r="E932" s="13"/>
      <c r="F932" s="10"/>
      <c r="G932" s="13"/>
      <c r="H932" s="13"/>
      <c r="I932" s="12"/>
      <c r="J932" s="13"/>
      <c r="K932" s="13"/>
      <c r="L932" s="12"/>
    </row>
    <row r="933" spans="1:12" x14ac:dyDescent="0.25">
      <c r="A933" s="5" t="s">
        <v>571</v>
      </c>
      <c r="B933" s="12"/>
      <c r="C933" s="5"/>
      <c r="D933" s="4"/>
      <c r="E933" s="13"/>
      <c r="F933" s="10"/>
      <c r="G933" s="13"/>
      <c r="H933" s="13"/>
      <c r="I933" s="12"/>
      <c r="J933" s="13"/>
      <c r="K933" s="13"/>
      <c r="L933" s="12"/>
    </row>
    <row r="934" spans="1:12" x14ac:dyDescent="0.25">
      <c r="A934" s="5" t="s">
        <v>571</v>
      </c>
      <c r="B934" s="12"/>
      <c r="C934" s="5"/>
      <c r="D934" s="4"/>
      <c r="E934" s="13"/>
      <c r="F934" s="10"/>
      <c r="G934" s="13"/>
      <c r="H934" s="13"/>
      <c r="I934" s="12"/>
      <c r="J934" s="13"/>
      <c r="K934" s="13"/>
      <c r="L934" s="12"/>
    </row>
    <row r="935" spans="1:12" x14ac:dyDescent="0.25">
      <c r="A935" s="5" t="s">
        <v>571</v>
      </c>
      <c r="B935" s="12"/>
      <c r="C935" s="5"/>
      <c r="D935" s="4"/>
      <c r="E935" s="13"/>
      <c r="F935" s="10"/>
      <c r="G935" s="13"/>
      <c r="H935" s="13"/>
      <c r="I935" s="12"/>
      <c r="J935" s="13"/>
      <c r="K935" s="13"/>
      <c r="L935" s="12"/>
    </row>
    <row r="936" spans="1:12" x14ac:dyDescent="0.25">
      <c r="A936" s="5" t="s">
        <v>659</v>
      </c>
      <c r="B936" s="12"/>
      <c r="C936" s="5"/>
      <c r="D936" s="4"/>
      <c r="E936" s="13"/>
      <c r="F936" s="10"/>
      <c r="G936" s="13"/>
      <c r="H936" s="13"/>
      <c r="I936" s="12"/>
      <c r="J936" s="13"/>
      <c r="K936" s="13"/>
      <c r="L936" s="12"/>
    </row>
    <row r="937" spans="1:12" x14ac:dyDescent="0.25">
      <c r="A937" s="5" t="s">
        <v>659</v>
      </c>
      <c r="B937" s="12"/>
      <c r="C937" s="5"/>
      <c r="D937" s="4"/>
      <c r="E937" s="13"/>
      <c r="F937" s="10"/>
      <c r="G937" s="13"/>
      <c r="H937" s="13"/>
      <c r="I937" s="12"/>
      <c r="J937" s="13"/>
      <c r="K937" s="13"/>
      <c r="L937" s="12"/>
    </row>
    <row r="938" spans="1:12" x14ac:dyDescent="0.25">
      <c r="A938" s="5" t="s">
        <v>659</v>
      </c>
      <c r="B938" s="12"/>
      <c r="C938" s="5"/>
      <c r="D938" s="4"/>
      <c r="E938" s="13"/>
      <c r="F938" s="10"/>
      <c r="G938" s="13"/>
      <c r="H938" s="13"/>
      <c r="I938" s="12"/>
      <c r="J938" s="13"/>
      <c r="K938" s="13"/>
      <c r="L938" s="12"/>
    </row>
    <row r="939" spans="1:12" x14ac:dyDescent="0.25">
      <c r="A939" s="5" t="s">
        <v>200</v>
      </c>
      <c r="B939" s="12"/>
      <c r="C939" s="5"/>
      <c r="D939" s="4"/>
      <c r="E939" s="13"/>
      <c r="F939" s="10"/>
      <c r="G939" s="13"/>
      <c r="H939" s="13"/>
      <c r="I939" s="12"/>
      <c r="J939" s="13"/>
      <c r="K939" s="13"/>
      <c r="L939" s="12"/>
    </row>
    <row r="940" spans="1:12" x14ac:dyDescent="0.25">
      <c r="A940" s="5" t="s">
        <v>200</v>
      </c>
      <c r="B940" s="12"/>
      <c r="C940" s="5"/>
      <c r="D940" s="4"/>
      <c r="E940" s="13"/>
      <c r="F940" s="10"/>
      <c r="G940" s="13"/>
      <c r="H940" s="13"/>
      <c r="I940" s="12"/>
      <c r="J940" s="13"/>
      <c r="K940" s="13"/>
      <c r="L940" s="12"/>
    </row>
    <row r="941" spans="1:12" x14ac:dyDescent="0.25">
      <c r="A941" s="5" t="s">
        <v>200</v>
      </c>
      <c r="B941" s="12"/>
      <c r="C941" s="5"/>
      <c r="D941" s="4"/>
      <c r="E941" s="13"/>
      <c r="F941" s="10"/>
      <c r="G941" s="13"/>
      <c r="H941" s="13"/>
      <c r="I941" s="12"/>
      <c r="J941" s="13"/>
      <c r="K941" s="13"/>
      <c r="L941" s="12"/>
    </row>
    <row r="942" spans="1:12" x14ac:dyDescent="0.25">
      <c r="A942" s="5" t="s">
        <v>302</v>
      </c>
      <c r="B942" s="12"/>
      <c r="C942" s="5"/>
      <c r="D942" s="4"/>
      <c r="E942" s="13"/>
      <c r="F942" s="10"/>
      <c r="G942" s="13"/>
      <c r="H942" s="13"/>
      <c r="I942" s="12"/>
      <c r="J942" s="13"/>
      <c r="K942" s="13"/>
      <c r="L942" s="12"/>
    </row>
    <row r="943" spans="1:12" x14ac:dyDescent="0.25">
      <c r="A943" s="5" t="s">
        <v>302</v>
      </c>
      <c r="B943" s="12"/>
      <c r="C943" s="5"/>
      <c r="D943" s="4"/>
      <c r="E943" s="13"/>
      <c r="F943" s="10"/>
      <c r="G943" s="13"/>
      <c r="H943" s="13"/>
      <c r="I943" s="12"/>
      <c r="J943" s="13"/>
      <c r="K943" s="13"/>
      <c r="L943" s="12"/>
    </row>
    <row r="944" spans="1:12" x14ac:dyDescent="0.25">
      <c r="A944" s="5" t="s">
        <v>302</v>
      </c>
      <c r="B944" s="12"/>
      <c r="C944" s="5"/>
      <c r="D944" s="4"/>
      <c r="E944" s="13"/>
      <c r="F944" s="10"/>
      <c r="G944" s="13"/>
      <c r="H944" s="13"/>
      <c r="I944" s="12"/>
      <c r="J944" s="13"/>
      <c r="K944" s="13"/>
      <c r="L944" s="12"/>
    </row>
    <row r="945" spans="1:12" x14ac:dyDescent="0.25">
      <c r="A945" s="5" t="s">
        <v>185</v>
      </c>
      <c r="B945" s="12"/>
      <c r="C945" s="5"/>
      <c r="D945" s="4"/>
      <c r="E945" s="13"/>
      <c r="F945" s="10"/>
      <c r="G945" s="13"/>
      <c r="H945" s="13"/>
      <c r="I945" s="12"/>
      <c r="J945" s="13"/>
      <c r="K945" s="13"/>
      <c r="L945" s="12"/>
    </row>
    <row r="946" spans="1:12" x14ac:dyDescent="0.25">
      <c r="A946" s="5" t="s">
        <v>185</v>
      </c>
      <c r="B946" s="12"/>
      <c r="C946" s="5"/>
      <c r="D946" s="4"/>
      <c r="E946" s="13"/>
      <c r="F946" s="10"/>
      <c r="G946" s="13"/>
      <c r="H946" s="13"/>
      <c r="I946" s="12"/>
      <c r="J946" s="13"/>
      <c r="K946" s="13"/>
      <c r="L946" s="12"/>
    </row>
    <row r="947" spans="1:12" x14ac:dyDescent="0.25">
      <c r="A947" s="5" t="s">
        <v>185</v>
      </c>
      <c r="B947" s="12"/>
      <c r="C947" s="5"/>
      <c r="D947" s="4"/>
      <c r="E947" s="13"/>
      <c r="F947" s="10"/>
      <c r="G947" s="13"/>
      <c r="H947" s="13"/>
      <c r="I947" s="12"/>
      <c r="J947" s="13"/>
      <c r="K947" s="13"/>
      <c r="L947" s="12"/>
    </row>
    <row r="948" spans="1:12" x14ac:dyDescent="0.25">
      <c r="A948" s="5" t="s">
        <v>350</v>
      </c>
      <c r="B948" s="12"/>
      <c r="C948" s="5"/>
      <c r="D948" s="4"/>
      <c r="E948" s="13"/>
      <c r="F948" s="10"/>
      <c r="G948" s="13"/>
      <c r="H948" s="13"/>
      <c r="I948" s="12"/>
      <c r="J948" s="13"/>
      <c r="K948" s="13"/>
      <c r="L948" s="12"/>
    </row>
    <row r="949" spans="1:12" x14ac:dyDescent="0.25">
      <c r="A949" s="5" t="s">
        <v>350</v>
      </c>
      <c r="B949" s="12"/>
      <c r="C949" s="5"/>
      <c r="D949" s="4"/>
      <c r="E949" s="13"/>
      <c r="F949" s="10"/>
      <c r="G949" s="13"/>
      <c r="H949" s="13"/>
      <c r="I949" s="12"/>
      <c r="J949" s="13"/>
      <c r="K949" s="13"/>
      <c r="L949" s="12"/>
    </row>
    <row r="950" spans="1:12" x14ac:dyDescent="0.25">
      <c r="A950" s="5" t="s">
        <v>350</v>
      </c>
      <c r="B950" s="12"/>
      <c r="C950" s="5"/>
      <c r="D950" s="4"/>
      <c r="E950" s="13"/>
      <c r="F950" s="10"/>
      <c r="G950" s="13"/>
      <c r="H950" s="13"/>
      <c r="I950" s="12"/>
      <c r="J950" s="13"/>
      <c r="K950" s="13"/>
      <c r="L950" s="12"/>
    </row>
    <row r="951" spans="1:12" x14ac:dyDescent="0.25">
      <c r="A951" s="5" t="s">
        <v>339</v>
      </c>
      <c r="B951" s="12"/>
      <c r="C951" s="5"/>
      <c r="D951" s="4"/>
      <c r="E951" s="13"/>
      <c r="F951" s="10"/>
      <c r="G951" s="13"/>
      <c r="H951" s="13"/>
      <c r="I951" s="12"/>
      <c r="J951" s="13"/>
      <c r="K951" s="13"/>
      <c r="L951" s="12"/>
    </row>
    <row r="952" spans="1:12" x14ac:dyDescent="0.25">
      <c r="A952" s="5" t="s">
        <v>339</v>
      </c>
      <c r="B952" s="12"/>
      <c r="C952" s="5"/>
      <c r="D952" s="4"/>
      <c r="E952" s="13"/>
      <c r="F952" s="10"/>
      <c r="G952" s="13"/>
      <c r="H952" s="13"/>
      <c r="I952" s="12"/>
      <c r="J952" s="13"/>
      <c r="K952" s="13"/>
      <c r="L952" s="12"/>
    </row>
    <row r="953" spans="1:12" x14ac:dyDescent="0.25">
      <c r="A953" s="5" t="s">
        <v>339</v>
      </c>
      <c r="B953" s="12"/>
      <c r="C953" s="5"/>
      <c r="D953" s="4"/>
      <c r="E953" s="13"/>
      <c r="F953" s="10"/>
      <c r="G953" s="13"/>
      <c r="H953" s="13"/>
      <c r="I953" s="12"/>
      <c r="J953" s="13"/>
      <c r="K953" s="13"/>
      <c r="L953" s="12"/>
    </row>
    <row r="954" spans="1:12" x14ac:dyDescent="0.25">
      <c r="A954" s="5" t="s">
        <v>515</v>
      </c>
      <c r="B954" s="12"/>
      <c r="C954" s="5"/>
      <c r="D954" s="4"/>
      <c r="E954" s="13"/>
      <c r="F954" s="10"/>
      <c r="G954" s="13"/>
      <c r="H954" s="13"/>
      <c r="I954" s="12"/>
      <c r="J954" s="13"/>
      <c r="K954" s="13"/>
      <c r="L954" s="12"/>
    </row>
    <row r="955" spans="1:12" x14ac:dyDescent="0.25">
      <c r="A955" s="5" t="s">
        <v>515</v>
      </c>
      <c r="B955" s="12"/>
      <c r="C955" s="5"/>
      <c r="D955" s="4"/>
      <c r="E955" s="13"/>
      <c r="F955" s="10"/>
      <c r="G955" s="13"/>
      <c r="H955" s="13"/>
      <c r="I955" s="12"/>
      <c r="J955" s="13"/>
      <c r="K955" s="13"/>
      <c r="L955" s="12"/>
    </row>
    <row r="956" spans="1:12" x14ac:dyDescent="0.25">
      <c r="A956" s="5" t="s">
        <v>515</v>
      </c>
      <c r="B956" s="12"/>
      <c r="C956" s="5"/>
      <c r="D956" s="4"/>
      <c r="E956" s="13"/>
      <c r="F956" s="10"/>
      <c r="G956" s="13"/>
      <c r="H956" s="13"/>
      <c r="I956" s="12"/>
      <c r="J956" s="13"/>
      <c r="K956" s="13"/>
      <c r="L956" s="12"/>
    </row>
    <row r="957" spans="1:12" x14ac:dyDescent="0.25">
      <c r="A957" s="5" t="s">
        <v>704</v>
      </c>
      <c r="B957" s="12"/>
      <c r="C957" s="5"/>
      <c r="D957" s="4"/>
      <c r="E957" s="13"/>
      <c r="F957" s="10"/>
      <c r="G957" s="13"/>
      <c r="H957" s="13"/>
      <c r="I957" s="12"/>
      <c r="J957" s="13"/>
      <c r="K957" s="13"/>
      <c r="L957" s="12"/>
    </row>
    <row r="958" spans="1:12" x14ac:dyDescent="0.25">
      <c r="A958" s="5" t="s">
        <v>704</v>
      </c>
      <c r="B958" s="12"/>
      <c r="C958" s="5"/>
      <c r="D958" s="4"/>
      <c r="E958" s="13"/>
      <c r="F958" s="10"/>
      <c r="G958" s="13"/>
      <c r="H958" s="13"/>
      <c r="I958" s="12"/>
      <c r="J958" s="13"/>
      <c r="K958" s="13"/>
      <c r="L958" s="12"/>
    </row>
    <row r="959" spans="1:12" x14ac:dyDescent="0.25">
      <c r="A959" s="5" t="s">
        <v>704</v>
      </c>
      <c r="B959" s="12"/>
      <c r="C959" s="5"/>
      <c r="D959" s="4"/>
      <c r="E959" s="13"/>
      <c r="F959" s="10"/>
      <c r="G959" s="13"/>
      <c r="H959" s="13"/>
      <c r="I959" s="12"/>
      <c r="J959" s="13"/>
      <c r="K959" s="13"/>
      <c r="L959" s="12"/>
    </row>
    <row r="960" spans="1:12" x14ac:dyDescent="0.25">
      <c r="A960" s="5" t="s">
        <v>375</v>
      </c>
      <c r="B960" s="12"/>
      <c r="C960" s="5"/>
      <c r="D960" s="4"/>
      <c r="E960" s="13"/>
      <c r="F960" s="10"/>
      <c r="G960" s="13"/>
      <c r="H960" s="13"/>
      <c r="I960" s="12"/>
      <c r="J960" s="13"/>
      <c r="K960" s="13"/>
      <c r="L960" s="12"/>
    </row>
    <row r="961" spans="1:12" x14ac:dyDescent="0.25">
      <c r="A961" s="5" t="s">
        <v>375</v>
      </c>
      <c r="B961" s="12"/>
      <c r="C961" s="5"/>
      <c r="D961" s="4"/>
      <c r="E961" s="13"/>
      <c r="F961" s="10"/>
      <c r="G961" s="13"/>
      <c r="H961" s="13"/>
      <c r="I961" s="12"/>
      <c r="J961" s="13"/>
      <c r="K961" s="13"/>
      <c r="L961" s="12"/>
    </row>
    <row r="962" spans="1:12" x14ac:dyDescent="0.25">
      <c r="A962" s="5" t="s">
        <v>375</v>
      </c>
      <c r="B962" s="12"/>
      <c r="C962" s="5"/>
      <c r="D962" s="4"/>
      <c r="E962" s="13"/>
      <c r="F962" s="10"/>
      <c r="G962" s="13"/>
      <c r="H962" s="13"/>
      <c r="I962" s="12"/>
      <c r="J962" s="13"/>
      <c r="K962" s="13"/>
      <c r="L962" s="12"/>
    </row>
    <row r="963" spans="1:12" x14ac:dyDescent="0.25">
      <c r="A963" s="5" t="s">
        <v>570</v>
      </c>
      <c r="B963" s="12"/>
      <c r="C963" s="5"/>
      <c r="D963" s="4"/>
      <c r="E963" s="13"/>
      <c r="F963" s="10"/>
      <c r="G963" s="13"/>
      <c r="H963" s="13"/>
      <c r="I963" s="12"/>
      <c r="J963" s="13"/>
      <c r="K963" s="13"/>
      <c r="L963" s="12"/>
    </row>
    <row r="964" spans="1:12" x14ac:dyDescent="0.25">
      <c r="A964" s="5" t="s">
        <v>570</v>
      </c>
      <c r="B964" s="12"/>
      <c r="C964" s="5"/>
      <c r="D964" s="4"/>
      <c r="E964" s="13"/>
      <c r="F964" s="10"/>
      <c r="G964" s="13"/>
      <c r="H964" s="13"/>
      <c r="I964" s="12"/>
      <c r="J964" s="13"/>
      <c r="K964" s="13"/>
      <c r="L964" s="12"/>
    </row>
    <row r="965" spans="1:12" x14ac:dyDescent="0.25">
      <c r="A965" s="5" t="s">
        <v>570</v>
      </c>
      <c r="B965" s="12"/>
      <c r="C965" s="5"/>
      <c r="D965" s="4"/>
      <c r="E965" s="13"/>
      <c r="F965" s="10"/>
      <c r="G965" s="13"/>
      <c r="H965" s="13"/>
      <c r="I965" s="12"/>
      <c r="J965" s="13"/>
      <c r="K965" s="13"/>
      <c r="L965" s="12"/>
    </row>
    <row r="966" spans="1:12" x14ac:dyDescent="0.25">
      <c r="A966" s="5" t="s">
        <v>709</v>
      </c>
      <c r="B966" s="12"/>
      <c r="C966" s="5"/>
      <c r="D966" s="4"/>
      <c r="E966" s="13"/>
      <c r="F966" s="10"/>
      <c r="G966" s="13"/>
      <c r="H966" s="13"/>
      <c r="I966" s="12"/>
      <c r="J966" s="13"/>
      <c r="K966" s="13"/>
      <c r="L966" s="12"/>
    </row>
    <row r="967" spans="1:12" x14ac:dyDescent="0.25">
      <c r="A967" s="5" t="s">
        <v>709</v>
      </c>
      <c r="B967" s="12"/>
      <c r="C967" s="5"/>
      <c r="D967" s="4"/>
      <c r="E967" s="13"/>
      <c r="F967" s="10"/>
      <c r="G967" s="13"/>
      <c r="H967" s="13"/>
      <c r="I967" s="12"/>
      <c r="J967" s="13"/>
      <c r="K967" s="13"/>
      <c r="L967" s="12"/>
    </row>
    <row r="968" spans="1:12" x14ac:dyDescent="0.25">
      <c r="A968" s="5" t="s">
        <v>709</v>
      </c>
      <c r="B968" s="12"/>
      <c r="C968" s="5"/>
      <c r="D968" s="4"/>
      <c r="E968" s="13"/>
      <c r="F968" s="10"/>
      <c r="G968" s="13"/>
      <c r="H968" s="13"/>
      <c r="I968" s="12"/>
      <c r="J968" s="13"/>
      <c r="K968" s="13"/>
      <c r="L968" s="12"/>
    </row>
    <row r="969" spans="1:12" x14ac:dyDescent="0.25">
      <c r="A969" s="5" t="s">
        <v>132</v>
      </c>
      <c r="B969" s="12"/>
      <c r="C969" s="5"/>
      <c r="D969" s="4"/>
      <c r="E969" s="13"/>
      <c r="F969" s="10"/>
      <c r="G969" s="13"/>
      <c r="H969" s="13"/>
      <c r="I969" s="12"/>
      <c r="J969" s="13"/>
      <c r="K969" s="13"/>
      <c r="L969" s="12"/>
    </row>
    <row r="970" spans="1:12" x14ac:dyDescent="0.25">
      <c r="A970" s="5" t="s">
        <v>132</v>
      </c>
      <c r="B970" s="12"/>
      <c r="C970" s="5"/>
      <c r="D970" s="4"/>
      <c r="E970" s="13"/>
      <c r="F970" s="10"/>
      <c r="G970" s="13"/>
      <c r="H970" s="13"/>
      <c r="I970" s="12"/>
      <c r="J970" s="13"/>
      <c r="K970" s="13"/>
      <c r="L970" s="12"/>
    </row>
    <row r="971" spans="1:12" x14ac:dyDescent="0.25">
      <c r="A971" s="5" t="s">
        <v>132</v>
      </c>
      <c r="B971" s="12"/>
      <c r="C971" s="5"/>
      <c r="D971" s="4"/>
      <c r="E971" s="13"/>
      <c r="F971" s="10"/>
      <c r="G971" s="13"/>
      <c r="H971" s="13"/>
      <c r="I971" s="12"/>
      <c r="J971" s="13"/>
      <c r="K971" s="13"/>
      <c r="L971" s="12"/>
    </row>
    <row r="972" spans="1:12" x14ac:dyDescent="0.25">
      <c r="A972" s="5" t="s">
        <v>685</v>
      </c>
      <c r="B972" s="12"/>
      <c r="C972" s="5"/>
      <c r="D972" s="4"/>
      <c r="E972" s="13"/>
      <c r="F972" s="10"/>
      <c r="G972" s="13"/>
      <c r="H972" s="13"/>
      <c r="I972" s="12"/>
      <c r="J972" s="13"/>
      <c r="K972" s="13"/>
      <c r="L972" s="12"/>
    </row>
    <row r="973" spans="1:12" x14ac:dyDescent="0.25">
      <c r="A973" s="5" t="s">
        <v>685</v>
      </c>
      <c r="B973" s="12"/>
      <c r="C973" s="5"/>
      <c r="D973" s="4"/>
      <c r="E973" s="13"/>
      <c r="F973" s="10"/>
      <c r="G973" s="13"/>
      <c r="H973" s="13"/>
      <c r="I973" s="12"/>
      <c r="J973" s="13"/>
      <c r="K973" s="13"/>
      <c r="L973" s="12"/>
    </row>
    <row r="974" spans="1:12" x14ac:dyDescent="0.25">
      <c r="A974" s="5" t="s">
        <v>685</v>
      </c>
      <c r="B974" s="12"/>
      <c r="C974" s="5"/>
      <c r="D974" s="4"/>
      <c r="E974" s="13"/>
      <c r="F974" s="10"/>
      <c r="G974" s="13"/>
      <c r="H974" s="13"/>
      <c r="I974" s="12"/>
      <c r="J974" s="13"/>
      <c r="K974" s="13"/>
      <c r="L974" s="12"/>
    </row>
    <row r="975" spans="1:12" x14ac:dyDescent="0.25">
      <c r="A975" s="5" t="s">
        <v>396</v>
      </c>
      <c r="B975" s="12"/>
      <c r="C975" s="5"/>
      <c r="D975" s="4"/>
      <c r="E975" s="13"/>
      <c r="F975" s="10"/>
      <c r="G975" s="13"/>
      <c r="H975" s="13"/>
      <c r="I975" s="12"/>
      <c r="J975" s="13"/>
      <c r="K975" s="13"/>
      <c r="L975" s="12"/>
    </row>
    <row r="976" spans="1:12" x14ac:dyDescent="0.25">
      <c r="A976" s="5" t="s">
        <v>396</v>
      </c>
      <c r="B976" s="12"/>
      <c r="C976" s="5"/>
      <c r="D976" s="4"/>
      <c r="E976" s="13"/>
      <c r="F976" s="10"/>
      <c r="G976" s="13"/>
      <c r="H976" s="13"/>
      <c r="I976" s="12"/>
      <c r="J976" s="13"/>
      <c r="K976" s="13"/>
      <c r="L976" s="12"/>
    </row>
    <row r="977" spans="1:12" x14ac:dyDescent="0.25">
      <c r="A977" s="5" t="s">
        <v>396</v>
      </c>
      <c r="B977" s="12"/>
      <c r="C977" s="5"/>
      <c r="D977" s="4"/>
      <c r="E977" s="13"/>
      <c r="F977" s="10"/>
      <c r="G977" s="13"/>
      <c r="H977" s="13"/>
      <c r="I977" s="12"/>
      <c r="J977" s="13"/>
      <c r="K977" s="13"/>
      <c r="L977" s="12"/>
    </row>
    <row r="978" spans="1:12" x14ac:dyDescent="0.25">
      <c r="A978" s="5" t="s">
        <v>398</v>
      </c>
      <c r="B978" s="12"/>
      <c r="C978" s="5"/>
      <c r="D978" s="4"/>
      <c r="E978" s="13"/>
      <c r="F978" s="10"/>
      <c r="G978" s="13"/>
      <c r="H978" s="13"/>
      <c r="I978" s="12"/>
      <c r="J978" s="13"/>
      <c r="K978" s="13"/>
      <c r="L978" s="12"/>
    </row>
    <row r="979" spans="1:12" x14ac:dyDescent="0.25">
      <c r="A979" s="5" t="s">
        <v>398</v>
      </c>
      <c r="B979" s="12"/>
      <c r="C979" s="5"/>
      <c r="D979" s="4"/>
      <c r="E979" s="13"/>
      <c r="F979" s="10"/>
      <c r="G979" s="13"/>
      <c r="H979" s="13"/>
      <c r="I979" s="12"/>
      <c r="J979" s="13"/>
      <c r="K979" s="13"/>
      <c r="L979" s="12"/>
    </row>
    <row r="980" spans="1:12" x14ac:dyDescent="0.25">
      <c r="A980" s="5" t="s">
        <v>398</v>
      </c>
      <c r="B980" s="12"/>
      <c r="C980" s="5"/>
      <c r="D980" s="4"/>
      <c r="E980" s="13"/>
      <c r="F980" s="10"/>
      <c r="G980" s="13"/>
      <c r="H980" s="13"/>
      <c r="I980" s="12"/>
      <c r="J980" s="13"/>
      <c r="K980" s="13"/>
      <c r="L980" s="12"/>
    </row>
    <row r="981" spans="1:12" x14ac:dyDescent="0.25">
      <c r="A981" s="5" t="s">
        <v>332</v>
      </c>
      <c r="B981" s="12"/>
      <c r="C981" s="5"/>
      <c r="D981" s="4"/>
      <c r="E981" s="13"/>
      <c r="F981" s="10"/>
      <c r="G981" s="13"/>
      <c r="H981" s="13"/>
      <c r="I981" s="12"/>
      <c r="J981" s="13"/>
      <c r="K981" s="13"/>
      <c r="L981" s="12"/>
    </row>
    <row r="982" spans="1:12" x14ac:dyDescent="0.25">
      <c r="A982" s="5" t="s">
        <v>332</v>
      </c>
      <c r="B982" s="12"/>
      <c r="C982" s="5"/>
      <c r="D982" s="4"/>
      <c r="E982" s="13"/>
      <c r="F982" s="10"/>
      <c r="G982" s="13"/>
      <c r="H982" s="13"/>
      <c r="I982" s="12"/>
      <c r="J982" s="13"/>
      <c r="K982" s="13"/>
      <c r="L982" s="12"/>
    </row>
    <row r="983" spans="1:12" x14ac:dyDescent="0.25">
      <c r="A983" s="5" t="s">
        <v>332</v>
      </c>
      <c r="B983" s="12"/>
      <c r="C983" s="5"/>
      <c r="D983" s="4"/>
      <c r="E983" s="13"/>
      <c r="F983" s="10"/>
      <c r="G983" s="13"/>
      <c r="H983" s="13"/>
      <c r="I983" s="12"/>
      <c r="J983" s="13"/>
      <c r="K983" s="13"/>
      <c r="L983" s="12"/>
    </row>
    <row r="984" spans="1:12" x14ac:dyDescent="0.25">
      <c r="A984" s="5" t="s">
        <v>526</v>
      </c>
      <c r="B984" s="12"/>
      <c r="C984" s="5"/>
      <c r="D984" s="4"/>
      <c r="E984" s="13"/>
      <c r="F984" s="10"/>
      <c r="G984" s="13"/>
      <c r="H984" s="13"/>
      <c r="I984" s="12"/>
      <c r="J984" s="13"/>
      <c r="K984" s="13"/>
      <c r="L984" s="12"/>
    </row>
    <row r="985" spans="1:12" x14ac:dyDescent="0.25">
      <c r="A985" s="5" t="s">
        <v>526</v>
      </c>
      <c r="B985" s="12"/>
      <c r="C985" s="5"/>
      <c r="D985" s="4"/>
      <c r="E985" s="13"/>
      <c r="F985" s="10"/>
      <c r="G985" s="13"/>
      <c r="H985" s="13"/>
      <c r="I985" s="12"/>
      <c r="J985" s="13"/>
      <c r="K985" s="13"/>
      <c r="L985" s="12"/>
    </row>
    <row r="986" spans="1:12" x14ac:dyDescent="0.25">
      <c r="A986" s="5" t="s">
        <v>526</v>
      </c>
      <c r="B986" s="12"/>
      <c r="C986" s="5"/>
      <c r="D986" s="4"/>
      <c r="E986" s="13"/>
      <c r="F986" s="10"/>
      <c r="G986" s="13"/>
      <c r="H986" s="13"/>
      <c r="I986" s="12"/>
      <c r="J986" s="13"/>
      <c r="K986" s="13"/>
      <c r="L986" s="12"/>
    </row>
    <row r="987" spans="1:12" x14ac:dyDescent="0.25">
      <c r="A987" s="5" t="s">
        <v>243</v>
      </c>
      <c r="B987" s="12"/>
      <c r="C987" s="5"/>
      <c r="D987" s="4"/>
      <c r="E987" s="13"/>
      <c r="F987" s="10"/>
      <c r="G987" s="13"/>
      <c r="H987" s="13"/>
      <c r="I987" s="12"/>
      <c r="J987" s="13"/>
      <c r="K987" s="13"/>
      <c r="L987" s="12"/>
    </row>
    <row r="988" spans="1:12" x14ac:dyDescent="0.25">
      <c r="A988" s="5" t="s">
        <v>243</v>
      </c>
      <c r="B988" s="12"/>
      <c r="C988" s="5"/>
      <c r="D988" s="4"/>
      <c r="E988" s="13"/>
      <c r="F988" s="10"/>
      <c r="G988" s="13"/>
      <c r="H988" s="13"/>
      <c r="I988" s="12"/>
      <c r="J988" s="13"/>
      <c r="K988" s="13"/>
      <c r="L988" s="12"/>
    </row>
    <row r="989" spans="1:12" x14ac:dyDescent="0.25">
      <c r="A989" s="5" t="s">
        <v>243</v>
      </c>
      <c r="B989" s="12"/>
      <c r="C989" s="5"/>
      <c r="D989" s="4"/>
      <c r="E989" s="13"/>
      <c r="F989" s="10"/>
      <c r="G989" s="13"/>
      <c r="H989" s="13"/>
      <c r="I989" s="12"/>
      <c r="J989" s="13"/>
      <c r="K989" s="13"/>
      <c r="L989" s="12"/>
    </row>
    <row r="990" spans="1:12" x14ac:dyDescent="0.25">
      <c r="A990" s="5" t="s">
        <v>271</v>
      </c>
      <c r="B990" s="12"/>
      <c r="C990" s="5"/>
      <c r="D990" s="4"/>
      <c r="E990" s="13"/>
      <c r="F990" s="10"/>
      <c r="G990" s="13"/>
      <c r="H990" s="13"/>
      <c r="I990" s="12"/>
      <c r="J990" s="13"/>
      <c r="K990" s="13"/>
      <c r="L990" s="12"/>
    </row>
    <row r="991" spans="1:12" x14ac:dyDescent="0.25">
      <c r="A991" s="5" t="s">
        <v>271</v>
      </c>
      <c r="B991" s="12"/>
      <c r="C991" s="5"/>
      <c r="D991" s="4"/>
      <c r="E991" s="13"/>
      <c r="F991" s="10"/>
      <c r="G991" s="13"/>
      <c r="H991" s="13"/>
      <c r="I991" s="12"/>
      <c r="J991" s="13"/>
      <c r="K991" s="13"/>
      <c r="L991" s="12"/>
    </row>
    <row r="992" spans="1:12" x14ac:dyDescent="0.25">
      <c r="A992" s="5" t="s">
        <v>271</v>
      </c>
      <c r="B992" s="12"/>
      <c r="C992" s="5"/>
      <c r="D992" s="4"/>
      <c r="E992" s="13"/>
      <c r="F992" s="10"/>
      <c r="G992" s="13"/>
      <c r="H992" s="13"/>
      <c r="I992" s="12"/>
      <c r="J992" s="13"/>
      <c r="K992" s="13"/>
      <c r="L992" s="12"/>
    </row>
    <row r="993" spans="1:12" x14ac:dyDescent="0.25">
      <c r="A993" s="5" t="s">
        <v>365</v>
      </c>
      <c r="B993" s="12"/>
      <c r="C993" s="5"/>
      <c r="D993" s="4"/>
      <c r="E993" s="13"/>
      <c r="F993" s="10"/>
      <c r="G993" s="13"/>
      <c r="H993" s="13"/>
      <c r="I993" s="12"/>
      <c r="J993" s="13"/>
      <c r="K993" s="13"/>
      <c r="L993" s="12"/>
    </row>
    <row r="994" spans="1:12" x14ac:dyDescent="0.25">
      <c r="A994" s="5" t="s">
        <v>365</v>
      </c>
      <c r="B994" s="12"/>
      <c r="C994" s="5"/>
      <c r="D994" s="4"/>
      <c r="E994" s="13"/>
      <c r="F994" s="10"/>
      <c r="G994" s="13"/>
      <c r="H994" s="13"/>
      <c r="I994" s="12"/>
      <c r="J994" s="13"/>
      <c r="K994" s="13"/>
      <c r="L994" s="12"/>
    </row>
    <row r="995" spans="1:12" x14ac:dyDescent="0.25">
      <c r="A995" s="5" t="s">
        <v>365</v>
      </c>
      <c r="B995" s="12"/>
      <c r="C995" s="5"/>
      <c r="D995" s="4"/>
      <c r="E995" s="13"/>
      <c r="F995" s="10"/>
      <c r="G995" s="13"/>
      <c r="H995" s="13"/>
      <c r="I995" s="12"/>
      <c r="J995" s="13"/>
      <c r="K995" s="13"/>
      <c r="L995" s="12"/>
    </row>
    <row r="996" spans="1:12" x14ac:dyDescent="0.25">
      <c r="A996" s="5" t="s">
        <v>582</v>
      </c>
      <c r="B996" s="12"/>
      <c r="C996" s="5"/>
      <c r="D996" s="4"/>
      <c r="E996" s="13"/>
      <c r="F996" s="10"/>
      <c r="G996" s="13"/>
      <c r="H996" s="13"/>
      <c r="I996" s="12"/>
      <c r="J996" s="13"/>
      <c r="K996" s="13"/>
      <c r="L996" s="12"/>
    </row>
    <row r="997" spans="1:12" x14ac:dyDescent="0.25">
      <c r="A997" s="5" t="s">
        <v>582</v>
      </c>
      <c r="B997" s="12"/>
      <c r="C997" s="5"/>
      <c r="D997" s="4"/>
      <c r="E997" s="13"/>
      <c r="F997" s="10"/>
      <c r="G997" s="13"/>
      <c r="H997" s="13"/>
      <c r="I997" s="12"/>
      <c r="J997" s="13"/>
      <c r="K997" s="13"/>
      <c r="L997" s="12"/>
    </row>
    <row r="998" spans="1:12" x14ac:dyDescent="0.25">
      <c r="A998" s="5" t="s">
        <v>582</v>
      </c>
      <c r="B998" s="12"/>
      <c r="C998" s="5"/>
      <c r="D998" s="4"/>
      <c r="E998" s="13"/>
      <c r="F998" s="10"/>
      <c r="G998" s="13"/>
      <c r="H998" s="13"/>
      <c r="I998" s="12"/>
      <c r="J998" s="13"/>
      <c r="K998" s="13"/>
      <c r="L998" s="12"/>
    </row>
    <row r="999" spans="1:12" x14ac:dyDescent="0.25">
      <c r="A999" s="5" t="s">
        <v>446</v>
      </c>
      <c r="B999" s="12"/>
      <c r="C999" s="5"/>
      <c r="D999" s="4"/>
      <c r="E999" s="13"/>
      <c r="F999" s="10"/>
      <c r="G999" s="13"/>
      <c r="H999" s="13"/>
      <c r="I999" s="12"/>
      <c r="J999" s="13"/>
      <c r="K999" s="13"/>
      <c r="L999" s="12"/>
    </row>
    <row r="1000" spans="1:12" x14ac:dyDescent="0.25">
      <c r="A1000" s="5" t="s">
        <v>446</v>
      </c>
      <c r="B1000" s="12"/>
      <c r="C1000" s="5"/>
      <c r="D1000" s="4"/>
      <c r="E1000" s="13"/>
      <c r="F1000" s="10"/>
      <c r="G1000" s="13"/>
      <c r="H1000" s="13"/>
      <c r="I1000" s="12"/>
      <c r="J1000" s="13"/>
      <c r="K1000" s="13"/>
      <c r="L1000" s="12"/>
    </row>
    <row r="1001" spans="1:12" x14ac:dyDescent="0.25">
      <c r="A1001" s="5" t="s">
        <v>446</v>
      </c>
      <c r="B1001" s="12"/>
      <c r="C1001" s="5"/>
      <c r="D1001" s="4"/>
      <c r="E1001" s="13"/>
      <c r="F1001" s="10"/>
      <c r="G1001" s="13"/>
      <c r="H1001" s="13"/>
      <c r="I1001" s="12"/>
      <c r="J1001" s="13"/>
      <c r="K1001" s="13"/>
      <c r="L1001" s="12"/>
    </row>
    <row r="1002" spans="1:12" x14ac:dyDescent="0.25">
      <c r="A1002" s="5" t="s">
        <v>13</v>
      </c>
      <c r="B1002" s="12"/>
      <c r="C1002" s="5"/>
      <c r="D1002" s="4"/>
      <c r="E1002" s="13"/>
      <c r="F1002" s="10"/>
      <c r="G1002" s="13"/>
      <c r="H1002" s="13"/>
      <c r="I1002" s="12"/>
      <c r="J1002" s="13"/>
      <c r="K1002" s="13"/>
      <c r="L1002" s="12"/>
    </row>
    <row r="1003" spans="1:12" x14ac:dyDescent="0.25">
      <c r="A1003" s="5" t="s">
        <v>13</v>
      </c>
      <c r="B1003" s="12"/>
      <c r="C1003" s="5"/>
      <c r="D1003" s="4"/>
      <c r="E1003" s="13"/>
      <c r="F1003" s="10"/>
      <c r="G1003" s="13"/>
      <c r="H1003" s="13"/>
      <c r="I1003" s="12"/>
      <c r="J1003" s="13"/>
      <c r="K1003" s="13"/>
      <c r="L1003" s="12"/>
    </row>
    <row r="1004" spans="1:12" x14ac:dyDescent="0.25">
      <c r="A1004" s="5" t="s">
        <v>13</v>
      </c>
      <c r="B1004" s="12"/>
      <c r="C1004" s="5"/>
      <c r="D1004" s="4"/>
      <c r="E1004" s="13"/>
      <c r="F1004" s="10"/>
      <c r="G1004" s="13"/>
      <c r="H1004" s="13"/>
      <c r="I1004" s="12"/>
      <c r="J1004" s="13"/>
      <c r="K1004" s="13"/>
      <c r="L1004" s="12"/>
    </row>
    <row r="1005" spans="1:12" x14ac:dyDescent="0.25">
      <c r="A1005" s="5" t="s">
        <v>535</v>
      </c>
      <c r="B1005" s="12"/>
      <c r="C1005" s="5"/>
      <c r="D1005" s="4"/>
      <c r="E1005" s="13"/>
      <c r="F1005" s="10"/>
      <c r="G1005" s="13"/>
      <c r="H1005" s="13"/>
      <c r="I1005" s="12"/>
      <c r="J1005" s="13"/>
      <c r="K1005" s="13"/>
      <c r="L1005" s="12"/>
    </row>
    <row r="1006" spans="1:12" x14ac:dyDescent="0.25">
      <c r="A1006" s="5" t="s">
        <v>535</v>
      </c>
      <c r="B1006" s="12"/>
      <c r="C1006" s="5"/>
      <c r="D1006" s="4"/>
      <c r="E1006" s="13"/>
      <c r="F1006" s="10"/>
      <c r="G1006" s="13"/>
      <c r="H1006" s="13"/>
      <c r="I1006" s="12"/>
      <c r="J1006" s="13"/>
      <c r="K1006" s="13"/>
      <c r="L1006" s="12"/>
    </row>
    <row r="1007" spans="1:12" x14ac:dyDescent="0.25">
      <c r="A1007" s="5" t="s">
        <v>535</v>
      </c>
      <c r="B1007" s="12"/>
      <c r="C1007" s="5"/>
      <c r="D1007" s="4"/>
      <c r="E1007" s="13"/>
      <c r="F1007" s="10"/>
      <c r="G1007" s="13"/>
      <c r="H1007" s="13"/>
      <c r="I1007" s="12"/>
      <c r="J1007" s="13"/>
      <c r="K1007" s="13"/>
      <c r="L1007" s="12"/>
    </row>
    <row r="1008" spans="1:12" x14ac:dyDescent="0.25">
      <c r="A1008" s="5" t="s">
        <v>651</v>
      </c>
      <c r="B1008" s="12"/>
      <c r="C1008" s="5"/>
      <c r="D1008" s="4"/>
      <c r="E1008" s="13"/>
      <c r="F1008" s="10"/>
      <c r="G1008" s="13"/>
      <c r="H1008" s="13"/>
      <c r="I1008" s="12"/>
      <c r="J1008" s="13"/>
      <c r="K1008" s="13"/>
      <c r="L1008" s="12"/>
    </row>
    <row r="1009" spans="1:12" x14ac:dyDescent="0.25">
      <c r="A1009" s="5" t="s">
        <v>651</v>
      </c>
      <c r="B1009" s="12"/>
      <c r="C1009" s="5"/>
      <c r="D1009" s="4"/>
      <c r="E1009" s="13"/>
      <c r="F1009" s="10"/>
      <c r="G1009" s="13"/>
      <c r="H1009" s="13"/>
      <c r="I1009" s="12"/>
      <c r="J1009" s="13"/>
      <c r="K1009" s="13"/>
      <c r="L1009" s="12"/>
    </row>
    <row r="1010" spans="1:12" x14ac:dyDescent="0.25">
      <c r="A1010" s="5" t="s">
        <v>651</v>
      </c>
      <c r="B1010" s="12"/>
      <c r="C1010" s="5"/>
      <c r="D1010" s="4"/>
      <c r="E1010" s="13"/>
      <c r="F1010" s="10"/>
      <c r="G1010" s="13"/>
      <c r="H1010" s="13"/>
      <c r="I1010" s="12"/>
      <c r="J1010" s="13"/>
      <c r="K1010" s="13"/>
      <c r="L1010" s="12"/>
    </row>
    <row r="1011" spans="1:12" x14ac:dyDescent="0.25">
      <c r="A1011" s="5" t="s">
        <v>164</v>
      </c>
      <c r="B1011" s="12"/>
      <c r="C1011" s="5"/>
      <c r="D1011" s="4"/>
      <c r="E1011" s="13"/>
      <c r="F1011" s="10"/>
      <c r="G1011" s="13"/>
      <c r="H1011" s="13"/>
      <c r="I1011" s="12"/>
      <c r="J1011" s="13"/>
      <c r="K1011" s="13"/>
      <c r="L1011" s="12"/>
    </row>
    <row r="1012" spans="1:12" x14ac:dyDescent="0.25">
      <c r="A1012" s="5" t="s">
        <v>164</v>
      </c>
      <c r="B1012" s="12"/>
      <c r="C1012" s="5"/>
      <c r="D1012" s="4"/>
      <c r="E1012" s="13"/>
      <c r="F1012" s="10"/>
      <c r="G1012" s="13"/>
      <c r="H1012" s="13"/>
      <c r="I1012" s="12"/>
      <c r="J1012" s="13"/>
      <c r="K1012" s="13"/>
      <c r="L1012" s="12"/>
    </row>
    <row r="1013" spans="1:12" x14ac:dyDescent="0.25">
      <c r="A1013" s="5" t="s">
        <v>164</v>
      </c>
      <c r="B1013" s="12"/>
      <c r="C1013" s="5"/>
      <c r="D1013" s="4"/>
      <c r="E1013" s="13"/>
      <c r="F1013" s="10"/>
      <c r="G1013" s="13"/>
      <c r="H1013" s="13"/>
      <c r="I1013" s="12"/>
      <c r="J1013" s="13"/>
      <c r="K1013" s="13"/>
      <c r="L1013" s="12"/>
    </row>
    <row r="1014" spans="1:12" x14ac:dyDescent="0.25">
      <c r="A1014" s="5" t="s">
        <v>550</v>
      </c>
      <c r="B1014" s="12"/>
      <c r="C1014" s="5"/>
      <c r="D1014" s="4"/>
      <c r="E1014" s="13"/>
      <c r="F1014" s="10"/>
      <c r="G1014" s="13"/>
      <c r="H1014" s="13"/>
      <c r="I1014" s="12"/>
      <c r="J1014" s="13"/>
      <c r="K1014" s="13"/>
      <c r="L1014" s="12"/>
    </row>
    <row r="1015" spans="1:12" x14ac:dyDescent="0.25">
      <c r="A1015" s="5" t="s">
        <v>550</v>
      </c>
      <c r="B1015" s="12"/>
      <c r="C1015" s="5"/>
      <c r="D1015" s="4"/>
      <c r="E1015" s="13"/>
      <c r="F1015" s="10"/>
      <c r="G1015" s="13"/>
      <c r="H1015" s="13"/>
      <c r="I1015" s="12"/>
      <c r="J1015" s="13"/>
      <c r="K1015" s="13"/>
      <c r="L1015" s="12"/>
    </row>
    <row r="1016" spans="1:12" x14ac:dyDescent="0.25">
      <c r="A1016" s="5" t="s">
        <v>550</v>
      </c>
      <c r="B1016" s="12"/>
      <c r="C1016" s="5"/>
      <c r="D1016" s="4"/>
      <c r="E1016" s="13"/>
      <c r="F1016" s="10"/>
      <c r="G1016" s="13"/>
      <c r="H1016" s="13"/>
      <c r="I1016" s="12"/>
      <c r="J1016" s="13"/>
      <c r="K1016" s="13"/>
      <c r="L1016" s="12"/>
    </row>
    <row r="1017" spans="1:12" x14ac:dyDescent="0.25">
      <c r="A1017" s="5" t="s">
        <v>721</v>
      </c>
      <c r="B1017" s="12"/>
      <c r="C1017" s="5"/>
      <c r="D1017" s="4"/>
      <c r="E1017" s="13"/>
      <c r="F1017" s="10"/>
      <c r="G1017" s="13"/>
      <c r="H1017" s="13"/>
      <c r="I1017" s="12"/>
      <c r="J1017" s="13"/>
      <c r="K1017" s="13"/>
      <c r="L1017" s="12"/>
    </row>
    <row r="1018" spans="1:12" x14ac:dyDescent="0.25">
      <c r="A1018" s="5" t="s">
        <v>721</v>
      </c>
      <c r="B1018" s="12"/>
      <c r="C1018" s="5"/>
      <c r="D1018" s="4"/>
      <c r="E1018" s="13"/>
      <c r="F1018" s="10"/>
      <c r="G1018" s="13"/>
      <c r="H1018" s="13"/>
      <c r="I1018" s="12"/>
      <c r="J1018" s="13"/>
      <c r="K1018" s="13"/>
      <c r="L1018" s="12"/>
    </row>
    <row r="1019" spans="1:12" x14ac:dyDescent="0.25">
      <c r="A1019" s="5" t="s">
        <v>721</v>
      </c>
      <c r="B1019" s="12"/>
      <c r="C1019" s="5"/>
      <c r="D1019" s="4"/>
      <c r="E1019" s="13"/>
      <c r="F1019" s="10"/>
      <c r="G1019" s="13"/>
      <c r="H1019" s="13"/>
      <c r="I1019" s="12"/>
      <c r="J1019" s="13"/>
      <c r="K1019" s="13"/>
      <c r="L1019" s="12"/>
    </row>
    <row r="1020" spans="1:12" x14ac:dyDescent="0.25">
      <c r="A1020" s="5" t="s">
        <v>706</v>
      </c>
      <c r="B1020" s="12"/>
      <c r="C1020" s="5"/>
      <c r="D1020" s="4"/>
      <c r="E1020" s="13"/>
      <c r="F1020" s="10"/>
      <c r="G1020" s="13"/>
      <c r="H1020" s="13"/>
      <c r="I1020" s="12"/>
      <c r="J1020" s="13"/>
      <c r="K1020" s="13"/>
      <c r="L1020" s="12"/>
    </row>
    <row r="1021" spans="1:12" x14ac:dyDescent="0.25">
      <c r="A1021" s="5" t="s">
        <v>706</v>
      </c>
      <c r="B1021" s="12"/>
      <c r="C1021" s="5"/>
      <c r="D1021" s="4"/>
      <c r="E1021" s="13"/>
      <c r="F1021" s="10"/>
      <c r="G1021" s="13"/>
      <c r="H1021" s="13"/>
      <c r="I1021" s="12"/>
      <c r="J1021" s="13"/>
      <c r="K1021" s="13"/>
      <c r="L1021" s="12"/>
    </row>
    <row r="1022" spans="1:12" x14ac:dyDescent="0.25">
      <c r="A1022" s="5" t="s">
        <v>706</v>
      </c>
      <c r="B1022" s="12"/>
      <c r="C1022" s="5"/>
      <c r="D1022" s="4"/>
      <c r="E1022" s="13"/>
      <c r="F1022" s="10"/>
      <c r="G1022" s="13"/>
      <c r="H1022" s="13"/>
      <c r="I1022" s="12"/>
      <c r="J1022" s="13"/>
      <c r="K1022" s="13"/>
      <c r="L1022" s="12"/>
    </row>
    <row r="1023" spans="1:12" x14ac:dyDescent="0.25">
      <c r="A1023" s="5" t="s">
        <v>102</v>
      </c>
      <c r="B1023" s="12"/>
      <c r="C1023" s="5"/>
      <c r="D1023" s="4"/>
      <c r="E1023" s="13"/>
      <c r="F1023" s="10"/>
      <c r="G1023" s="13"/>
      <c r="H1023" s="13"/>
      <c r="I1023" s="12"/>
      <c r="J1023" s="13"/>
      <c r="K1023" s="13"/>
      <c r="L1023" s="12"/>
    </row>
    <row r="1024" spans="1:12" x14ac:dyDescent="0.25">
      <c r="A1024" s="5" t="s">
        <v>102</v>
      </c>
      <c r="B1024" s="12"/>
      <c r="C1024" s="5"/>
      <c r="D1024" s="4"/>
      <c r="E1024" s="13"/>
      <c r="F1024" s="10"/>
      <c r="G1024" s="13"/>
      <c r="H1024" s="13"/>
      <c r="I1024" s="12"/>
      <c r="J1024" s="13"/>
      <c r="K1024" s="13"/>
      <c r="L1024" s="12"/>
    </row>
    <row r="1025" spans="1:12" x14ac:dyDescent="0.25">
      <c r="A1025" s="5" t="s">
        <v>102</v>
      </c>
      <c r="B1025" s="12"/>
      <c r="C1025" s="5"/>
      <c r="D1025" s="4"/>
      <c r="E1025" s="13"/>
      <c r="F1025" s="10"/>
      <c r="G1025" s="13"/>
      <c r="H1025" s="13"/>
      <c r="I1025" s="12"/>
      <c r="J1025" s="13"/>
      <c r="K1025" s="13"/>
      <c r="L1025" s="12"/>
    </row>
    <row r="1026" spans="1:12" x14ac:dyDescent="0.25">
      <c r="A1026" s="5" t="s">
        <v>317</v>
      </c>
      <c r="B1026" s="12"/>
      <c r="C1026" s="5"/>
      <c r="D1026" s="4"/>
      <c r="E1026" s="13"/>
      <c r="F1026" s="10"/>
      <c r="G1026" s="13"/>
      <c r="H1026" s="13"/>
      <c r="I1026" s="12"/>
      <c r="J1026" s="13"/>
      <c r="K1026" s="13"/>
      <c r="L1026" s="12"/>
    </row>
    <row r="1027" spans="1:12" x14ac:dyDescent="0.25">
      <c r="A1027" s="5" t="s">
        <v>317</v>
      </c>
      <c r="B1027" s="12"/>
      <c r="C1027" s="5"/>
      <c r="D1027" s="4"/>
      <c r="E1027" s="13"/>
      <c r="F1027" s="10"/>
      <c r="G1027" s="13"/>
      <c r="H1027" s="13"/>
      <c r="I1027" s="12"/>
      <c r="J1027" s="13"/>
      <c r="K1027" s="13"/>
      <c r="L1027" s="12"/>
    </row>
    <row r="1028" spans="1:12" x14ac:dyDescent="0.25">
      <c r="A1028" s="5" t="s">
        <v>317</v>
      </c>
      <c r="B1028" s="12"/>
      <c r="C1028" s="5"/>
      <c r="D1028" s="4"/>
      <c r="E1028" s="13"/>
      <c r="F1028" s="10"/>
      <c r="G1028" s="13"/>
      <c r="H1028" s="13"/>
      <c r="I1028" s="12"/>
      <c r="J1028" s="13"/>
      <c r="K1028" s="13"/>
      <c r="L1028" s="12"/>
    </row>
    <row r="1029" spans="1:12" x14ac:dyDescent="0.25">
      <c r="A1029" s="5" t="s">
        <v>500</v>
      </c>
      <c r="B1029" s="12"/>
      <c r="C1029" s="5"/>
      <c r="D1029" s="4"/>
      <c r="E1029" s="13"/>
      <c r="F1029" s="10"/>
      <c r="G1029" s="13"/>
      <c r="H1029" s="13"/>
      <c r="I1029" s="12"/>
      <c r="J1029" s="13"/>
      <c r="K1029" s="13"/>
      <c r="L1029" s="12"/>
    </row>
    <row r="1030" spans="1:12" x14ac:dyDescent="0.25">
      <c r="A1030" s="5" t="s">
        <v>500</v>
      </c>
      <c r="B1030" s="12"/>
      <c r="C1030" s="5"/>
      <c r="D1030" s="4"/>
      <c r="E1030" s="13"/>
      <c r="F1030" s="10"/>
      <c r="G1030" s="13"/>
      <c r="H1030" s="13"/>
      <c r="I1030" s="12"/>
      <c r="J1030" s="13"/>
      <c r="K1030" s="13"/>
      <c r="L1030" s="12"/>
    </row>
    <row r="1031" spans="1:12" x14ac:dyDescent="0.25">
      <c r="A1031" s="5" t="s">
        <v>500</v>
      </c>
      <c r="B1031" s="12"/>
      <c r="C1031" s="5"/>
      <c r="D1031" s="4"/>
      <c r="E1031" s="13"/>
      <c r="F1031" s="10"/>
      <c r="G1031" s="13"/>
      <c r="H1031" s="13"/>
      <c r="I1031" s="12"/>
      <c r="J1031" s="13"/>
      <c r="K1031" s="13"/>
      <c r="L1031" s="12"/>
    </row>
    <row r="1032" spans="1:12" x14ac:dyDescent="0.25">
      <c r="A1032" s="5" t="s">
        <v>184</v>
      </c>
      <c r="B1032" s="12"/>
      <c r="C1032" s="5"/>
      <c r="D1032" s="4"/>
      <c r="E1032" s="13"/>
      <c r="F1032" s="10"/>
      <c r="G1032" s="13"/>
      <c r="H1032" s="13"/>
      <c r="I1032" s="12"/>
      <c r="J1032" s="13"/>
      <c r="K1032" s="13"/>
      <c r="L1032" s="12"/>
    </row>
    <row r="1033" spans="1:12" x14ac:dyDescent="0.25">
      <c r="A1033" s="5" t="s">
        <v>184</v>
      </c>
      <c r="B1033" s="12"/>
      <c r="C1033" s="5"/>
      <c r="D1033" s="4"/>
      <c r="E1033" s="13"/>
      <c r="F1033" s="10"/>
      <c r="G1033" s="13"/>
      <c r="H1033" s="13"/>
      <c r="I1033" s="12"/>
      <c r="J1033" s="13"/>
      <c r="K1033" s="13"/>
      <c r="L1033" s="12"/>
    </row>
    <row r="1034" spans="1:12" x14ac:dyDescent="0.25">
      <c r="A1034" s="5" t="s">
        <v>184</v>
      </c>
      <c r="B1034" s="12"/>
      <c r="C1034" s="5"/>
      <c r="D1034" s="4"/>
      <c r="E1034" s="13"/>
      <c r="F1034" s="10"/>
      <c r="G1034" s="13"/>
      <c r="H1034" s="13"/>
      <c r="I1034" s="12"/>
      <c r="J1034" s="13"/>
      <c r="K1034" s="13"/>
      <c r="L1034" s="12"/>
    </row>
    <row r="1035" spans="1:12" x14ac:dyDescent="0.25">
      <c r="A1035" s="5" t="s">
        <v>512</v>
      </c>
      <c r="B1035" s="12"/>
      <c r="C1035" s="5"/>
      <c r="D1035" s="4"/>
      <c r="E1035" s="13"/>
      <c r="F1035" s="10"/>
      <c r="G1035" s="13"/>
      <c r="H1035" s="13"/>
      <c r="I1035" s="12"/>
      <c r="J1035" s="13"/>
      <c r="K1035" s="13"/>
      <c r="L1035" s="12"/>
    </row>
    <row r="1036" spans="1:12" x14ac:dyDescent="0.25">
      <c r="A1036" s="5" t="s">
        <v>512</v>
      </c>
      <c r="B1036" s="12"/>
      <c r="C1036" s="5"/>
      <c r="D1036" s="4"/>
      <c r="E1036" s="13"/>
      <c r="F1036" s="10"/>
      <c r="G1036" s="13"/>
      <c r="H1036" s="13"/>
      <c r="I1036" s="12"/>
      <c r="J1036" s="13"/>
      <c r="K1036" s="13"/>
      <c r="L1036" s="12"/>
    </row>
    <row r="1037" spans="1:12" x14ac:dyDescent="0.25">
      <c r="A1037" s="5" t="s">
        <v>512</v>
      </c>
      <c r="B1037" s="12"/>
      <c r="C1037" s="5"/>
      <c r="D1037" s="4"/>
      <c r="E1037" s="13"/>
      <c r="F1037" s="10"/>
      <c r="G1037" s="13"/>
      <c r="H1037" s="13"/>
      <c r="I1037" s="12"/>
      <c r="J1037" s="13"/>
      <c r="K1037" s="13"/>
      <c r="L1037" s="12"/>
    </row>
    <row r="1038" spans="1:12" x14ac:dyDescent="0.25">
      <c r="A1038" s="5" t="s">
        <v>15</v>
      </c>
      <c r="B1038" s="12"/>
      <c r="C1038" s="5"/>
      <c r="D1038" s="4"/>
      <c r="E1038" s="13"/>
      <c r="F1038" s="10"/>
      <c r="G1038" s="13"/>
      <c r="H1038" s="13"/>
      <c r="I1038" s="12"/>
      <c r="J1038" s="13"/>
      <c r="K1038" s="13"/>
      <c r="L1038" s="12"/>
    </row>
    <row r="1039" spans="1:12" x14ac:dyDescent="0.25">
      <c r="A1039" s="5" t="s">
        <v>15</v>
      </c>
      <c r="B1039" s="12"/>
      <c r="C1039" s="5"/>
      <c r="D1039" s="4"/>
      <c r="E1039" s="13"/>
      <c r="F1039" s="10"/>
      <c r="G1039" s="13"/>
      <c r="H1039" s="13"/>
      <c r="I1039" s="12"/>
      <c r="J1039" s="13"/>
      <c r="K1039" s="13"/>
      <c r="L1039" s="12"/>
    </row>
    <row r="1040" spans="1:12" x14ac:dyDescent="0.25">
      <c r="A1040" s="5" t="s">
        <v>15</v>
      </c>
      <c r="B1040" s="12"/>
      <c r="C1040" s="5"/>
      <c r="D1040" s="4"/>
      <c r="E1040" s="13"/>
      <c r="F1040" s="10"/>
      <c r="G1040" s="13"/>
      <c r="H1040" s="13"/>
      <c r="I1040" s="12"/>
      <c r="J1040" s="13"/>
      <c r="K1040" s="13"/>
      <c r="L1040" s="12"/>
    </row>
    <row r="1041" spans="1:12" x14ac:dyDescent="0.25">
      <c r="A1041" s="5" t="s">
        <v>493</v>
      </c>
      <c r="B1041" s="12"/>
      <c r="C1041" s="5"/>
      <c r="D1041" s="4"/>
      <c r="E1041" s="13"/>
      <c r="F1041" s="10"/>
      <c r="G1041" s="13"/>
      <c r="H1041" s="13"/>
      <c r="I1041" s="12"/>
      <c r="J1041" s="13"/>
      <c r="K1041" s="13"/>
      <c r="L1041" s="12"/>
    </row>
    <row r="1042" spans="1:12" x14ac:dyDescent="0.25">
      <c r="A1042" s="5" t="s">
        <v>493</v>
      </c>
      <c r="B1042" s="12"/>
      <c r="C1042" s="5"/>
      <c r="D1042" s="4"/>
      <c r="E1042" s="13"/>
      <c r="F1042" s="10"/>
      <c r="G1042" s="13"/>
      <c r="H1042" s="13"/>
      <c r="I1042" s="12"/>
      <c r="J1042" s="13"/>
      <c r="K1042" s="13"/>
      <c r="L1042" s="12"/>
    </row>
    <row r="1043" spans="1:12" x14ac:dyDescent="0.25">
      <c r="A1043" s="5" t="s">
        <v>493</v>
      </c>
      <c r="B1043" s="12"/>
      <c r="C1043" s="5"/>
      <c r="D1043" s="4"/>
      <c r="E1043" s="13"/>
      <c r="F1043" s="10"/>
      <c r="G1043" s="13"/>
      <c r="H1043" s="13"/>
      <c r="I1043" s="12"/>
      <c r="J1043" s="13"/>
      <c r="K1043" s="13"/>
      <c r="L1043" s="12"/>
    </row>
    <row r="1044" spans="1:12" x14ac:dyDescent="0.25">
      <c r="A1044" s="5" t="s">
        <v>494</v>
      </c>
      <c r="B1044" s="12"/>
      <c r="C1044" s="5"/>
      <c r="D1044" s="4"/>
      <c r="E1044" s="13"/>
      <c r="F1044" s="10"/>
      <c r="G1044" s="13"/>
      <c r="H1044" s="13"/>
      <c r="I1044" s="12"/>
      <c r="J1044" s="13"/>
      <c r="K1044" s="13"/>
      <c r="L1044" s="12"/>
    </row>
    <row r="1045" spans="1:12" x14ac:dyDescent="0.25">
      <c r="A1045" s="5" t="s">
        <v>494</v>
      </c>
      <c r="B1045" s="12"/>
      <c r="C1045" s="5"/>
      <c r="D1045" s="4"/>
      <c r="E1045" s="13"/>
      <c r="F1045" s="10"/>
      <c r="G1045" s="13"/>
      <c r="H1045" s="13"/>
      <c r="I1045" s="12"/>
      <c r="J1045" s="13"/>
      <c r="K1045" s="13"/>
      <c r="L1045" s="12"/>
    </row>
    <row r="1046" spans="1:12" x14ac:dyDescent="0.25">
      <c r="A1046" s="5" t="s">
        <v>494</v>
      </c>
      <c r="B1046" s="12"/>
      <c r="C1046" s="5"/>
      <c r="D1046" s="4"/>
      <c r="E1046" s="13"/>
      <c r="F1046" s="10"/>
      <c r="G1046" s="13"/>
      <c r="H1046" s="13"/>
      <c r="I1046" s="12"/>
      <c r="J1046" s="13"/>
      <c r="K1046" s="13"/>
      <c r="L1046" s="12"/>
    </row>
    <row r="1047" spans="1:12" x14ac:dyDescent="0.25">
      <c r="A1047" s="5" t="s">
        <v>503</v>
      </c>
      <c r="B1047" s="12"/>
      <c r="C1047" s="5"/>
      <c r="D1047" s="4"/>
      <c r="E1047" s="13"/>
      <c r="F1047" s="10"/>
      <c r="G1047" s="13"/>
      <c r="H1047" s="13"/>
      <c r="I1047" s="12"/>
      <c r="J1047" s="13"/>
      <c r="K1047" s="13"/>
      <c r="L1047" s="12"/>
    </row>
    <row r="1048" spans="1:12" x14ac:dyDescent="0.25">
      <c r="A1048" s="5" t="s">
        <v>503</v>
      </c>
      <c r="B1048" s="12"/>
      <c r="C1048" s="5"/>
      <c r="D1048" s="4"/>
      <c r="E1048" s="13"/>
      <c r="F1048" s="10"/>
      <c r="G1048" s="13"/>
      <c r="H1048" s="13"/>
      <c r="I1048" s="12"/>
      <c r="J1048" s="13"/>
      <c r="K1048" s="13"/>
      <c r="L1048" s="12"/>
    </row>
    <row r="1049" spans="1:12" x14ac:dyDescent="0.25">
      <c r="A1049" s="5" t="s">
        <v>503</v>
      </c>
      <c r="B1049" s="12"/>
      <c r="C1049" s="5"/>
      <c r="D1049" s="4"/>
      <c r="E1049" s="13"/>
      <c r="F1049" s="10"/>
      <c r="G1049" s="13"/>
      <c r="H1049" s="13"/>
      <c r="I1049" s="12"/>
      <c r="J1049" s="13"/>
      <c r="K1049" s="13"/>
      <c r="L1049" s="12"/>
    </row>
    <row r="1050" spans="1:12" x14ac:dyDescent="0.25">
      <c r="A1050" s="5" t="s">
        <v>57</v>
      </c>
      <c r="B1050" s="12"/>
      <c r="C1050" s="5"/>
      <c r="D1050" s="4"/>
      <c r="E1050" s="13"/>
      <c r="F1050" s="10"/>
      <c r="G1050" s="13"/>
      <c r="H1050" s="13"/>
      <c r="I1050" s="12"/>
      <c r="J1050" s="13"/>
      <c r="K1050" s="13"/>
      <c r="L1050" s="12"/>
    </row>
    <row r="1051" spans="1:12" x14ac:dyDescent="0.25">
      <c r="A1051" s="5" t="s">
        <v>57</v>
      </c>
      <c r="B1051" s="12"/>
      <c r="C1051" s="5"/>
      <c r="D1051" s="4"/>
      <c r="E1051" s="13"/>
      <c r="F1051" s="10"/>
      <c r="G1051" s="13"/>
      <c r="H1051" s="13"/>
      <c r="I1051" s="12"/>
      <c r="J1051" s="13"/>
      <c r="K1051" s="13"/>
      <c r="L1051" s="12"/>
    </row>
    <row r="1052" spans="1:12" x14ac:dyDescent="0.25">
      <c r="A1052" s="5" t="s">
        <v>57</v>
      </c>
      <c r="B1052" s="12"/>
      <c r="C1052" s="5"/>
      <c r="D1052" s="4"/>
      <c r="E1052" s="13"/>
      <c r="F1052" s="10"/>
      <c r="G1052" s="13"/>
      <c r="H1052" s="13"/>
      <c r="I1052" s="12"/>
      <c r="J1052" s="13"/>
      <c r="K1052" s="13"/>
      <c r="L1052" s="12"/>
    </row>
    <row r="1053" spans="1:12" x14ac:dyDescent="0.25">
      <c r="A1053" s="5" t="s">
        <v>57</v>
      </c>
      <c r="B1053" s="12"/>
      <c r="C1053" s="5"/>
      <c r="D1053" s="4"/>
      <c r="E1053" s="13"/>
      <c r="F1053" s="10"/>
      <c r="G1053" s="13"/>
      <c r="H1053" s="13"/>
      <c r="I1053" s="12"/>
      <c r="J1053" s="13"/>
      <c r="K1053" s="13"/>
      <c r="L1053" s="12"/>
    </row>
    <row r="1054" spans="1:12" x14ac:dyDescent="0.25">
      <c r="A1054" s="5" t="s">
        <v>57</v>
      </c>
      <c r="B1054" s="12"/>
      <c r="C1054" s="5"/>
      <c r="D1054" s="4"/>
      <c r="E1054" s="13"/>
      <c r="F1054" s="10"/>
      <c r="G1054" s="13"/>
      <c r="H1054" s="13"/>
      <c r="I1054" s="12"/>
      <c r="J1054" s="13"/>
      <c r="K1054" s="13"/>
      <c r="L1054" s="12"/>
    </row>
    <row r="1055" spans="1:12" x14ac:dyDescent="0.25">
      <c r="A1055" s="5" t="s">
        <v>383</v>
      </c>
      <c r="B1055" s="12"/>
      <c r="C1055" s="5"/>
      <c r="D1055" s="4"/>
      <c r="E1055" s="13"/>
      <c r="F1055" s="10"/>
      <c r="G1055" s="13"/>
      <c r="H1055" s="13"/>
      <c r="I1055" s="12"/>
      <c r="J1055" s="13"/>
      <c r="K1055" s="13"/>
      <c r="L1055" s="12"/>
    </row>
    <row r="1056" spans="1:12" x14ac:dyDescent="0.25">
      <c r="A1056" s="5" t="s">
        <v>383</v>
      </c>
      <c r="B1056" s="12"/>
      <c r="C1056" s="5"/>
      <c r="D1056" s="4"/>
      <c r="E1056" s="13"/>
      <c r="F1056" s="10"/>
      <c r="G1056" s="13"/>
      <c r="H1056" s="13"/>
      <c r="I1056" s="12"/>
      <c r="J1056" s="13"/>
      <c r="K1056" s="13"/>
      <c r="L1056" s="12"/>
    </row>
    <row r="1057" spans="1:12" x14ac:dyDescent="0.25">
      <c r="A1057" s="5" t="s">
        <v>383</v>
      </c>
      <c r="B1057" s="12"/>
      <c r="C1057" s="5"/>
      <c r="D1057" s="4"/>
      <c r="E1057" s="13"/>
      <c r="F1057" s="10"/>
      <c r="G1057" s="13"/>
      <c r="H1057" s="13"/>
      <c r="I1057" s="12"/>
      <c r="J1057" s="13"/>
      <c r="K1057" s="13"/>
      <c r="L1057" s="12"/>
    </row>
    <row r="1058" spans="1:12" x14ac:dyDescent="0.25">
      <c r="A1058" s="5" t="s">
        <v>383</v>
      </c>
      <c r="B1058" s="12"/>
      <c r="C1058" s="5"/>
      <c r="D1058" s="4"/>
      <c r="E1058" s="13"/>
      <c r="F1058" s="10"/>
      <c r="G1058" s="13"/>
      <c r="H1058" s="13"/>
      <c r="I1058" s="12"/>
      <c r="J1058" s="13"/>
      <c r="K1058" s="13"/>
      <c r="L1058" s="12"/>
    </row>
    <row r="1059" spans="1:12" x14ac:dyDescent="0.25">
      <c r="A1059" s="5" t="s">
        <v>383</v>
      </c>
      <c r="B1059" s="12"/>
      <c r="C1059" s="5"/>
      <c r="D1059" s="4"/>
      <c r="E1059" s="13"/>
      <c r="F1059" s="10"/>
      <c r="G1059" s="13"/>
      <c r="H1059" s="13"/>
      <c r="I1059" s="12"/>
      <c r="J1059" s="13"/>
      <c r="K1059" s="13"/>
      <c r="L1059" s="12"/>
    </row>
    <row r="1060" spans="1:12" x14ac:dyDescent="0.25">
      <c r="A1060" s="5" t="s">
        <v>383</v>
      </c>
      <c r="B1060" s="12"/>
      <c r="C1060" s="5"/>
      <c r="D1060" s="4"/>
      <c r="E1060" s="13"/>
      <c r="F1060" s="10"/>
      <c r="G1060" s="13"/>
      <c r="H1060" s="13"/>
      <c r="I1060" s="12"/>
      <c r="J1060" s="13"/>
      <c r="K1060" s="13"/>
      <c r="L1060" s="12"/>
    </row>
    <row r="1061" spans="1:12" x14ac:dyDescent="0.25">
      <c r="A1061" s="5" t="s">
        <v>96</v>
      </c>
      <c r="B1061" s="12"/>
      <c r="C1061" s="5"/>
      <c r="D1061" s="4"/>
      <c r="E1061" s="13"/>
      <c r="F1061" s="10"/>
      <c r="G1061" s="13"/>
      <c r="H1061" s="13"/>
      <c r="I1061" s="12"/>
      <c r="J1061" s="13"/>
      <c r="K1061" s="13"/>
      <c r="L1061" s="12"/>
    </row>
    <row r="1062" spans="1:12" x14ac:dyDescent="0.25">
      <c r="A1062" s="5" t="s">
        <v>96</v>
      </c>
      <c r="B1062" s="12"/>
      <c r="C1062" s="5"/>
      <c r="D1062" s="4"/>
      <c r="E1062" s="13"/>
      <c r="F1062" s="10"/>
      <c r="G1062" s="13"/>
      <c r="H1062" s="13"/>
      <c r="I1062" s="12"/>
      <c r="J1062" s="13"/>
      <c r="K1062" s="13"/>
      <c r="L1062" s="12"/>
    </row>
    <row r="1063" spans="1:12" x14ac:dyDescent="0.25">
      <c r="A1063" s="5" t="s">
        <v>96</v>
      </c>
      <c r="B1063" s="12"/>
      <c r="C1063" s="5"/>
      <c r="D1063" s="4"/>
      <c r="E1063" s="13"/>
      <c r="F1063" s="10"/>
      <c r="G1063" s="13"/>
      <c r="H1063" s="13"/>
      <c r="I1063" s="12"/>
      <c r="J1063" s="13"/>
      <c r="K1063" s="13"/>
      <c r="L1063" s="12"/>
    </row>
    <row r="1064" spans="1:12" x14ac:dyDescent="0.25">
      <c r="A1064" s="5" t="s">
        <v>96</v>
      </c>
      <c r="B1064" s="12"/>
      <c r="C1064" s="5"/>
      <c r="D1064" s="4"/>
      <c r="E1064" s="13"/>
      <c r="F1064" s="10"/>
      <c r="G1064" s="13"/>
      <c r="H1064" s="13"/>
      <c r="I1064" s="12"/>
      <c r="J1064" s="13"/>
      <c r="K1064" s="13"/>
      <c r="L1064" s="12"/>
    </row>
    <row r="1065" spans="1:12" x14ac:dyDescent="0.25">
      <c r="A1065" s="5" t="s">
        <v>96</v>
      </c>
      <c r="B1065" s="12"/>
      <c r="C1065" s="5"/>
      <c r="D1065" s="4"/>
      <c r="E1065" s="13"/>
      <c r="F1065" s="10"/>
      <c r="G1065" s="13"/>
      <c r="H1065" s="13"/>
      <c r="I1065" s="12"/>
      <c r="J1065" s="13"/>
      <c r="K1065" s="13"/>
      <c r="L1065" s="12"/>
    </row>
    <row r="1066" spans="1:12" x14ac:dyDescent="0.25">
      <c r="A1066" s="5" t="s">
        <v>96</v>
      </c>
      <c r="B1066" s="12"/>
      <c r="C1066" s="5"/>
      <c r="D1066" s="4"/>
      <c r="E1066" s="13"/>
      <c r="F1066" s="10"/>
      <c r="G1066" s="13"/>
      <c r="H1066" s="13"/>
      <c r="I1066" s="12"/>
      <c r="J1066" s="13"/>
      <c r="K1066" s="13"/>
      <c r="L1066" s="12"/>
    </row>
    <row r="1067" spans="1:12" x14ac:dyDescent="0.25">
      <c r="A1067" s="5" t="s">
        <v>171</v>
      </c>
      <c r="B1067" s="12"/>
      <c r="C1067" s="5"/>
      <c r="D1067" s="4"/>
      <c r="E1067" s="13"/>
      <c r="F1067" s="10"/>
      <c r="G1067" s="13"/>
      <c r="H1067" s="13"/>
      <c r="I1067" s="12"/>
      <c r="J1067" s="13"/>
      <c r="K1067" s="13"/>
      <c r="L1067" s="12"/>
    </row>
    <row r="1068" spans="1:12" x14ac:dyDescent="0.25">
      <c r="A1068" s="5" t="s">
        <v>171</v>
      </c>
      <c r="B1068" s="12"/>
      <c r="C1068" s="5"/>
      <c r="D1068" s="4"/>
      <c r="E1068" s="13"/>
      <c r="F1068" s="10"/>
      <c r="G1068" s="13"/>
      <c r="H1068" s="13"/>
      <c r="I1068" s="12"/>
      <c r="J1068" s="13"/>
      <c r="K1068" s="13"/>
      <c r="L1068" s="12"/>
    </row>
    <row r="1069" spans="1:12" x14ac:dyDescent="0.25">
      <c r="A1069" s="5" t="s">
        <v>171</v>
      </c>
      <c r="B1069" s="12"/>
      <c r="C1069" s="5"/>
      <c r="D1069" s="4"/>
      <c r="E1069" s="13"/>
      <c r="F1069" s="10"/>
      <c r="G1069" s="13"/>
      <c r="H1069" s="13"/>
      <c r="I1069" s="12"/>
      <c r="J1069" s="13"/>
      <c r="K1069" s="13"/>
      <c r="L1069" s="12"/>
    </row>
    <row r="1070" spans="1:12" x14ac:dyDescent="0.25">
      <c r="A1070" s="5" t="s">
        <v>171</v>
      </c>
      <c r="B1070" s="12"/>
      <c r="C1070" s="5"/>
      <c r="D1070" s="4"/>
      <c r="E1070" s="13"/>
      <c r="F1070" s="10"/>
      <c r="G1070" s="13"/>
      <c r="H1070" s="13"/>
      <c r="I1070" s="12"/>
      <c r="J1070" s="13"/>
      <c r="K1070" s="13"/>
      <c r="L1070" s="12"/>
    </row>
    <row r="1071" spans="1:12" x14ac:dyDescent="0.25">
      <c r="A1071" s="5" t="s">
        <v>171</v>
      </c>
      <c r="B1071" s="12"/>
      <c r="C1071" s="5"/>
      <c r="D1071" s="4"/>
      <c r="E1071" s="13"/>
      <c r="F1071" s="10"/>
      <c r="G1071" s="13"/>
      <c r="H1071" s="13"/>
      <c r="I1071" s="12"/>
      <c r="J1071" s="13"/>
      <c r="K1071" s="13"/>
      <c r="L1071" s="12"/>
    </row>
    <row r="1072" spans="1:12" x14ac:dyDescent="0.25">
      <c r="A1072" s="5" t="s">
        <v>171</v>
      </c>
      <c r="B1072" s="12"/>
      <c r="C1072" s="5"/>
      <c r="D1072" s="4"/>
      <c r="E1072" s="13"/>
      <c r="F1072" s="10"/>
      <c r="G1072" s="13"/>
      <c r="H1072" s="13"/>
      <c r="I1072" s="12"/>
      <c r="J1072" s="13"/>
      <c r="K1072" s="13"/>
      <c r="L1072" s="12"/>
    </row>
    <row r="1073" spans="1:12" x14ac:dyDescent="0.25">
      <c r="A1073" s="5" t="s">
        <v>760</v>
      </c>
      <c r="B1073" s="12"/>
      <c r="C1073" s="5"/>
      <c r="D1073" s="4"/>
      <c r="E1073" s="13"/>
      <c r="F1073" s="10"/>
      <c r="G1073" s="13"/>
      <c r="H1073" s="13"/>
      <c r="I1073" s="12"/>
      <c r="J1073" s="13"/>
      <c r="K1073" s="13"/>
      <c r="L1073" s="12"/>
    </row>
    <row r="1074" spans="1:12" x14ac:dyDescent="0.25">
      <c r="A1074" s="5" t="s">
        <v>574</v>
      </c>
      <c r="B1074" s="12"/>
      <c r="C1074" s="5"/>
      <c r="D1074" s="4"/>
      <c r="E1074" s="13"/>
      <c r="F1074" s="10"/>
      <c r="G1074" s="13"/>
      <c r="H1074" s="13"/>
      <c r="I1074" s="12"/>
      <c r="J1074" s="13"/>
      <c r="K1074" s="13"/>
      <c r="L1074" s="12"/>
    </row>
    <row r="1075" spans="1:12" x14ac:dyDescent="0.25">
      <c r="A1075" s="5" t="s">
        <v>574</v>
      </c>
      <c r="B1075" s="12"/>
      <c r="C1075" s="5"/>
      <c r="D1075" s="4"/>
      <c r="E1075" s="13"/>
      <c r="F1075" s="10"/>
      <c r="G1075" s="13"/>
      <c r="H1075" s="13"/>
      <c r="I1075" s="12"/>
      <c r="J1075" s="13"/>
      <c r="K1075" s="13"/>
      <c r="L1075" s="12"/>
    </row>
    <row r="1076" spans="1:12" x14ac:dyDescent="0.25">
      <c r="A1076" s="5" t="s">
        <v>574</v>
      </c>
      <c r="B1076" s="12"/>
      <c r="C1076" s="5"/>
      <c r="D1076" s="4"/>
      <c r="E1076" s="13"/>
      <c r="F1076" s="10"/>
      <c r="G1076" s="13"/>
      <c r="H1076" s="13"/>
      <c r="I1076" s="12"/>
      <c r="J1076" s="13"/>
      <c r="K1076" s="13"/>
      <c r="L1076" s="12"/>
    </row>
    <row r="1077" spans="1:12" x14ac:dyDescent="0.25">
      <c r="A1077" s="5" t="s">
        <v>574</v>
      </c>
      <c r="B1077" s="12"/>
      <c r="C1077" s="5"/>
      <c r="D1077" s="4"/>
      <c r="E1077" s="13"/>
      <c r="F1077" s="10"/>
      <c r="G1077" s="13"/>
      <c r="H1077" s="13"/>
      <c r="I1077" s="12"/>
      <c r="J1077" s="13"/>
      <c r="K1077" s="13"/>
      <c r="L1077" s="12"/>
    </row>
    <row r="1078" spans="1:12" x14ac:dyDescent="0.25">
      <c r="A1078" s="5" t="s">
        <v>574</v>
      </c>
      <c r="B1078" s="12"/>
      <c r="C1078" s="5"/>
      <c r="D1078" s="4"/>
      <c r="E1078" s="13"/>
      <c r="F1078" s="10"/>
      <c r="G1078" s="13"/>
      <c r="H1078" s="13"/>
      <c r="I1078" s="12"/>
      <c r="J1078" s="13"/>
      <c r="K1078" s="13"/>
      <c r="L1078" s="12"/>
    </row>
    <row r="1079" spans="1:12" x14ac:dyDescent="0.25">
      <c r="A1079" s="5" t="s">
        <v>574</v>
      </c>
      <c r="B1079" s="12"/>
      <c r="C1079" s="5"/>
      <c r="D1079" s="4"/>
      <c r="E1079" s="13"/>
      <c r="F1079" s="10"/>
      <c r="G1079" s="13"/>
      <c r="H1079" s="13"/>
      <c r="I1079" s="12"/>
      <c r="J1079" s="13"/>
      <c r="K1079" s="13"/>
      <c r="L1079" s="12"/>
    </row>
    <row r="1080" spans="1:12" x14ac:dyDescent="0.25">
      <c r="A1080" s="5" t="s">
        <v>810</v>
      </c>
      <c r="B1080" s="12"/>
      <c r="C1080" s="5"/>
      <c r="D1080" s="4"/>
      <c r="E1080" s="13"/>
      <c r="F1080" s="10"/>
      <c r="G1080" s="13"/>
      <c r="H1080" s="13"/>
      <c r="I1080" s="12"/>
      <c r="J1080" s="13"/>
      <c r="K1080" s="13"/>
      <c r="L1080" s="12"/>
    </row>
    <row r="1081" spans="1:12" x14ac:dyDescent="0.25">
      <c r="A1081" s="5" t="s">
        <v>169</v>
      </c>
      <c r="B1081" s="12"/>
      <c r="C1081" s="5"/>
      <c r="D1081" s="4"/>
      <c r="E1081" s="13"/>
      <c r="F1081" s="10"/>
      <c r="G1081" s="13"/>
      <c r="H1081" s="13"/>
      <c r="I1081" s="12"/>
      <c r="J1081" s="13"/>
      <c r="K1081" s="13"/>
      <c r="L1081" s="12"/>
    </row>
    <row r="1082" spans="1:12" x14ac:dyDescent="0.25">
      <c r="A1082" s="5" t="s">
        <v>169</v>
      </c>
      <c r="B1082" s="12"/>
      <c r="C1082" s="5"/>
      <c r="D1082" s="4"/>
      <c r="E1082" s="13"/>
      <c r="F1082" s="10"/>
      <c r="G1082" s="13"/>
      <c r="H1082" s="13"/>
      <c r="I1082" s="12"/>
      <c r="J1082" s="13"/>
      <c r="K1082" s="13"/>
      <c r="L1082" s="12"/>
    </row>
    <row r="1083" spans="1:12" x14ac:dyDescent="0.25">
      <c r="A1083" s="5" t="s">
        <v>169</v>
      </c>
      <c r="B1083" s="12"/>
      <c r="C1083" s="5"/>
      <c r="D1083" s="4"/>
      <c r="E1083" s="13"/>
      <c r="F1083" s="10"/>
      <c r="G1083" s="13"/>
      <c r="H1083" s="13"/>
      <c r="I1083" s="12"/>
      <c r="J1083" s="13"/>
      <c r="K1083" s="13"/>
      <c r="L1083" s="12"/>
    </row>
    <row r="1084" spans="1:12" x14ac:dyDescent="0.25">
      <c r="A1084" s="5" t="s">
        <v>169</v>
      </c>
      <c r="B1084" s="12"/>
      <c r="C1084" s="5"/>
      <c r="D1084" s="4"/>
      <c r="E1084" s="13"/>
      <c r="F1084" s="10"/>
      <c r="G1084" s="13"/>
      <c r="H1084" s="13"/>
      <c r="I1084" s="12"/>
      <c r="J1084" s="13"/>
      <c r="K1084" s="13"/>
      <c r="L1084" s="12"/>
    </row>
    <row r="1085" spans="1:12" x14ac:dyDescent="0.25">
      <c r="A1085" s="5" t="s">
        <v>169</v>
      </c>
      <c r="B1085" s="12"/>
      <c r="C1085" s="5"/>
      <c r="D1085" s="4"/>
      <c r="E1085" s="13"/>
      <c r="F1085" s="10"/>
      <c r="G1085" s="13"/>
      <c r="H1085" s="13"/>
      <c r="I1085" s="12"/>
      <c r="J1085" s="13"/>
      <c r="K1085" s="13"/>
      <c r="L1085" s="12"/>
    </row>
    <row r="1086" spans="1:12" x14ac:dyDescent="0.25">
      <c r="A1086" s="5" t="s">
        <v>169</v>
      </c>
      <c r="B1086" s="12"/>
      <c r="C1086" s="5"/>
      <c r="D1086" s="4"/>
      <c r="E1086" s="13"/>
      <c r="F1086" s="10"/>
      <c r="G1086" s="13"/>
      <c r="H1086" s="13"/>
      <c r="I1086" s="12"/>
      <c r="J1086" s="13"/>
      <c r="K1086" s="13"/>
      <c r="L1086" s="12"/>
    </row>
    <row r="1087" spans="1:12" x14ac:dyDescent="0.25">
      <c r="A1087" s="5" t="s">
        <v>750</v>
      </c>
      <c r="B1087" s="12"/>
      <c r="C1087" s="5"/>
      <c r="D1087" s="4"/>
      <c r="E1087" s="13"/>
      <c r="F1087" s="10"/>
      <c r="G1087" s="13"/>
      <c r="H1087" s="13"/>
      <c r="I1087" s="12"/>
      <c r="J1087" s="13"/>
      <c r="K1087" s="13"/>
      <c r="L1087" s="12"/>
    </row>
    <row r="1088" spans="1:12" x14ac:dyDescent="0.25">
      <c r="A1088" s="5" t="s">
        <v>750</v>
      </c>
      <c r="B1088" s="12"/>
      <c r="C1088" s="5"/>
      <c r="D1088" s="4"/>
      <c r="E1088" s="13"/>
      <c r="F1088" s="10"/>
      <c r="G1088" s="13"/>
      <c r="H1088" s="13"/>
      <c r="I1088" s="12"/>
      <c r="J1088" s="13"/>
      <c r="K1088" s="13"/>
      <c r="L1088" s="12"/>
    </row>
    <row r="1089" spans="1:12" x14ac:dyDescent="0.25">
      <c r="A1089" s="5" t="s">
        <v>750</v>
      </c>
      <c r="B1089" s="12"/>
      <c r="C1089" s="5"/>
      <c r="D1089" s="4"/>
      <c r="E1089" s="13"/>
      <c r="F1089" s="10"/>
      <c r="G1089" s="13"/>
      <c r="H1089" s="13"/>
      <c r="I1089" s="12"/>
      <c r="J1089" s="13"/>
      <c r="K1089" s="13"/>
      <c r="L1089" s="12"/>
    </row>
    <row r="1090" spans="1:12" x14ac:dyDescent="0.25">
      <c r="A1090" s="5" t="s">
        <v>750</v>
      </c>
      <c r="B1090" s="12"/>
      <c r="C1090" s="5"/>
      <c r="D1090" s="4"/>
      <c r="E1090" s="13"/>
      <c r="F1090" s="10"/>
      <c r="G1090" s="13"/>
      <c r="H1090" s="13"/>
      <c r="I1090" s="12"/>
      <c r="J1090" s="13"/>
      <c r="K1090" s="13"/>
      <c r="L1090" s="12"/>
    </row>
    <row r="1091" spans="1:12" x14ac:dyDescent="0.25">
      <c r="A1091" s="5" t="s">
        <v>106</v>
      </c>
      <c r="B1091" s="12"/>
      <c r="C1091" s="5"/>
      <c r="D1091" s="4"/>
      <c r="E1091" s="13"/>
      <c r="F1091" s="10"/>
      <c r="G1091" s="13"/>
      <c r="H1091" s="13"/>
      <c r="I1091" s="12"/>
      <c r="J1091" s="13"/>
      <c r="K1091" s="13"/>
      <c r="L1091" s="12"/>
    </row>
    <row r="1092" spans="1:12" x14ac:dyDescent="0.25">
      <c r="A1092" s="5" t="s">
        <v>106</v>
      </c>
      <c r="B1092" s="12"/>
      <c r="C1092" s="5"/>
      <c r="D1092" s="4"/>
      <c r="E1092" s="13"/>
      <c r="F1092" s="10"/>
      <c r="G1092" s="13"/>
      <c r="H1092" s="13"/>
      <c r="I1092" s="12"/>
      <c r="J1092" s="13"/>
      <c r="K1092" s="13"/>
      <c r="L1092" s="12"/>
    </row>
    <row r="1093" spans="1:12" x14ac:dyDescent="0.25">
      <c r="A1093" s="5" t="s">
        <v>106</v>
      </c>
      <c r="B1093" s="12"/>
      <c r="C1093" s="5"/>
      <c r="D1093" s="4"/>
      <c r="E1093" s="13"/>
      <c r="F1093" s="10"/>
      <c r="G1093" s="13"/>
      <c r="H1093" s="13"/>
      <c r="I1093" s="12"/>
      <c r="J1093" s="13"/>
      <c r="K1093" s="13"/>
      <c r="L1093" s="12"/>
    </row>
    <row r="1094" spans="1:12" x14ac:dyDescent="0.25">
      <c r="A1094" s="5" t="s">
        <v>106</v>
      </c>
      <c r="B1094" s="12"/>
      <c r="C1094" s="5"/>
      <c r="D1094" s="4"/>
      <c r="E1094" s="13"/>
      <c r="F1094" s="10"/>
      <c r="G1094" s="13"/>
      <c r="H1094" s="13"/>
      <c r="I1094" s="12"/>
      <c r="J1094" s="13"/>
      <c r="K1094" s="13"/>
      <c r="L1094" s="12"/>
    </row>
    <row r="1095" spans="1:12" x14ac:dyDescent="0.25">
      <c r="A1095" s="5" t="s">
        <v>106</v>
      </c>
      <c r="B1095" s="12"/>
      <c r="C1095" s="5"/>
      <c r="D1095" s="4"/>
      <c r="E1095" s="13"/>
      <c r="F1095" s="10"/>
      <c r="G1095" s="13"/>
      <c r="H1095" s="13"/>
      <c r="I1095" s="12"/>
      <c r="J1095" s="13"/>
      <c r="K1095" s="13"/>
      <c r="L1095" s="12"/>
    </row>
    <row r="1096" spans="1:12" x14ac:dyDescent="0.25">
      <c r="A1096" s="5" t="s">
        <v>106</v>
      </c>
      <c r="B1096" s="12"/>
      <c r="C1096" s="5"/>
      <c r="D1096" s="4"/>
      <c r="E1096" s="13"/>
      <c r="F1096" s="10"/>
      <c r="G1096" s="13"/>
      <c r="H1096" s="13"/>
      <c r="I1096" s="12"/>
      <c r="J1096" s="13"/>
      <c r="K1096" s="13"/>
      <c r="L1096" s="12"/>
    </row>
    <row r="1097" spans="1:12" x14ac:dyDescent="0.25">
      <c r="A1097" s="5" t="s">
        <v>378</v>
      </c>
      <c r="B1097" s="12"/>
      <c r="C1097" s="5"/>
      <c r="D1097" s="4"/>
      <c r="E1097" s="13"/>
      <c r="F1097" s="10"/>
      <c r="G1097" s="13"/>
      <c r="H1097" s="13"/>
      <c r="I1097" s="12"/>
      <c r="J1097" s="13"/>
      <c r="K1097" s="13"/>
      <c r="L1097" s="12"/>
    </row>
    <row r="1098" spans="1:12" x14ac:dyDescent="0.25">
      <c r="A1098" s="5" t="s">
        <v>586</v>
      </c>
      <c r="B1098" s="12"/>
      <c r="C1098" s="5"/>
      <c r="D1098" s="4"/>
      <c r="E1098" s="13"/>
      <c r="F1098" s="10"/>
      <c r="G1098" s="13"/>
      <c r="H1098" s="13"/>
      <c r="I1098" s="12"/>
      <c r="J1098" s="13"/>
      <c r="K1098" s="13"/>
      <c r="L1098" s="12"/>
    </row>
    <row r="1099" spans="1:12" x14ac:dyDescent="0.25">
      <c r="A1099" s="5" t="s">
        <v>586</v>
      </c>
      <c r="B1099" s="12"/>
      <c r="C1099" s="5"/>
      <c r="D1099" s="4"/>
      <c r="E1099" s="13"/>
      <c r="F1099" s="10"/>
      <c r="G1099" s="13"/>
      <c r="H1099" s="13"/>
      <c r="I1099" s="12"/>
      <c r="J1099" s="13"/>
      <c r="K1099" s="13"/>
      <c r="L1099" s="12"/>
    </row>
    <row r="1100" spans="1:12" x14ac:dyDescent="0.25">
      <c r="A1100" s="5" t="s">
        <v>586</v>
      </c>
      <c r="B1100" s="12"/>
      <c r="C1100" s="5"/>
      <c r="D1100" s="4"/>
      <c r="E1100" s="13"/>
      <c r="F1100" s="10"/>
      <c r="G1100" s="13"/>
      <c r="H1100" s="13"/>
      <c r="I1100" s="12"/>
      <c r="J1100" s="13"/>
      <c r="K1100" s="13"/>
      <c r="L1100" s="12"/>
    </row>
    <row r="1101" spans="1:12" x14ac:dyDescent="0.25">
      <c r="A1101" s="5" t="s">
        <v>586</v>
      </c>
      <c r="B1101" s="12"/>
      <c r="C1101" s="5"/>
      <c r="D1101" s="4"/>
      <c r="E1101" s="13"/>
      <c r="F1101" s="10"/>
      <c r="G1101" s="13"/>
      <c r="H1101" s="13"/>
      <c r="I1101" s="12"/>
      <c r="J1101" s="13"/>
      <c r="K1101" s="13"/>
      <c r="L1101" s="12"/>
    </row>
    <row r="1102" spans="1:12" x14ac:dyDescent="0.25">
      <c r="A1102" s="5" t="s">
        <v>586</v>
      </c>
      <c r="B1102" s="12"/>
      <c r="C1102" s="5"/>
      <c r="D1102" s="4"/>
      <c r="E1102" s="13"/>
      <c r="F1102" s="10"/>
      <c r="G1102" s="13"/>
      <c r="H1102" s="13"/>
      <c r="I1102" s="12"/>
      <c r="J1102" s="13"/>
      <c r="K1102" s="13"/>
      <c r="L1102" s="12"/>
    </row>
    <row r="1103" spans="1:12" x14ac:dyDescent="0.25">
      <c r="A1103" s="5" t="s">
        <v>586</v>
      </c>
      <c r="B1103" s="12"/>
      <c r="C1103" s="5"/>
      <c r="D1103" s="4"/>
      <c r="E1103" s="13"/>
      <c r="F1103" s="10"/>
      <c r="G1103" s="13"/>
      <c r="H1103" s="13"/>
      <c r="I1103" s="12"/>
      <c r="J1103" s="13"/>
      <c r="K1103" s="13"/>
      <c r="L1103" s="12"/>
    </row>
    <row r="1104" spans="1:12" x14ac:dyDescent="0.25">
      <c r="A1104" s="5" t="s">
        <v>664</v>
      </c>
      <c r="B1104" s="12"/>
      <c r="C1104" s="5"/>
      <c r="D1104" s="4"/>
      <c r="E1104" s="13"/>
      <c r="F1104" s="10"/>
      <c r="G1104" s="13"/>
      <c r="H1104" s="13"/>
      <c r="I1104" s="12"/>
      <c r="J1104" s="13"/>
      <c r="K1104" s="13"/>
      <c r="L1104" s="12"/>
    </row>
    <row r="1105" spans="1:12" x14ac:dyDescent="0.25">
      <c r="A1105" s="5" t="s">
        <v>664</v>
      </c>
      <c r="B1105" s="12"/>
      <c r="C1105" s="5"/>
      <c r="D1105" s="4"/>
      <c r="E1105" s="13"/>
      <c r="F1105" s="10"/>
      <c r="G1105" s="13"/>
      <c r="H1105" s="13"/>
      <c r="I1105" s="12"/>
      <c r="J1105" s="13"/>
      <c r="K1105" s="13"/>
      <c r="L1105" s="12"/>
    </row>
    <row r="1106" spans="1:12" x14ac:dyDescent="0.25">
      <c r="A1106" s="5" t="s">
        <v>664</v>
      </c>
      <c r="B1106" s="12"/>
      <c r="C1106" s="5"/>
      <c r="D1106" s="4"/>
      <c r="E1106" s="13"/>
      <c r="F1106" s="10"/>
      <c r="G1106" s="13"/>
      <c r="H1106" s="13"/>
      <c r="I1106" s="12"/>
      <c r="J1106" s="13"/>
      <c r="K1106" s="13"/>
      <c r="L1106" s="12"/>
    </row>
    <row r="1107" spans="1:12" x14ac:dyDescent="0.25">
      <c r="A1107" s="5" t="s">
        <v>664</v>
      </c>
      <c r="B1107" s="12"/>
      <c r="C1107" s="5"/>
      <c r="D1107" s="4"/>
      <c r="E1107" s="13"/>
      <c r="F1107" s="10"/>
      <c r="G1107" s="13"/>
      <c r="H1107" s="13"/>
      <c r="I1107" s="12"/>
      <c r="J1107" s="13"/>
      <c r="K1107" s="13"/>
      <c r="L1107" s="12"/>
    </row>
    <row r="1108" spans="1:12" x14ac:dyDescent="0.25">
      <c r="A1108" s="5" t="s">
        <v>664</v>
      </c>
      <c r="B1108" s="12"/>
      <c r="C1108" s="5"/>
      <c r="D1108" s="4"/>
      <c r="E1108" s="13"/>
      <c r="F1108" s="10"/>
      <c r="G1108" s="13"/>
      <c r="H1108" s="13"/>
      <c r="I1108" s="12"/>
      <c r="J1108" s="13"/>
      <c r="K1108" s="13"/>
      <c r="L1108" s="12"/>
    </row>
    <row r="1109" spans="1:12" x14ac:dyDescent="0.25">
      <c r="A1109" s="5" t="s">
        <v>664</v>
      </c>
      <c r="B1109" s="12"/>
      <c r="C1109" s="5"/>
      <c r="D1109" s="4"/>
      <c r="E1109" s="13"/>
      <c r="F1109" s="10"/>
      <c r="G1109" s="13"/>
      <c r="H1109" s="13"/>
      <c r="I1109" s="12"/>
      <c r="J1109" s="13"/>
      <c r="K1109" s="13"/>
      <c r="L1109" s="12"/>
    </row>
    <row r="1110" spans="1:12" x14ac:dyDescent="0.25">
      <c r="A1110" s="5" t="s">
        <v>735</v>
      </c>
      <c r="B1110" s="12"/>
      <c r="C1110" s="5"/>
      <c r="D1110" s="4"/>
      <c r="E1110" s="13"/>
      <c r="F1110" s="10"/>
      <c r="G1110" s="13"/>
      <c r="H1110" s="13"/>
      <c r="I1110" s="12"/>
      <c r="J1110" s="13"/>
      <c r="K1110" s="13"/>
      <c r="L1110" s="12"/>
    </row>
    <row r="1111" spans="1:12" x14ac:dyDescent="0.25">
      <c r="A1111" s="5" t="s">
        <v>232</v>
      </c>
      <c r="B1111" s="12"/>
      <c r="C1111" s="5"/>
      <c r="D1111" s="4"/>
      <c r="E1111" s="13"/>
      <c r="F1111" s="10"/>
      <c r="G1111" s="13"/>
      <c r="H1111" s="13"/>
      <c r="I1111" s="12"/>
      <c r="J1111" s="13"/>
      <c r="K1111" s="13"/>
      <c r="L1111" s="12"/>
    </row>
    <row r="1112" spans="1:12" x14ac:dyDescent="0.25">
      <c r="A1112" s="5" t="s">
        <v>232</v>
      </c>
      <c r="B1112" s="12"/>
      <c r="C1112" s="5"/>
      <c r="D1112" s="4"/>
      <c r="E1112" s="13"/>
      <c r="F1112" s="10"/>
      <c r="G1112" s="13"/>
      <c r="H1112" s="13"/>
      <c r="I1112" s="12"/>
      <c r="J1112" s="13"/>
      <c r="K1112" s="13"/>
      <c r="L1112" s="12"/>
    </row>
    <row r="1113" spans="1:12" x14ac:dyDescent="0.25">
      <c r="A1113" s="5" t="s">
        <v>232</v>
      </c>
      <c r="B1113" s="12"/>
      <c r="C1113" s="5"/>
      <c r="D1113" s="4"/>
      <c r="E1113" s="13"/>
      <c r="F1113" s="10"/>
      <c r="G1113" s="13"/>
      <c r="H1113" s="13"/>
      <c r="I1113" s="12"/>
      <c r="J1113" s="13"/>
      <c r="K1113" s="13"/>
      <c r="L1113" s="12"/>
    </row>
    <row r="1114" spans="1:12" x14ac:dyDescent="0.25">
      <c r="A1114" s="5" t="s">
        <v>232</v>
      </c>
      <c r="B1114" s="12"/>
      <c r="C1114" s="5"/>
      <c r="D1114" s="4"/>
      <c r="E1114" s="13"/>
      <c r="F1114" s="10"/>
      <c r="G1114" s="13"/>
      <c r="H1114" s="13"/>
      <c r="I1114" s="12"/>
      <c r="J1114" s="13"/>
      <c r="K1114" s="13"/>
      <c r="L1114" s="12"/>
    </row>
    <row r="1115" spans="1:12" x14ac:dyDescent="0.25">
      <c r="A1115" s="5" t="s">
        <v>232</v>
      </c>
      <c r="B1115" s="12"/>
      <c r="C1115" s="5"/>
      <c r="D1115" s="4"/>
      <c r="E1115" s="13"/>
      <c r="F1115" s="10"/>
      <c r="G1115" s="13"/>
      <c r="H1115" s="13"/>
      <c r="I1115" s="12"/>
      <c r="J1115" s="13"/>
      <c r="K1115" s="13"/>
      <c r="L1115" s="12"/>
    </row>
    <row r="1116" spans="1:12" x14ac:dyDescent="0.25">
      <c r="A1116" s="5" t="s">
        <v>232</v>
      </c>
      <c r="B1116" s="12"/>
      <c r="C1116" s="5"/>
      <c r="D1116" s="4"/>
      <c r="E1116" s="13"/>
      <c r="F1116" s="10"/>
      <c r="G1116" s="13"/>
      <c r="H1116" s="13"/>
      <c r="I1116" s="12"/>
      <c r="J1116" s="13"/>
      <c r="K1116" s="13"/>
      <c r="L1116" s="12"/>
    </row>
    <row r="1117" spans="1:12" x14ac:dyDescent="0.25">
      <c r="A1117" s="5" t="s">
        <v>748</v>
      </c>
      <c r="B1117" s="12"/>
      <c r="C1117" s="5"/>
      <c r="D1117" s="4"/>
      <c r="E1117" s="13"/>
      <c r="F1117" s="10"/>
      <c r="G1117" s="13"/>
      <c r="H1117" s="13"/>
      <c r="I1117" s="12"/>
      <c r="J1117" s="13"/>
      <c r="K1117" s="13"/>
      <c r="L1117" s="12"/>
    </row>
    <row r="1118" spans="1:12" x14ac:dyDescent="0.25">
      <c r="A1118" s="5" t="s">
        <v>748</v>
      </c>
      <c r="B1118" s="12"/>
      <c r="C1118" s="5"/>
      <c r="D1118" s="4"/>
      <c r="E1118" s="13"/>
      <c r="F1118" s="10"/>
      <c r="G1118" s="13"/>
      <c r="H1118" s="13"/>
      <c r="I1118" s="12"/>
      <c r="J1118" s="13"/>
      <c r="K1118" s="13"/>
      <c r="L1118" s="12"/>
    </row>
    <row r="1119" spans="1:12" x14ac:dyDescent="0.25">
      <c r="A1119" s="5" t="s">
        <v>217</v>
      </c>
      <c r="B1119" s="12"/>
      <c r="C1119" s="5"/>
      <c r="D1119" s="4"/>
      <c r="E1119" s="13"/>
      <c r="F1119" s="10"/>
      <c r="G1119" s="13"/>
      <c r="H1119" s="13"/>
      <c r="I1119" s="12"/>
      <c r="J1119" s="13"/>
      <c r="K1119" s="13"/>
      <c r="L1119" s="12"/>
    </row>
    <row r="1120" spans="1:12" x14ac:dyDescent="0.25">
      <c r="A1120" s="5" t="s">
        <v>217</v>
      </c>
      <c r="B1120" s="12"/>
      <c r="C1120" s="5"/>
      <c r="D1120" s="4"/>
      <c r="E1120" s="13"/>
      <c r="F1120" s="10"/>
      <c r="G1120" s="13"/>
      <c r="H1120" s="13"/>
      <c r="I1120" s="12"/>
      <c r="J1120" s="13"/>
      <c r="K1120" s="13"/>
      <c r="L1120" s="12"/>
    </row>
    <row r="1121" spans="1:12" x14ac:dyDescent="0.25">
      <c r="A1121" s="5" t="s">
        <v>217</v>
      </c>
      <c r="B1121" s="12"/>
      <c r="C1121" s="5"/>
      <c r="D1121" s="4"/>
      <c r="E1121" s="13"/>
      <c r="F1121" s="10"/>
      <c r="G1121" s="13"/>
      <c r="H1121" s="13"/>
      <c r="I1121" s="12"/>
      <c r="J1121" s="13"/>
      <c r="K1121" s="13"/>
      <c r="L1121" s="12"/>
    </row>
    <row r="1122" spans="1:12" x14ac:dyDescent="0.25">
      <c r="A1122" s="5" t="s">
        <v>217</v>
      </c>
      <c r="B1122" s="12"/>
      <c r="C1122" s="5"/>
      <c r="D1122" s="4"/>
      <c r="E1122" s="13"/>
      <c r="F1122" s="10"/>
      <c r="G1122" s="13"/>
      <c r="H1122" s="13"/>
      <c r="I1122" s="12"/>
      <c r="J1122" s="13"/>
      <c r="K1122" s="13"/>
      <c r="L1122" s="12"/>
    </row>
    <row r="1123" spans="1:12" x14ac:dyDescent="0.25">
      <c r="A1123" s="5" t="s">
        <v>217</v>
      </c>
      <c r="B1123" s="12"/>
      <c r="C1123" s="5"/>
      <c r="D1123" s="4"/>
      <c r="E1123" s="13"/>
      <c r="F1123" s="10"/>
      <c r="G1123" s="13"/>
      <c r="H1123" s="13"/>
      <c r="I1123" s="12"/>
      <c r="J1123" s="13"/>
      <c r="K1123" s="13"/>
      <c r="L1123" s="12"/>
    </row>
    <row r="1124" spans="1:12" x14ac:dyDescent="0.25">
      <c r="A1124" s="5" t="s">
        <v>217</v>
      </c>
      <c r="B1124" s="12"/>
      <c r="C1124" s="5"/>
      <c r="D1124" s="4"/>
      <c r="E1124" s="13"/>
      <c r="F1124" s="10"/>
      <c r="G1124" s="13"/>
      <c r="H1124" s="13"/>
      <c r="I1124" s="12"/>
      <c r="J1124" s="13"/>
      <c r="K1124" s="13"/>
      <c r="L1124" s="12"/>
    </row>
    <row r="1125" spans="1:12" x14ac:dyDescent="0.25">
      <c r="A1125" s="5" t="s">
        <v>564</v>
      </c>
      <c r="B1125" s="12"/>
      <c r="C1125" s="5"/>
      <c r="D1125" s="4"/>
      <c r="E1125" s="13"/>
      <c r="F1125" s="10"/>
      <c r="G1125" s="13"/>
      <c r="H1125" s="13"/>
      <c r="I1125" s="12"/>
      <c r="J1125" s="13"/>
      <c r="K1125" s="13"/>
      <c r="L1125" s="12"/>
    </row>
    <row r="1126" spans="1:12" x14ac:dyDescent="0.25">
      <c r="A1126" s="5" t="s">
        <v>564</v>
      </c>
      <c r="B1126" s="12"/>
      <c r="C1126" s="5"/>
      <c r="D1126" s="4"/>
      <c r="E1126" s="13"/>
      <c r="F1126" s="10"/>
      <c r="G1126" s="13"/>
      <c r="H1126" s="13"/>
      <c r="I1126" s="12"/>
      <c r="J1126" s="13"/>
      <c r="K1126" s="13"/>
      <c r="L1126" s="12"/>
    </row>
    <row r="1127" spans="1:12" x14ac:dyDescent="0.25">
      <c r="A1127" s="5" t="s">
        <v>564</v>
      </c>
      <c r="B1127" s="12"/>
      <c r="C1127" s="5"/>
      <c r="D1127" s="4"/>
      <c r="E1127" s="13"/>
      <c r="F1127" s="10"/>
      <c r="G1127" s="13"/>
      <c r="H1127" s="13"/>
      <c r="I1127" s="12"/>
      <c r="J1127" s="13"/>
      <c r="K1127" s="13"/>
      <c r="L1127" s="12"/>
    </row>
    <row r="1128" spans="1:12" x14ac:dyDescent="0.25">
      <c r="A1128" s="5" t="s">
        <v>297</v>
      </c>
      <c r="B1128" s="12"/>
      <c r="C1128" s="5"/>
      <c r="D1128" s="4"/>
      <c r="E1128" s="13"/>
      <c r="F1128" s="10"/>
      <c r="G1128" s="13"/>
      <c r="H1128" s="13"/>
      <c r="I1128" s="12"/>
      <c r="J1128" s="13"/>
      <c r="K1128" s="13"/>
      <c r="L1128" s="12"/>
    </row>
    <row r="1129" spans="1:12" x14ac:dyDescent="0.25">
      <c r="A1129" s="5" t="s">
        <v>297</v>
      </c>
      <c r="B1129" s="12"/>
      <c r="C1129" s="5"/>
      <c r="D1129" s="4"/>
      <c r="E1129" s="13"/>
      <c r="F1129" s="10"/>
      <c r="G1129" s="13"/>
      <c r="H1129" s="13"/>
      <c r="I1129" s="12"/>
      <c r="J1129" s="13"/>
      <c r="K1129" s="13"/>
      <c r="L1129" s="12"/>
    </row>
    <row r="1130" spans="1:12" x14ac:dyDescent="0.25">
      <c r="A1130" s="5" t="s">
        <v>297</v>
      </c>
      <c r="B1130" s="12"/>
      <c r="C1130" s="5"/>
      <c r="D1130" s="4"/>
      <c r="E1130" s="13"/>
      <c r="F1130" s="10"/>
      <c r="G1130" s="13"/>
      <c r="H1130" s="13"/>
      <c r="I1130" s="12"/>
      <c r="J1130" s="13"/>
      <c r="K1130" s="13"/>
      <c r="L1130" s="12"/>
    </row>
    <row r="1131" spans="1:12" x14ac:dyDescent="0.25">
      <c r="A1131" s="5" t="s">
        <v>297</v>
      </c>
      <c r="B1131" s="12"/>
      <c r="C1131" s="5"/>
      <c r="D1131" s="4"/>
      <c r="E1131" s="13"/>
      <c r="F1131" s="10"/>
      <c r="G1131" s="13"/>
      <c r="H1131" s="13"/>
      <c r="I1131" s="12"/>
      <c r="J1131" s="13"/>
      <c r="K1131" s="13"/>
      <c r="L1131" s="12"/>
    </row>
    <row r="1132" spans="1:12" x14ac:dyDescent="0.25">
      <c r="A1132" s="5" t="s">
        <v>297</v>
      </c>
      <c r="B1132" s="12"/>
      <c r="C1132" s="5"/>
      <c r="D1132" s="4"/>
      <c r="E1132" s="13"/>
      <c r="F1132" s="10"/>
      <c r="G1132" s="13"/>
      <c r="H1132" s="13"/>
      <c r="I1132" s="12"/>
      <c r="J1132" s="13"/>
      <c r="K1132" s="13"/>
      <c r="L1132" s="12"/>
    </row>
    <row r="1133" spans="1:12" x14ac:dyDescent="0.25">
      <c r="A1133" s="5" t="s">
        <v>297</v>
      </c>
      <c r="B1133" s="12"/>
      <c r="C1133" s="5"/>
      <c r="D1133" s="4"/>
      <c r="E1133" s="13"/>
      <c r="F1133" s="10"/>
      <c r="G1133" s="13"/>
      <c r="H1133" s="13"/>
      <c r="I1133" s="12"/>
      <c r="J1133" s="13"/>
      <c r="K1133" s="13"/>
      <c r="L1133" s="12"/>
    </row>
    <row r="1134" spans="1:12" x14ac:dyDescent="0.25">
      <c r="A1134" s="5" t="s">
        <v>684</v>
      </c>
      <c r="B1134" s="12"/>
      <c r="C1134" s="5"/>
      <c r="D1134" s="4"/>
      <c r="E1134" s="13"/>
      <c r="F1134" s="10"/>
      <c r="G1134" s="13"/>
      <c r="H1134" s="13"/>
      <c r="I1134" s="12"/>
      <c r="J1134" s="13"/>
      <c r="K1134" s="13"/>
      <c r="L1134" s="12"/>
    </row>
    <row r="1135" spans="1:12" x14ac:dyDescent="0.25">
      <c r="A1135" s="5" t="s">
        <v>684</v>
      </c>
      <c r="B1135" s="12"/>
      <c r="C1135" s="5"/>
      <c r="D1135" s="4"/>
      <c r="E1135" s="13"/>
      <c r="F1135" s="10"/>
      <c r="G1135" s="13"/>
      <c r="H1135" s="13"/>
      <c r="I1135" s="12"/>
      <c r="J1135" s="13"/>
      <c r="K1135" s="13"/>
      <c r="L1135" s="12"/>
    </row>
    <row r="1136" spans="1:12" x14ac:dyDescent="0.25">
      <c r="A1136" s="5" t="s">
        <v>684</v>
      </c>
      <c r="B1136" s="12"/>
      <c r="C1136" s="5"/>
      <c r="D1136" s="4"/>
      <c r="E1136" s="13"/>
      <c r="F1136" s="10"/>
      <c r="G1136" s="13"/>
      <c r="H1136" s="13"/>
      <c r="I1136" s="12"/>
      <c r="J1136" s="13"/>
      <c r="K1136" s="13"/>
      <c r="L1136" s="12"/>
    </row>
    <row r="1137" spans="1:12" x14ac:dyDescent="0.25">
      <c r="A1137" s="5" t="s">
        <v>684</v>
      </c>
      <c r="B1137" s="12"/>
      <c r="C1137" s="5"/>
      <c r="D1137" s="4"/>
      <c r="E1137" s="13"/>
      <c r="F1137" s="10"/>
      <c r="G1137" s="13"/>
      <c r="H1137" s="13"/>
      <c r="I1137" s="12"/>
      <c r="J1137" s="13"/>
      <c r="K1137" s="13"/>
      <c r="L1137" s="12"/>
    </row>
    <row r="1138" spans="1:12" x14ac:dyDescent="0.25">
      <c r="A1138" s="5" t="s">
        <v>684</v>
      </c>
      <c r="B1138" s="12"/>
      <c r="C1138" s="5"/>
      <c r="D1138" s="4"/>
      <c r="E1138" s="13"/>
      <c r="F1138" s="10"/>
      <c r="G1138" s="13"/>
      <c r="H1138" s="13"/>
      <c r="I1138" s="12"/>
      <c r="J1138" s="13"/>
      <c r="K1138" s="13"/>
      <c r="L1138" s="12"/>
    </row>
    <row r="1139" spans="1:12" x14ac:dyDescent="0.25">
      <c r="A1139" s="5" t="s">
        <v>684</v>
      </c>
      <c r="B1139" s="12"/>
      <c r="C1139" s="5"/>
      <c r="D1139" s="4"/>
      <c r="E1139" s="13"/>
      <c r="F1139" s="10"/>
      <c r="G1139" s="13"/>
      <c r="H1139" s="13"/>
      <c r="I1139" s="12"/>
      <c r="J1139" s="13"/>
      <c r="K1139" s="13"/>
      <c r="L1139" s="12"/>
    </row>
    <row r="1140" spans="1:12" x14ac:dyDescent="0.25">
      <c r="A1140" s="5" t="s">
        <v>303</v>
      </c>
      <c r="B1140" s="12"/>
      <c r="C1140" s="5"/>
      <c r="D1140" s="4"/>
      <c r="E1140" s="13"/>
      <c r="F1140" s="10"/>
      <c r="G1140" s="13"/>
      <c r="H1140" s="13"/>
      <c r="I1140" s="12"/>
      <c r="J1140" s="13"/>
      <c r="K1140" s="13"/>
      <c r="L1140" s="12"/>
    </row>
    <row r="1141" spans="1:12" x14ac:dyDescent="0.25">
      <c r="A1141" s="5" t="s">
        <v>303</v>
      </c>
      <c r="B1141" s="12"/>
      <c r="C1141" s="5"/>
      <c r="D1141" s="4"/>
      <c r="E1141" s="13"/>
      <c r="F1141" s="10"/>
      <c r="G1141" s="13"/>
      <c r="H1141" s="13"/>
      <c r="I1141" s="12"/>
      <c r="J1141" s="13"/>
      <c r="K1141" s="13"/>
      <c r="L1141" s="12"/>
    </row>
    <row r="1142" spans="1:12" x14ac:dyDescent="0.25">
      <c r="A1142" s="5" t="s">
        <v>303</v>
      </c>
      <c r="B1142" s="12"/>
      <c r="C1142" s="5"/>
      <c r="D1142" s="4"/>
      <c r="E1142" s="13"/>
      <c r="F1142" s="10"/>
      <c r="G1142" s="13"/>
      <c r="H1142" s="13"/>
      <c r="I1142" s="12"/>
      <c r="J1142" s="13"/>
      <c r="K1142" s="13"/>
      <c r="L1142" s="12"/>
    </row>
    <row r="1143" spans="1:12" x14ac:dyDescent="0.25">
      <c r="A1143" s="5" t="s">
        <v>225</v>
      </c>
      <c r="B1143" s="12"/>
      <c r="C1143" s="5"/>
      <c r="D1143" s="4"/>
      <c r="E1143" s="13"/>
      <c r="F1143" s="10"/>
      <c r="G1143" s="13"/>
      <c r="H1143" s="13"/>
      <c r="I1143" s="12"/>
      <c r="J1143" s="13"/>
      <c r="K1143" s="13"/>
      <c r="L1143" s="12"/>
    </row>
    <row r="1144" spans="1:12" x14ac:dyDescent="0.25">
      <c r="A1144" s="5" t="s">
        <v>225</v>
      </c>
      <c r="B1144" s="12"/>
      <c r="C1144" s="5"/>
      <c r="D1144" s="4"/>
      <c r="E1144" s="13"/>
      <c r="F1144" s="10"/>
      <c r="G1144" s="13"/>
      <c r="H1144" s="13"/>
      <c r="I1144" s="12"/>
      <c r="J1144" s="13"/>
      <c r="K1144" s="13"/>
      <c r="L1144" s="12"/>
    </row>
    <row r="1145" spans="1:12" x14ac:dyDescent="0.25">
      <c r="A1145" s="5" t="s">
        <v>225</v>
      </c>
      <c r="B1145" s="12"/>
      <c r="C1145" s="5"/>
      <c r="D1145" s="4"/>
      <c r="E1145" s="13"/>
      <c r="F1145" s="10"/>
      <c r="G1145" s="13"/>
      <c r="H1145" s="13"/>
      <c r="I1145" s="12"/>
      <c r="J1145" s="13"/>
      <c r="K1145" s="13"/>
      <c r="L1145" s="12"/>
    </row>
    <row r="1146" spans="1:12" x14ac:dyDescent="0.25">
      <c r="A1146" s="5" t="s">
        <v>225</v>
      </c>
      <c r="B1146" s="12"/>
      <c r="C1146" s="5"/>
      <c r="D1146" s="4"/>
      <c r="E1146" s="13"/>
      <c r="F1146" s="10"/>
      <c r="G1146" s="13"/>
      <c r="H1146" s="13"/>
      <c r="I1146" s="12"/>
      <c r="J1146" s="13"/>
      <c r="K1146" s="13"/>
      <c r="L1146" s="12"/>
    </row>
    <row r="1147" spans="1:12" x14ac:dyDescent="0.25">
      <c r="A1147" s="5" t="s">
        <v>225</v>
      </c>
      <c r="B1147" s="12"/>
      <c r="C1147" s="5"/>
      <c r="D1147" s="4"/>
      <c r="E1147" s="13"/>
      <c r="F1147" s="10"/>
      <c r="G1147" s="13"/>
      <c r="H1147" s="13"/>
      <c r="I1147" s="12"/>
      <c r="J1147" s="13"/>
      <c r="K1147" s="13"/>
      <c r="L1147" s="12"/>
    </row>
    <row r="1148" spans="1:12" x14ac:dyDescent="0.25">
      <c r="A1148" s="5" t="s">
        <v>225</v>
      </c>
      <c r="B1148" s="12"/>
      <c r="C1148" s="5"/>
      <c r="D1148" s="4"/>
      <c r="E1148" s="13"/>
      <c r="F1148" s="10"/>
      <c r="G1148" s="13"/>
      <c r="H1148" s="13"/>
      <c r="I1148" s="12"/>
      <c r="J1148" s="13"/>
      <c r="K1148" s="13"/>
      <c r="L1148" s="12"/>
    </row>
    <row r="1149" spans="1:12" x14ac:dyDescent="0.25">
      <c r="A1149" s="5" t="s">
        <v>225</v>
      </c>
      <c r="B1149" s="12"/>
      <c r="C1149" s="5"/>
      <c r="D1149" s="4"/>
      <c r="E1149" s="13"/>
      <c r="F1149" s="10"/>
      <c r="G1149" s="13"/>
      <c r="H1149" s="13"/>
      <c r="I1149" s="12"/>
      <c r="J1149" s="13"/>
      <c r="K1149" s="13"/>
      <c r="L1149" s="12"/>
    </row>
    <row r="1150" spans="1:12" x14ac:dyDescent="0.25">
      <c r="A1150" s="5" t="s">
        <v>225</v>
      </c>
      <c r="B1150" s="12"/>
      <c r="C1150" s="5"/>
      <c r="D1150" s="4"/>
      <c r="E1150" s="13"/>
      <c r="F1150" s="10"/>
      <c r="G1150" s="13"/>
      <c r="H1150" s="13"/>
      <c r="I1150" s="12"/>
      <c r="J1150" s="13"/>
      <c r="K1150" s="13"/>
      <c r="L1150" s="12"/>
    </row>
    <row r="1151" spans="1:12" x14ac:dyDescent="0.25">
      <c r="A1151" s="5" t="s">
        <v>225</v>
      </c>
      <c r="B1151" s="12"/>
      <c r="C1151" s="5"/>
      <c r="D1151" s="4"/>
      <c r="E1151" s="13"/>
      <c r="F1151" s="10"/>
      <c r="G1151" s="13"/>
      <c r="H1151" s="13"/>
      <c r="I1151" s="12"/>
      <c r="J1151" s="13"/>
      <c r="K1151" s="13"/>
      <c r="L1151" s="12"/>
    </row>
    <row r="1152" spans="1:12" x14ac:dyDescent="0.25">
      <c r="A1152" s="5" t="s">
        <v>811</v>
      </c>
      <c r="B1152" s="12"/>
      <c r="C1152" s="5"/>
      <c r="D1152" s="4"/>
      <c r="E1152" s="13"/>
      <c r="F1152" s="10"/>
      <c r="G1152" s="13"/>
      <c r="H1152" s="13"/>
      <c r="I1152" s="12"/>
      <c r="J1152" s="13"/>
      <c r="K1152" s="13"/>
      <c r="L1152" s="12"/>
    </row>
    <row r="1153" spans="1:12" x14ac:dyDescent="0.25">
      <c r="A1153" s="5" t="s">
        <v>7</v>
      </c>
      <c r="B1153" s="12"/>
      <c r="C1153" s="5"/>
      <c r="D1153" s="4"/>
      <c r="E1153" s="13"/>
      <c r="F1153" s="10"/>
      <c r="G1153" s="13"/>
      <c r="H1153" s="13"/>
      <c r="I1153" s="12"/>
      <c r="J1153" s="13"/>
      <c r="K1153" s="13"/>
      <c r="L1153" s="12"/>
    </row>
    <row r="1154" spans="1:12" x14ac:dyDescent="0.25">
      <c r="A1154" s="5" t="s">
        <v>140</v>
      </c>
      <c r="B1154" s="12"/>
      <c r="C1154" s="5"/>
      <c r="D1154" s="4"/>
      <c r="E1154" s="13"/>
      <c r="F1154" s="10"/>
      <c r="G1154" s="13"/>
      <c r="H1154" s="13"/>
      <c r="I1154" s="12"/>
      <c r="J1154" s="13"/>
      <c r="K1154" s="13"/>
      <c r="L1154" s="12"/>
    </row>
    <row r="1155" spans="1:12" x14ac:dyDescent="0.25">
      <c r="A1155" s="5" t="s">
        <v>140</v>
      </c>
      <c r="B1155" s="12"/>
      <c r="C1155" s="5"/>
      <c r="D1155" s="4"/>
      <c r="E1155" s="13"/>
      <c r="F1155" s="10"/>
      <c r="G1155" s="13"/>
      <c r="H1155" s="13"/>
      <c r="I1155" s="12"/>
      <c r="J1155" s="13"/>
      <c r="K1155" s="13"/>
      <c r="L1155" s="12"/>
    </row>
    <row r="1156" spans="1:12" x14ac:dyDescent="0.25">
      <c r="A1156" s="5" t="s">
        <v>140</v>
      </c>
      <c r="B1156" s="12"/>
      <c r="C1156" s="5"/>
      <c r="D1156" s="4"/>
      <c r="E1156" s="13"/>
      <c r="F1156" s="10"/>
      <c r="G1156" s="13"/>
      <c r="H1156" s="13"/>
      <c r="I1156" s="12"/>
      <c r="J1156" s="13"/>
      <c r="K1156" s="13"/>
      <c r="L1156" s="12"/>
    </row>
    <row r="1157" spans="1:12" x14ac:dyDescent="0.25">
      <c r="A1157" s="5" t="s">
        <v>140</v>
      </c>
      <c r="B1157" s="12"/>
      <c r="C1157" s="5"/>
      <c r="D1157" s="4"/>
      <c r="E1157" s="13"/>
      <c r="F1157" s="10"/>
      <c r="G1157" s="13"/>
      <c r="H1157" s="13"/>
      <c r="I1157" s="12"/>
      <c r="J1157" s="13"/>
      <c r="K1157" s="13"/>
      <c r="L1157" s="12"/>
    </row>
    <row r="1158" spans="1:12" x14ac:dyDescent="0.25">
      <c r="A1158" s="5" t="s">
        <v>140</v>
      </c>
      <c r="B1158" s="12"/>
      <c r="C1158" s="5"/>
      <c r="D1158" s="4"/>
      <c r="E1158" s="13"/>
      <c r="F1158" s="10"/>
      <c r="G1158" s="13"/>
      <c r="H1158" s="13"/>
      <c r="I1158" s="12"/>
      <c r="J1158" s="13"/>
      <c r="K1158" s="13"/>
      <c r="L1158" s="12"/>
    </row>
    <row r="1159" spans="1:12" x14ac:dyDescent="0.25">
      <c r="A1159" s="5" t="s">
        <v>140</v>
      </c>
      <c r="B1159" s="12"/>
      <c r="C1159" s="5"/>
      <c r="D1159" s="4"/>
      <c r="E1159" s="13"/>
      <c r="F1159" s="10"/>
      <c r="G1159" s="13"/>
      <c r="H1159" s="13"/>
      <c r="I1159" s="12"/>
      <c r="J1159" s="13"/>
      <c r="K1159" s="13"/>
      <c r="L1159" s="12"/>
    </row>
    <row r="1160" spans="1:12" x14ac:dyDescent="0.25">
      <c r="A1160" s="5" t="s">
        <v>683</v>
      </c>
      <c r="B1160" s="12"/>
      <c r="C1160" s="5"/>
      <c r="D1160" s="4"/>
      <c r="E1160" s="13"/>
      <c r="F1160" s="10"/>
      <c r="G1160" s="13"/>
      <c r="H1160" s="13"/>
      <c r="I1160" s="12"/>
      <c r="J1160" s="13"/>
      <c r="K1160" s="13"/>
      <c r="L1160" s="12"/>
    </row>
    <row r="1161" spans="1:12" x14ac:dyDescent="0.25">
      <c r="A1161" s="5" t="s">
        <v>683</v>
      </c>
      <c r="B1161" s="12"/>
      <c r="C1161" s="5"/>
      <c r="D1161" s="4"/>
      <c r="E1161" s="13"/>
      <c r="F1161" s="10"/>
      <c r="G1161" s="13"/>
      <c r="H1161" s="13"/>
      <c r="I1161" s="12"/>
      <c r="J1161" s="13"/>
      <c r="K1161" s="13"/>
      <c r="L1161" s="12"/>
    </row>
    <row r="1162" spans="1:12" x14ac:dyDescent="0.25">
      <c r="A1162" s="5" t="s">
        <v>812</v>
      </c>
      <c r="B1162" s="12"/>
      <c r="C1162" s="5"/>
      <c r="D1162" s="4"/>
      <c r="E1162" s="13"/>
      <c r="F1162" s="10"/>
      <c r="G1162" s="13"/>
      <c r="H1162" s="13"/>
      <c r="I1162" s="12"/>
      <c r="J1162" s="13"/>
      <c r="K1162" s="13"/>
      <c r="L1162" s="12"/>
    </row>
    <row r="1163" spans="1:12" x14ac:dyDescent="0.25">
      <c r="A1163" s="5" t="s">
        <v>813</v>
      </c>
      <c r="B1163" s="12"/>
      <c r="C1163" s="5"/>
      <c r="D1163" s="4"/>
      <c r="E1163" s="13"/>
      <c r="F1163" s="10"/>
      <c r="G1163" s="13"/>
      <c r="H1163" s="13"/>
      <c r="I1163" s="12"/>
      <c r="J1163" s="13"/>
      <c r="K1163" s="13"/>
      <c r="L1163" s="12"/>
    </row>
    <row r="1164" spans="1:12" x14ac:dyDescent="0.25">
      <c r="A1164" s="5" t="s">
        <v>805</v>
      </c>
      <c r="B1164" s="12"/>
      <c r="C1164" s="5"/>
      <c r="D1164" s="4"/>
      <c r="E1164" s="13"/>
      <c r="F1164" s="10"/>
      <c r="G1164" s="13"/>
      <c r="H1164" s="13"/>
      <c r="I1164" s="12"/>
      <c r="J1164" s="13"/>
      <c r="K1164" s="13"/>
      <c r="L1164" s="12"/>
    </row>
    <row r="1165" spans="1:12" x14ac:dyDescent="0.25">
      <c r="A1165" s="5" t="s">
        <v>805</v>
      </c>
      <c r="B1165" s="12"/>
      <c r="C1165" s="5"/>
      <c r="D1165" s="4"/>
      <c r="E1165" s="13"/>
      <c r="F1165" s="10"/>
      <c r="G1165" s="13"/>
      <c r="H1165" s="13"/>
      <c r="I1165" s="12"/>
      <c r="J1165" s="13"/>
      <c r="K1165" s="13"/>
      <c r="L1165" s="12"/>
    </row>
    <row r="1166" spans="1:12" x14ac:dyDescent="0.25">
      <c r="A1166" s="5" t="s">
        <v>344</v>
      </c>
      <c r="B1166" s="12"/>
      <c r="C1166" s="5"/>
      <c r="D1166" s="4"/>
      <c r="E1166" s="13"/>
      <c r="F1166" s="10"/>
      <c r="G1166" s="13"/>
      <c r="H1166" s="13"/>
      <c r="I1166" s="12"/>
      <c r="J1166" s="13"/>
      <c r="K1166" s="13"/>
      <c r="L1166" s="12"/>
    </row>
    <row r="1167" spans="1:12" x14ac:dyDescent="0.25">
      <c r="A1167" s="5" t="s">
        <v>578</v>
      </c>
      <c r="B1167" s="12"/>
      <c r="C1167" s="5"/>
      <c r="D1167" s="4"/>
      <c r="E1167" s="13"/>
      <c r="F1167" s="10"/>
      <c r="G1167" s="13"/>
      <c r="H1167" s="13"/>
      <c r="I1167" s="12"/>
      <c r="J1167" s="13"/>
      <c r="K1167" s="13"/>
      <c r="L1167" s="12"/>
    </row>
    <row r="1168" spans="1:12" x14ac:dyDescent="0.25">
      <c r="A1168" s="5" t="s">
        <v>578</v>
      </c>
      <c r="B1168" s="12"/>
      <c r="C1168" s="5"/>
      <c r="D1168" s="4"/>
      <c r="E1168" s="13"/>
      <c r="F1168" s="10"/>
      <c r="G1168" s="13"/>
      <c r="H1168" s="13"/>
      <c r="I1168" s="12"/>
      <c r="J1168" s="13"/>
      <c r="K1168" s="13"/>
      <c r="L1168" s="12"/>
    </row>
    <row r="1169" spans="1:12" x14ac:dyDescent="0.25">
      <c r="A1169" s="5" t="s">
        <v>814</v>
      </c>
      <c r="B1169" s="12"/>
      <c r="C1169" s="5"/>
      <c r="D1169" s="4"/>
      <c r="E1169" s="13"/>
      <c r="F1169" s="10"/>
      <c r="G1169" s="13"/>
      <c r="H1169" s="13"/>
      <c r="I1169" s="12"/>
      <c r="J1169" s="13"/>
      <c r="K1169" s="13"/>
      <c r="L1169" s="12"/>
    </row>
    <row r="1170" spans="1:12" x14ac:dyDescent="0.25">
      <c r="A1170" s="5" t="s">
        <v>389</v>
      </c>
      <c r="B1170" s="12"/>
      <c r="C1170" s="5"/>
      <c r="D1170" s="4"/>
      <c r="E1170" s="13"/>
      <c r="F1170" s="10"/>
      <c r="G1170" s="13"/>
      <c r="H1170" s="13"/>
      <c r="I1170" s="12"/>
      <c r="J1170" s="13"/>
      <c r="K1170" s="13"/>
      <c r="L1170" s="12"/>
    </row>
    <row r="1171" spans="1:12" x14ac:dyDescent="0.25">
      <c r="A1171" s="5" t="s">
        <v>389</v>
      </c>
      <c r="B1171" s="12"/>
      <c r="C1171" s="5"/>
      <c r="D1171" s="4"/>
      <c r="E1171" s="13"/>
      <c r="F1171" s="10"/>
      <c r="G1171" s="13"/>
      <c r="H1171" s="13"/>
      <c r="I1171" s="12"/>
      <c r="J1171" s="13"/>
      <c r="K1171" s="13"/>
      <c r="L1171" s="12"/>
    </row>
    <row r="1172" spans="1:12" x14ac:dyDescent="0.25">
      <c r="A1172" s="5" t="s">
        <v>389</v>
      </c>
      <c r="B1172" s="12"/>
      <c r="C1172" s="5"/>
      <c r="D1172" s="4"/>
      <c r="E1172" s="13"/>
      <c r="F1172" s="10"/>
      <c r="G1172" s="13"/>
      <c r="H1172" s="13"/>
      <c r="I1172" s="12"/>
      <c r="J1172" s="13"/>
      <c r="K1172" s="13"/>
      <c r="L1172" s="12"/>
    </row>
    <row r="1173" spans="1:12" x14ac:dyDescent="0.25">
      <c r="A1173" s="5" t="s">
        <v>389</v>
      </c>
      <c r="B1173" s="12"/>
      <c r="C1173" s="5"/>
      <c r="D1173" s="4"/>
      <c r="E1173" s="13"/>
      <c r="F1173" s="10"/>
      <c r="G1173" s="13"/>
      <c r="H1173" s="13"/>
      <c r="I1173" s="12"/>
      <c r="J1173" s="13"/>
      <c r="K1173" s="13"/>
      <c r="L1173" s="12"/>
    </row>
    <row r="1174" spans="1:12" x14ac:dyDescent="0.25">
      <c r="A1174" s="5" t="s">
        <v>389</v>
      </c>
      <c r="B1174" s="12"/>
      <c r="C1174" s="5"/>
      <c r="D1174" s="4"/>
      <c r="E1174" s="13"/>
      <c r="F1174" s="10"/>
      <c r="G1174" s="13"/>
      <c r="H1174" s="13"/>
      <c r="I1174" s="12"/>
      <c r="J1174" s="13"/>
      <c r="K1174" s="13"/>
      <c r="L1174" s="12"/>
    </row>
    <row r="1175" spans="1:12" x14ac:dyDescent="0.25">
      <c r="A1175" s="5" t="s">
        <v>797</v>
      </c>
      <c r="B1175" s="12"/>
      <c r="C1175" s="5"/>
      <c r="D1175" s="4"/>
      <c r="E1175" s="13"/>
      <c r="F1175" s="10"/>
      <c r="G1175" s="13"/>
      <c r="H1175" s="13"/>
      <c r="I1175" s="12"/>
      <c r="J1175" s="13"/>
      <c r="K1175" s="13"/>
      <c r="L1175" s="12"/>
    </row>
    <row r="1176" spans="1:12" x14ac:dyDescent="0.25">
      <c r="A1176" s="5" t="s">
        <v>791</v>
      </c>
      <c r="B1176" s="12"/>
      <c r="C1176" s="5"/>
      <c r="D1176" s="4"/>
      <c r="E1176" s="13"/>
      <c r="F1176" s="10"/>
      <c r="G1176" s="13"/>
      <c r="H1176" s="13"/>
      <c r="I1176" s="12"/>
      <c r="J1176" s="13"/>
      <c r="K1176" s="13"/>
      <c r="L1176" s="12"/>
    </row>
    <row r="1177" spans="1:12" x14ac:dyDescent="0.25">
      <c r="A1177" s="5" t="s">
        <v>791</v>
      </c>
      <c r="B1177" s="12"/>
      <c r="C1177" s="5"/>
      <c r="D1177" s="4"/>
      <c r="E1177" s="13"/>
      <c r="F1177" s="10"/>
      <c r="G1177" s="13"/>
      <c r="H1177" s="13"/>
      <c r="I1177" s="12"/>
      <c r="J1177" s="13"/>
      <c r="K1177" s="13"/>
      <c r="L1177" s="12"/>
    </row>
    <row r="1178" spans="1:12" x14ac:dyDescent="0.25">
      <c r="A1178" s="5" t="s">
        <v>791</v>
      </c>
      <c r="B1178" s="12"/>
      <c r="C1178" s="5"/>
      <c r="D1178" s="4"/>
      <c r="E1178" s="13"/>
      <c r="F1178" s="10"/>
      <c r="G1178" s="13"/>
      <c r="H1178" s="13"/>
      <c r="I1178" s="12"/>
      <c r="J1178" s="13"/>
      <c r="K1178" s="13"/>
      <c r="L1178" s="12"/>
    </row>
    <row r="1179" spans="1:12" x14ac:dyDescent="0.25">
      <c r="A1179" s="5" t="s">
        <v>791</v>
      </c>
      <c r="B1179" s="12"/>
      <c r="C1179" s="5"/>
      <c r="D1179" s="4"/>
      <c r="E1179" s="13"/>
      <c r="F1179" s="10"/>
      <c r="G1179" s="13"/>
      <c r="H1179" s="13"/>
      <c r="I1179" s="12"/>
      <c r="J1179" s="13"/>
      <c r="K1179" s="13"/>
      <c r="L1179" s="12"/>
    </row>
    <row r="1180" spans="1:12" x14ac:dyDescent="0.25">
      <c r="A1180" s="5" t="s">
        <v>804</v>
      </c>
      <c r="B1180" s="12"/>
      <c r="C1180" s="5"/>
      <c r="D1180" s="4"/>
      <c r="E1180" s="13"/>
      <c r="F1180" s="10"/>
      <c r="G1180" s="13"/>
      <c r="H1180" s="13"/>
      <c r="I1180" s="12"/>
      <c r="J1180" s="13"/>
      <c r="K1180" s="13"/>
      <c r="L1180" s="12"/>
    </row>
    <row r="1181" spans="1:12" x14ac:dyDescent="0.25">
      <c r="A1181" s="5" t="s">
        <v>598</v>
      </c>
      <c r="B1181" s="12"/>
      <c r="C1181" s="5"/>
      <c r="D1181" s="4"/>
      <c r="E1181" s="13"/>
      <c r="F1181" s="10"/>
      <c r="G1181" s="13"/>
      <c r="H1181" s="13"/>
      <c r="I1181" s="12"/>
      <c r="J1181" s="13"/>
      <c r="K1181" s="13"/>
      <c r="L1181" s="12"/>
    </row>
    <row r="1182" spans="1:12" x14ac:dyDescent="0.25">
      <c r="A1182" s="5" t="s">
        <v>598</v>
      </c>
      <c r="B1182" s="12"/>
      <c r="C1182" s="5"/>
      <c r="D1182" s="4"/>
      <c r="E1182" s="13"/>
      <c r="F1182" s="10"/>
      <c r="G1182" s="13"/>
      <c r="H1182" s="13"/>
      <c r="I1182" s="12"/>
      <c r="J1182" s="13"/>
      <c r="K1182" s="13"/>
      <c r="L1182" s="12"/>
    </row>
    <row r="1183" spans="1:12" x14ac:dyDescent="0.25">
      <c r="A1183" s="5" t="s">
        <v>449</v>
      </c>
      <c r="B1183" s="12"/>
      <c r="C1183" s="5"/>
      <c r="D1183" s="4"/>
      <c r="E1183" s="13"/>
      <c r="F1183" s="10"/>
      <c r="G1183" s="13"/>
      <c r="H1183" s="13"/>
      <c r="I1183" s="12"/>
      <c r="J1183" s="13"/>
      <c r="K1183" s="13"/>
      <c r="L1183" s="12"/>
    </row>
    <row r="1184" spans="1:12" x14ac:dyDescent="0.25">
      <c r="A1184" s="5" t="s">
        <v>449</v>
      </c>
      <c r="B1184" s="12"/>
      <c r="C1184" s="5"/>
      <c r="D1184" s="4"/>
      <c r="E1184" s="13"/>
      <c r="F1184" s="10"/>
      <c r="G1184" s="13"/>
      <c r="H1184" s="13"/>
      <c r="I1184" s="12"/>
      <c r="J1184" s="13"/>
      <c r="K1184" s="13"/>
      <c r="L1184" s="12"/>
    </row>
    <row r="1185" spans="1:12" x14ac:dyDescent="0.25">
      <c r="A1185" s="5" t="s">
        <v>449</v>
      </c>
      <c r="B1185" s="12"/>
      <c r="C1185" s="5"/>
      <c r="D1185" s="4"/>
      <c r="E1185" s="13"/>
      <c r="F1185" s="10"/>
      <c r="G1185" s="13"/>
      <c r="H1185" s="13"/>
      <c r="I1185" s="12"/>
      <c r="J1185" s="13"/>
      <c r="K1185" s="13"/>
      <c r="L1185" s="12"/>
    </row>
    <row r="1186" spans="1:12" x14ac:dyDescent="0.25">
      <c r="A1186" s="5" t="s">
        <v>449</v>
      </c>
      <c r="B1186" s="12"/>
      <c r="C1186" s="5"/>
      <c r="D1186" s="4"/>
      <c r="E1186" s="13"/>
      <c r="F1186" s="10"/>
      <c r="G1186" s="13"/>
      <c r="H1186" s="13"/>
      <c r="I1186" s="12"/>
      <c r="J1186" s="13"/>
      <c r="K1186" s="13"/>
      <c r="L1186" s="12"/>
    </row>
    <row r="1187" spans="1:12" x14ac:dyDescent="0.25">
      <c r="A1187" s="5" t="s">
        <v>449</v>
      </c>
      <c r="B1187" s="12"/>
      <c r="C1187" s="5"/>
      <c r="D1187" s="4"/>
      <c r="E1187" s="13"/>
      <c r="F1187" s="10"/>
      <c r="G1187" s="13"/>
      <c r="H1187" s="13"/>
      <c r="I1187" s="12"/>
      <c r="J1187" s="13"/>
      <c r="K1187" s="13"/>
      <c r="L1187" s="12"/>
    </row>
    <row r="1188" spans="1:12" x14ac:dyDescent="0.25">
      <c r="A1188" s="5" t="s">
        <v>449</v>
      </c>
      <c r="B1188" s="12"/>
      <c r="C1188" s="5"/>
      <c r="D1188" s="4"/>
      <c r="E1188" s="13"/>
      <c r="F1188" s="10"/>
      <c r="G1188" s="13"/>
      <c r="H1188" s="13"/>
      <c r="I1188" s="12"/>
      <c r="J1188" s="13"/>
      <c r="K1188" s="13"/>
      <c r="L1188" s="12"/>
    </row>
    <row r="1189" spans="1:12" x14ac:dyDescent="0.25">
      <c r="A1189" s="5" t="s">
        <v>68</v>
      </c>
      <c r="B1189" s="12"/>
      <c r="C1189" s="5"/>
      <c r="D1189" s="4"/>
      <c r="E1189" s="13"/>
      <c r="F1189" s="10"/>
      <c r="G1189" s="13"/>
      <c r="H1189" s="13"/>
      <c r="I1189" s="12"/>
      <c r="J1189" s="13"/>
      <c r="K1189" s="13"/>
      <c r="L1189" s="12"/>
    </row>
    <row r="1190" spans="1:12" x14ac:dyDescent="0.25">
      <c r="A1190" s="5" t="s">
        <v>815</v>
      </c>
      <c r="B1190" s="12"/>
      <c r="C1190" s="5"/>
      <c r="D1190" s="4"/>
      <c r="E1190" s="13"/>
      <c r="F1190" s="10"/>
      <c r="G1190" s="13"/>
      <c r="H1190" s="13"/>
      <c r="I1190" s="12"/>
      <c r="J1190" s="13"/>
      <c r="K1190" s="13"/>
      <c r="L1190" s="12"/>
    </row>
    <row r="1191" spans="1:12" x14ac:dyDescent="0.25">
      <c r="A1191" s="5" t="s">
        <v>41</v>
      </c>
      <c r="B1191" s="12"/>
      <c r="C1191" s="5"/>
      <c r="D1191" s="4"/>
      <c r="E1191" s="13"/>
      <c r="F1191" s="10"/>
      <c r="G1191" s="13"/>
      <c r="H1191" s="13"/>
      <c r="I1191" s="12"/>
      <c r="J1191" s="13"/>
      <c r="K1191" s="13"/>
      <c r="L1191" s="12"/>
    </row>
    <row r="1192" spans="1:12" x14ac:dyDescent="0.25">
      <c r="A1192" s="5" t="s">
        <v>41</v>
      </c>
      <c r="B1192" s="12"/>
      <c r="C1192" s="5"/>
      <c r="D1192" s="4"/>
      <c r="E1192" s="13"/>
      <c r="F1192" s="10"/>
      <c r="G1192" s="13"/>
      <c r="H1192" s="13"/>
      <c r="I1192" s="12"/>
      <c r="J1192" s="13"/>
      <c r="K1192" s="13"/>
      <c r="L1192" s="12"/>
    </row>
    <row r="1193" spans="1:12" x14ac:dyDescent="0.25">
      <c r="A1193" s="5" t="s">
        <v>79</v>
      </c>
      <c r="B1193" s="12"/>
      <c r="C1193" s="5"/>
      <c r="D1193" s="4"/>
      <c r="E1193" s="13"/>
      <c r="F1193" s="10"/>
      <c r="G1193" s="13"/>
      <c r="H1193" s="13"/>
      <c r="I1193" s="12"/>
      <c r="J1193" s="13"/>
      <c r="K1193" s="13"/>
      <c r="L1193" s="12"/>
    </row>
    <row r="1194" spans="1:12" x14ac:dyDescent="0.25">
      <c r="A1194" s="5" t="s">
        <v>79</v>
      </c>
      <c r="B1194" s="12"/>
      <c r="C1194" s="5"/>
      <c r="D1194" s="4"/>
      <c r="E1194" s="13"/>
      <c r="F1194" s="10"/>
      <c r="G1194" s="13"/>
      <c r="H1194" s="13"/>
      <c r="I1194" s="12"/>
      <c r="J1194" s="13"/>
      <c r="K1194" s="13"/>
      <c r="L1194" s="12"/>
    </row>
    <row r="1195" spans="1:12" x14ac:dyDescent="0.25">
      <c r="A1195" s="5" t="s">
        <v>79</v>
      </c>
      <c r="B1195" s="12"/>
      <c r="C1195" s="5"/>
      <c r="D1195" s="4"/>
      <c r="E1195" s="13"/>
      <c r="F1195" s="10"/>
      <c r="G1195" s="13"/>
      <c r="H1195" s="13"/>
      <c r="I1195" s="12"/>
      <c r="J1195" s="13"/>
      <c r="K1195" s="13"/>
      <c r="L1195" s="12"/>
    </row>
    <row r="1196" spans="1:12" x14ac:dyDescent="0.25">
      <c r="A1196" s="5" t="s">
        <v>292</v>
      </c>
      <c r="B1196" s="12"/>
      <c r="C1196" s="5"/>
      <c r="D1196" s="4"/>
      <c r="E1196" s="13"/>
      <c r="F1196" s="10"/>
      <c r="G1196" s="13"/>
      <c r="H1196" s="13"/>
      <c r="I1196" s="12"/>
      <c r="J1196" s="13"/>
      <c r="K1196" s="13"/>
      <c r="L1196" s="12"/>
    </row>
    <row r="1197" spans="1:12" x14ac:dyDescent="0.25">
      <c r="A1197" s="5" t="s">
        <v>292</v>
      </c>
      <c r="B1197" s="12"/>
      <c r="C1197" s="5"/>
      <c r="D1197" s="4"/>
      <c r="E1197" s="13"/>
      <c r="F1197" s="10"/>
      <c r="G1197" s="13"/>
      <c r="H1197" s="13"/>
      <c r="I1197" s="12"/>
      <c r="J1197" s="13"/>
      <c r="K1197" s="13"/>
      <c r="L1197" s="12"/>
    </row>
    <row r="1198" spans="1:12" x14ac:dyDescent="0.25">
      <c r="A1198" s="5" t="s">
        <v>786</v>
      </c>
      <c r="B1198" s="12"/>
      <c r="C1198" s="5"/>
      <c r="D1198" s="4"/>
      <c r="E1198" s="13"/>
      <c r="F1198" s="10"/>
      <c r="G1198" s="13"/>
      <c r="H1198" s="13"/>
      <c r="I1198" s="12"/>
      <c r="J1198" s="13"/>
      <c r="K1198" s="13"/>
      <c r="L1198" s="12"/>
    </row>
    <row r="1199" spans="1:12" x14ac:dyDescent="0.25">
      <c r="A1199" s="5" t="s">
        <v>816</v>
      </c>
      <c r="B1199" s="12"/>
      <c r="C1199" s="5"/>
      <c r="D1199" s="4"/>
      <c r="E1199" s="13"/>
      <c r="F1199" s="10"/>
      <c r="G1199" s="13"/>
      <c r="H1199" s="13"/>
      <c r="I1199" s="12"/>
      <c r="J1199" s="13"/>
      <c r="K1199" s="13"/>
      <c r="L1199" s="12"/>
    </row>
    <row r="1200" spans="1:12" x14ac:dyDescent="0.25">
      <c r="A1200" s="5" t="s">
        <v>800</v>
      </c>
      <c r="B1200" s="12"/>
      <c r="C1200" s="5"/>
      <c r="D1200" s="4"/>
      <c r="E1200" s="13"/>
      <c r="F1200" s="10"/>
      <c r="G1200" s="13"/>
      <c r="H1200" s="13"/>
      <c r="I1200" s="12"/>
      <c r="J1200" s="13"/>
      <c r="K1200" s="13"/>
      <c r="L1200" s="12"/>
    </row>
    <row r="1201" spans="1:12" x14ac:dyDescent="0.25">
      <c r="A1201" s="5" t="s">
        <v>798</v>
      </c>
      <c r="B1201" s="12"/>
      <c r="C1201" s="5"/>
      <c r="D1201" s="4"/>
      <c r="E1201" s="13"/>
      <c r="F1201" s="10"/>
      <c r="G1201" s="13"/>
      <c r="H1201" s="13"/>
      <c r="I1201" s="12"/>
      <c r="J1201" s="13"/>
      <c r="K1201" s="13"/>
      <c r="L1201" s="12"/>
    </row>
    <row r="1202" spans="1:12" x14ac:dyDescent="0.25">
      <c r="A1202" s="5" t="s">
        <v>806</v>
      </c>
      <c r="B1202" s="12"/>
      <c r="C1202" s="5"/>
      <c r="D1202" s="4"/>
      <c r="E1202" s="13"/>
      <c r="F1202" s="10"/>
      <c r="G1202" s="13"/>
      <c r="H1202" s="13"/>
      <c r="I1202" s="12"/>
      <c r="J1202" s="13"/>
      <c r="K1202" s="13"/>
      <c r="L1202" s="12"/>
    </row>
    <row r="1203" spans="1:12" x14ac:dyDescent="0.25">
      <c r="A1203" s="5" t="s">
        <v>788</v>
      </c>
      <c r="B1203" s="12"/>
      <c r="C1203" s="5"/>
      <c r="D1203" s="4"/>
      <c r="E1203" s="13"/>
      <c r="F1203" s="10"/>
      <c r="G1203" s="13"/>
      <c r="H1203" s="13"/>
      <c r="I1203" s="12"/>
      <c r="J1203" s="13"/>
      <c r="K1203" s="13"/>
      <c r="L1203" s="12"/>
    </row>
    <row r="1204" spans="1:12" x14ac:dyDescent="0.25">
      <c r="A1204" s="5" t="s">
        <v>788</v>
      </c>
      <c r="B1204" s="12"/>
      <c r="C1204" s="5"/>
      <c r="D1204" s="4"/>
      <c r="E1204" s="13"/>
      <c r="F1204" s="10"/>
      <c r="G1204" s="13"/>
      <c r="H1204" s="13"/>
      <c r="I1204" s="12"/>
      <c r="J1204" s="13"/>
      <c r="K1204" s="13"/>
      <c r="L1204" s="12"/>
    </row>
    <row r="1205" spans="1:12" x14ac:dyDescent="0.25">
      <c r="A1205" s="5" t="s">
        <v>197</v>
      </c>
      <c r="B1205" s="12"/>
      <c r="C1205" s="5"/>
      <c r="D1205" s="4"/>
      <c r="E1205" s="13"/>
      <c r="F1205" s="10"/>
      <c r="G1205" s="13"/>
      <c r="H1205" s="13"/>
      <c r="I1205" s="12"/>
      <c r="J1205" s="13"/>
      <c r="K1205" s="13"/>
      <c r="L1205" s="12"/>
    </row>
    <row r="1206" spans="1:12" x14ac:dyDescent="0.25">
      <c r="A1206" s="5" t="s">
        <v>197</v>
      </c>
      <c r="B1206" s="12"/>
      <c r="C1206" s="5"/>
      <c r="D1206" s="4"/>
      <c r="E1206" s="13"/>
      <c r="F1206" s="10"/>
      <c r="G1206" s="13"/>
      <c r="H1206" s="13"/>
      <c r="I1206" s="12"/>
      <c r="J1206" s="13"/>
      <c r="K1206" s="13"/>
      <c r="L1206" s="12"/>
    </row>
    <row r="1207" spans="1:12" x14ac:dyDescent="0.25">
      <c r="A1207" s="5" t="s">
        <v>197</v>
      </c>
      <c r="B1207" s="12"/>
      <c r="C1207" s="5"/>
      <c r="D1207" s="4"/>
      <c r="E1207" s="13"/>
      <c r="F1207" s="10"/>
      <c r="G1207" s="13"/>
      <c r="H1207" s="13"/>
      <c r="I1207" s="12"/>
      <c r="J1207" s="13"/>
      <c r="K1207" s="13"/>
      <c r="L1207" s="12"/>
    </row>
    <row r="1208" spans="1:12" x14ac:dyDescent="0.25">
      <c r="A1208" s="5" t="s">
        <v>197</v>
      </c>
      <c r="B1208" s="12"/>
      <c r="C1208" s="5"/>
      <c r="D1208" s="4"/>
      <c r="E1208" s="13"/>
      <c r="F1208" s="10"/>
      <c r="G1208" s="13"/>
      <c r="H1208" s="13"/>
      <c r="I1208" s="12"/>
      <c r="J1208" s="13"/>
      <c r="K1208" s="13"/>
      <c r="L1208" s="12"/>
    </row>
    <row r="1209" spans="1:12" x14ac:dyDescent="0.25">
      <c r="A1209" s="5" t="s">
        <v>197</v>
      </c>
      <c r="B1209" s="12"/>
      <c r="C1209" s="5"/>
      <c r="D1209" s="4"/>
      <c r="E1209" s="13"/>
      <c r="F1209" s="10"/>
      <c r="G1209" s="13"/>
      <c r="H1209" s="13"/>
      <c r="I1209" s="12"/>
      <c r="J1209" s="13"/>
      <c r="K1209" s="13"/>
      <c r="L1209" s="12"/>
    </row>
    <row r="1210" spans="1:12" x14ac:dyDescent="0.25">
      <c r="A1210" s="5" t="s">
        <v>197</v>
      </c>
      <c r="B1210" s="12"/>
      <c r="C1210" s="5"/>
      <c r="D1210" s="4"/>
      <c r="E1210" s="13"/>
      <c r="F1210" s="10"/>
      <c r="G1210" s="13"/>
      <c r="H1210" s="13"/>
      <c r="I1210" s="12"/>
      <c r="J1210" s="13"/>
      <c r="K1210" s="13"/>
      <c r="L1210" s="12"/>
    </row>
    <row r="1211" spans="1:12" x14ac:dyDescent="0.25">
      <c r="A1211" s="5" t="s">
        <v>803</v>
      </c>
      <c r="B1211" s="12"/>
      <c r="C1211" s="5"/>
      <c r="D1211" s="4"/>
      <c r="E1211" s="13"/>
      <c r="F1211" s="10"/>
      <c r="G1211" s="13"/>
      <c r="H1211" s="13"/>
      <c r="I1211" s="12"/>
      <c r="J1211" s="13"/>
      <c r="K1211" s="13"/>
      <c r="L1211" s="12"/>
    </row>
    <row r="1212" spans="1:12" x14ac:dyDescent="0.25">
      <c r="A1212" s="5" t="s">
        <v>803</v>
      </c>
      <c r="B1212" s="12"/>
      <c r="C1212" s="5"/>
      <c r="D1212" s="4"/>
      <c r="E1212" s="13"/>
      <c r="F1212" s="10"/>
      <c r="G1212" s="13"/>
      <c r="H1212" s="13"/>
      <c r="I1212" s="12"/>
      <c r="J1212" s="13"/>
      <c r="K1212" s="13"/>
      <c r="L1212" s="12"/>
    </row>
    <row r="1213" spans="1:12" x14ac:dyDescent="0.25">
      <c r="A1213" s="5" t="s">
        <v>463</v>
      </c>
      <c r="B1213" s="12"/>
      <c r="C1213" s="5"/>
      <c r="D1213" s="4"/>
      <c r="E1213" s="13"/>
      <c r="F1213" s="10"/>
      <c r="G1213" s="13"/>
      <c r="H1213" s="13"/>
      <c r="I1213" s="12"/>
      <c r="J1213" s="13"/>
      <c r="K1213" s="13"/>
      <c r="L1213" s="12"/>
    </row>
    <row r="1214" spans="1:12" x14ac:dyDescent="0.25">
      <c r="A1214" s="5" t="s">
        <v>463</v>
      </c>
      <c r="B1214" s="12"/>
      <c r="C1214" s="5"/>
      <c r="D1214" s="4"/>
      <c r="E1214" s="13"/>
      <c r="F1214" s="10"/>
      <c r="G1214" s="13"/>
      <c r="H1214" s="13"/>
      <c r="I1214" s="12"/>
      <c r="J1214" s="13"/>
      <c r="K1214" s="13"/>
      <c r="L1214" s="12"/>
    </row>
    <row r="1215" spans="1:12" x14ac:dyDescent="0.25">
      <c r="A1215" s="5" t="s">
        <v>146</v>
      </c>
      <c r="B1215" s="12"/>
      <c r="C1215" s="5"/>
      <c r="D1215" s="4"/>
      <c r="E1215" s="13"/>
      <c r="F1215" s="10"/>
      <c r="G1215" s="13"/>
      <c r="H1215" s="13"/>
      <c r="I1215" s="12"/>
      <c r="J1215" s="13"/>
      <c r="K1215" s="13"/>
      <c r="L1215" s="12"/>
    </row>
    <row r="1216" spans="1:12" x14ac:dyDescent="0.25">
      <c r="A1216" s="5" t="s">
        <v>146</v>
      </c>
      <c r="B1216" s="12"/>
      <c r="C1216" s="5"/>
      <c r="D1216" s="4"/>
      <c r="E1216" s="13"/>
      <c r="F1216" s="10"/>
      <c r="G1216" s="13"/>
      <c r="H1216" s="13"/>
      <c r="I1216" s="12"/>
      <c r="J1216" s="13"/>
      <c r="K1216" s="13"/>
      <c r="L1216" s="12"/>
    </row>
    <row r="1217" spans="1:12" x14ac:dyDescent="0.25">
      <c r="A1217" s="5" t="s">
        <v>323</v>
      </c>
      <c r="B1217" s="12"/>
      <c r="C1217" s="5"/>
      <c r="D1217" s="4"/>
      <c r="E1217" s="13"/>
      <c r="F1217" s="10"/>
      <c r="G1217" s="13"/>
      <c r="H1217" s="13"/>
      <c r="I1217" s="12"/>
      <c r="J1217" s="13"/>
      <c r="K1217" s="13"/>
      <c r="L1217" s="12"/>
    </row>
    <row r="1218" spans="1:12" x14ac:dyDescent="0.25">
      <c r="A1218" s="5" t="s">
        <v>323</v>
      </c>
      <c r="B1218" s="12"/>
      <c r="C1218" s="5"/>
      <c r="D1218" s="4"/>
      <c r="E1218" s="13"/>
      <c r="F1218" s="10"/>
      <c r="G1218" s="13"/>
      <c r="H1218" s="13"/>
      <c r="I1218" s="12"/>
      <c r="J1218" s="13"/>
      <c r="K1218" s="13"/>
      <c r="L1218" s="12"/>
    </row>
    <row r="1219" spans="1:12" x14ac:dyDescent="0.25">
      <c r="A1219" s="5" t="s">
        <v>323</v>
      </c>
      <c r="B1219" s="12"/>
      <c r="C1219" s="5"/>
      <c r="D1219" s="4"/>
      <c r="E1219" s="13"/>
      <c r="F1219" s="10"/>
      <c r="G1219" s="13"/>
      <c r="H1219" s="13"/>
      <c r="I1219" s="12"/>
      <c r="J1219" s="13"/>
      <c r="K1219" s="13"/>
      <c r="L1219" s="12"/>
    </row>
    <row r="1220" spans="1:12" x14ac:dyDescent="0.25">
      <c r="A1220" s="5" t="s">
        <v>817</v>
      </c>
      <c r="B1220" s="12"/>
      <c r="C1220" s="5"/>
      <c r="D1220" s="4"/>
      <c r="E1220" s="13"/>
      <c r="F1220" s="10"/>
      <c r="G1220" s="13"/>
      <c r="H1220" s="13"/>
      <c r="I1220" s="12"/>
      <c r="J1220" s="13"/>
      <c r="K1220" s="13"/>
      <c r="L1220" s="12"/>
    </row>
    <row r="1221" spans="1:12" x14ac:dyDescent="0.25">
      <c r="A1221" s="5" t="s">
        <v>42</v>
      </c>
      <c r="B1221" s="12"/>
      <c r="C1221" s="5"/>
      <c r="D1221" s="4"/>
      <c r="E1221" s="13"/>
      <c r="F1221" s="10"/>
      <c r="G1221" s="13"/>
      <c r="H1221" s="13"/>
      <c r="I1221" s="12"/>
      <c r="J1221" s="13"/>
      <c r="K1221" s="13"/>
      <c r="L1221" s="12"/>
    </row>
    <row r="1222" spans="1:12" x14ac:dyDescent="0.25">
      <c r="A1222" s="5" t="s">
        <v>42</v>
      </c>
      <c r="B1222" s="12"/>
      <c r="C1222" s="5"/>
      <c r="D1222" s="4"/>
      <c r="E1222" s="13"/>
      <c r="F1222" s="10"/>
      <c r="G1222" s="13"/>
      <c r="H1222" s="13"/>
      <c r="I1222" s="12"/>
      <c r="J1222" s="13"/>
      <c r="K1222" s="13"/>
      <c r="L1222" s="12"/>
    </row>
    <row r="1223" spans="1:12" x14ac:dyDescent="0.25">
      <c r="A1223" s="5" t="s">
        <v>725</v>
      </c>
      <c r="B1223" s="12"/>
      <c r="C1223" s="5"/>
      <c r="D1223" s="4"/>
      <c r="E1223" s="13"/>
      <c r="F1223" s="10"/>
      <c r="G1223" s="13"/>
      <c r="H1223" s="13"/>
      <c r="I1223" s="12"/>
      <c r="J1223" s="13"/>
      <c r="K1223" s="13"/>
      <c r="L1223" s="12"/>
    </row>
    <row r="1224" spans="1:12" x14ac:dyDescent="0.25">
      <c r="A1224" s="5" t="s">
        <v>725</v>
      </c>
      <c r="B1224" s="12"/>
      <c r="C1224" s="5"/>
      <c r="D1224" s="4"/>
      <c r="E1224" s="13"/>
      <c r="F1224" s="10"/>
      <c r="G1224" s="13"/>
      <c r="H1224" s="13"/>
      <c r="I1224" s="12"/>
      <c r="J1224" s="13"/>
      <c r="K1224" s="13"/>
      <c r="L1224" s="12"/>
    </row>
    <row r="1225" spans="1:12" x14ac:dyDescent="0.25">
      <c r="A1225" s="5" t="s">
        <v>558</v>
      </c>
      <c r="B1225" s="12"/>
      <c r="C1225" s="5"/>
      <c r="D1225" s="4"/>
      <c r="E1225" s="13"/>
      <c r="F1225" s="10"/>
      <c r="G1225" s="13"/>
      <c r="H1225" s="13"/>
      <c r="I1225" s="12"/>
      <c r="J1225" s="13"/>
      <c r="K1225" s="13"/>
      <c r="L1225" s="12"/>
    </row>
    <row r="1226" spans="1:12" x14ac:dyDescent="0.25">
      <c r="A1226" s="5" t="s">
        <v>558</v>
      </c>
      <c r="B1226" s="12"/>
      <c r="C1226" s="5"/>
      <c r="D1226" s="4"/>
      <c r="E1226" s="13"/>
      <c r="F1226" s="10"/>
      <c r="G1226" s="13"/>
      <c r="H1226" s="13"/>
      <c r="I1226" s="12"/>
      <c r="J1226" s="13"/>
      <c r="K1226" s="13"/>
      <c r="L1226" s="12"/>
    </row>
    <row r="1227" spans="1:12" x14ac:dyDescent="0.25">
      <c r="A1227" s="5" t="s">
        <v>558</v>
      </c>
      <c r="B1227" s="12"/>
      <c r="C1227" s="5"/>
      <c r="D1227" s="4"/>
      <c r="E1227" s="13"/>
      <c r="F1227" s="10"/>
      <c r="G1227" s="13"/>
      <c r="H1227" s="13"/>
      <c r="I1227" s="12"/>
      <c r="J1227" s="13"/>
      <c r="K1227" s="13"/>
      <c r="L1227" s="12"/>
    </row>
    <row r="1228" spans="1:12" x14ac:dyDescent="0.25">
      <c r="A1228" s="5" t="s">
        <v>572</v>
      </c>
      <c r="B1228" s="12"/>
      <c r="C1228" s="5"/>
      <c r="D1228" s="4"/>
      <c r="E1228" s="13"/>
      <c r="F1228" s="10"/>
      <c r="G1228" s="13"/>
      <c r="H1228" s="13"/>
      <c r="I1228" s="12"/>
      <c r="J1228" s="13"/>
      <c r="K1228" s="13"/>
      <c r="L1228" s="12"/>
    </row>
    <row r="1229" spans="1:12" x14ac:dyDescent="0.25">
      <c r="A1229" s="5" t="s">
        <v>572</v>
      </c>
      <c r="B1229" s="12"/>
      <c r="C1229" s="5"/>
      <c r="D1229" s="4"/>
      <c r="E1229" s="13"/>
      <c r="F1229" s="10"/>
      <c r="G1229" s="13"/>
      <c r="H1229" s="13"/>
      <c r="I1229" s="12"/>
      <c r="J1229" s="13"/>
      <c r="K1229" s="13"/>
      <c r="L1229" s="12"/>
    </row>
    <row r="1230" spans="1:12" x14ac:dyDescent="0.25">
      <c r="A1230" s="5" t="s">
        <v>572</v>
      </c>
      <c r="B1230" s="12"/>
      <c r="C1230" s="5"/>
      <c r="D1230" s="4"/>
      <c r="E1230" s="13"/>
      <c r="F1230" s="10"/>
      <c r="G1230" s="13"/>
      <c r="H1230" s="13"/>
      <c r="I1230" s="12"/>
      <c r="J1230" s="13"/>
      <c r="K1230" s="13"/>
      <c r="L1230" s="12"/>
    </row>
    <row r="1231" spans="1:12" x14ac:dyDescent="0.25">
      <c r="A1231" s="5" t="s">
        <v>231</v>
      </c>
      <c r="B1231" s="12"/>
      <c r="C1231" s="5"/>
      <c r="D1231" s="4"/>
      <c r="E1231" s="13"/>
      <c r="F1231" s="10"/>
      <c r="G1231" s="13"/>
      <c r="H1231" s="13"/>
      <c r="I1231" s="12"/>
      <c r="J1231" s="13"/>
      <c r="K1231" s="13"/>
      <c r="L1231" s="12"/>
    </row>
    <row r="1232" spans="1:12" x14ac:dyDescent="0.25">
      <c r="A1232" s="5" t="s">
        <v>231</v>
      </c>
      <c r="B1232" s="12"/>
      <c r="C1232" s="5"/>
      <c r="D1232" s="4"/>
      <c r="E1232" s="13"/>
      <c r="F1232" s="10"/>
      <c r="G1232" s="13"/>
      <c r="H1232" s="13"/>
      <c r="I1232" s="12"/>
      <c r="J1232" s="13"/>
      <c r="K1232" s="13"/>
      <c r="L1232" s="12"/>
    </row>
    <row r="1233" spans="1:12" x14ac:dyDescent="0.25">
      <c r="A1233" s="5" t="s">
        <v>257</v>
      </c>
      <c r="B1233" s="12"/>
      <c r="C1233" s="5"/>
      <c r="D1233" s="4"/>
      <c r="E1233" s="13"/>
      <c r="F1233" s="10"/>
      <c r="G1233" s="13"/>
      <c r="H1233" s="13"/>
      <c r="I1233" s="12"/>
      <c r="J1233" s="13"/>
      <c r="K1233" s="13"/>
      <c r="L1233" s="12"/>
    </row>
    <row r="1234" spans="1:12" x14ac:dyDescent="0.25">
      <c r="A1234" s="5" t="s">
        <v>257</v>
      </c>
      <c r="B1234" s="12"/>
      <c r="C1234" s="5"/>
      <c r="D1234" s="4"/>
      <c r="E1234" s="13"/>
      <c r="F1234" s="10"/>
      <c r="G1234" s="13"/>
      <c r="H1234" s="13"/>
      <c r="I1234" s="12"/>
      <c r="J1234" s="13"/>
      <c r="K1234" s="13"/>
      <c r="L1234" s="12"/>
    </row>
    <row r="1235" spans="1:12" x14ac:dyDescent="0.25">
      <c r="A1235" s="5" t="s">
        <v>257</v>
      </c>
      <c r="B1235" s="12"/>
      <c r="C1235" s="5"/>
      <c r="D1235" s="4"/>
      <c r="E1235" s="13"/>
      <c r="F1235" s="10"/>
      <c r="G1235" s="13"/>
      <c r="H1235" s="13"/>
      <c r="I1235" s="12"/>
      <c r="J1235" s="13"/>
      <c r="K1235" s="13"/>
      <c r="L1235" s="12"/>
    </row>
    <row r="1236" spans="1:12" x14ac:dyDescent="0.25">
      <c r="A1236" s="5" t="s">
        <v>257</v>
      </c>
      <c r="B1236" s="12"/>
      <c r="C1236" s="5"/>
      <c r="D1236" s="4"/>
      <c r="E1236" s="13"/>
      <c r="F1236" s="10"/>
      <c r="G1236" s="13"/>
      <c r="H1236" s="13"/>
      <c r="I1236" s="12"/>
      <c r="J1236" s="13"/>
      <c r="K1236" s="13"/>
      <c r="L1236" s="12"/>
    </row>
    <row r="1237" spans="1:12" x14ac:dyDescent="0.25">
      <c r="A1237" s="5" t="s">
        <v>257</v>
      </c>
      <c r="B1237" s="12"/>
      <c r="C1237" s="5"/>
      <c r="D1237" s="4"/>
      <c r="E1237" s="13"/>
      <c r="F1237" s="10"/>
      <c r="G1237" s="13"/>
      <c r="H1237" s="13"/>
      <c r="I1237" s="12"/>
      <c r="J1237" s="13"/>
      <c r="K1237" s="13"/>
      <c r="L1237" s="12"/>
    </row>
    <row r="1238" spans="1:12" x14ac:dyDescent="0.25">
      <c r="A1238" s="5" t="s">
        <v>257</v>
      </c>
      <c r="B1238" s="12"/>
      <c r="C1238" s="5"/>
      <c r="D1238" s="4"/>
      <c r="E1238" s="13"/>
      <c r="F1238" s="10"/>
      <c r="G1238" s="13"/>
      <c r="H1238" s="13"/>
      <c r="I1238" s="12"/>
      <c r="J1238" s="13"/>
      <c r="K1238" s="13"/>
      <c r="L1238" s="12"/>
    </row>
    <row r="1239" spans="1:12" x14ac:dyDescent="0.25">
      <c r="A1239" s="5" t="s">
        <v>729</v>
      </c>
      <c r="B1239" s="12"/>
      <c r="C1239" s="5"/>
      <c r="D1239" s="4"/>
      <c r="E1239" s="13"/>
      <c r="F1239" s="10"/>
      <c r="G1239" s="13"/>
      <c r="H1239" s="13"/>
      <c r="I1239" s="12"/>
      <c r="J1239" s="13"/>
      <c r="K1239" s="13"/>
      <c r="L1239" s="12"/>
    </row>
    <row r="1240" spans="1:12" x14ac:dyDescent="0.25">
      <c r="A1240" s="5" t="s">
        <v>729</v>
      </c>
      <c r="B1240" s="12"/>
      <c r="C1240" s="5"/>
      <c r="D1240" s="4"/>
      <c r="E1240" s="13"/>
      <c r="F1240" s="10"/>
      <c r="G1240" s="13"/>
      <c r="H1240" s="13"/>
      <c r="I1240" s="12"/>
      <c r="J1240" s="13"/>
      <c r="K1240" s="13"/>
      <c r="L1240" s="12"/>
    </row>
    <row r="1241" spans="1:12" x14ac:dyDescent="0.25">
      <c r="A1241" s="5" t="s">
        <v>726</v>
      </c>
      <c r="B1241" s="12"/>
      <c r="C1241" s="5"/>
      <c r="D1241" s="4"/>
      <c r="E1241" s="13"/>
      <c r="F1241" s="10"/>
      <c r="G1241" s="13"/>
      <c r="H1241" s="13"/>
      <c r="I1241" s="12"/>
      <c r="J1241" s="13"/>
      <c r="K1241" s="13"/>
      <c r="L1241" s="12"/>
    </row>
    <row r="1242" spans="1:12" x14ac:dyDescent="0.25">
      <c r="A1242" s="5" t="s">
        <v>505</v>
      </c>
      <c r="B1242" s="12"/>
      <c r="C1242" s="5"/>
      <c r="D1242" s="4"/>
      <c r="E1242" s="13"/>
      <c r="F1242" s="10"/>
      <c r="G1242" s="13"/>
      <c r="H1242" s="13"/>
      <c r="I1242" s="12"/>
      <c r="J1242" s="13"/>
      <c r="K1242" s="13"/>
      <c r="L1242" s="12"/>
    </row>
    <row r="1243" spans="1:12" x14ac:dyDescent="0.25">
      <c r="A1243" s="5" t="s">
        <v>505</v>
      </c>
      <c r="B1243" s="12"/>
      <c r="C1243" s="5"/>
      <c r="D1243" s="4"/>
      <c r="E1243" s="13"/>
      <c r="F1243" s="10"/>
      <c r="G1243" s="13"/>
      <c r="H1243" s="13"/>
      <c r="I1243" s="12"/>
      <c r="J1243" s="13"/>
      <c r="K1243" s="13"/>
      <c r="L1243" s="12"/>
    </row>
    <row r="1244" spans="1:12" x14ac:dyDescent="0.25">
      <c r="A1244" s="5" t="s">
        <v>505</v>
      </c>
      <c r="B1244" s="12"/>
      <c r="C1244" s="5"/>
      <c r="D1244" s="4"/>
      <c r="E1244" s="13"/>
      <c r="F1244" s="10"/>
      <c r="G1244" s="13"/>
      <c r="H1244" s="13"/>
      <c r="I1244" s="12"/>
      <c r="J1244" s="13"/>
      <c r="K1244" s="13"/>
      <c r="L1244" s="12"/>
    </row>
    <row r="1245" spans="1:12" x14ac:dyDescent="0.25">
      <c r="A1245" s="5" t="s">
        <v>505</v>
      </c>
      <c r="B1245" s="12"/>
      <c r="C1245" s="5"/>
      <c r="D1245" s="4"/>
      <c r="E1245" s="13"/>
      <c r="F1245" s="10"/>
      <c r="G1245" s="13"/>
      <c r="H1245" s="13"/>
      <c r="I1245" s="12"/>
      <c r="J1245" s="13"/>
      <c r="K1245" s="13"/>
      <c r="L1245" s="12"/>
    </row>
    <row r="1246" spans="1:12" x14ac:dyDescent="0.25">
      <c r="A1246" s="5" t="s">
        <v>505</v>
      </c>
      <c r="B1246" s="12"/>
      <c r="C1246" s="5"/>
      <c r="D1246" s="4"/>
      <c r="E1246" s="13"/>
      <c r="F1246" s="10"/>
      <c r="G1246" s="13"/>
      <c r="H1246" s="13"/>
      <c r="I1246" s="12"/>
      <c r="J1246" s="13"/>
      <c r="K1246" s="13"/>
      <c r="L1246" s="12"/>
    </row>
    <row r="1247" spans="1:12" x14ac:dyDescent="0.25">
      <c r="A1247" s="5" t="s">
        <v>505</v>
      </c>
      <c r="B1247" s="12"/>
      <c r="C1247" s="5"/>
      <c r="D1247" s="4"/>
      <c r="E1247" s="13"/>
      <c r="F1247" s="10"/>
      <c r="G1247" s="13"/>
      <c r="H1247" s="13"/>
      <c r="I1247" s="12"/>
      <c r="J1247" s="13"/>
      <c r="K1247" s="13"/>
      <c r="L1247" s="12"/>
    </row>
    <row r="1248" spans="1:12" x14ac:dyDescent="0.25">
      <c r="A1248" s="5" t="s">
        <v>364</v>
      </c>
      <c r="B1248" s="12"/>
      <c r="C1248" s="5"/>
      <c r="D1248" s="4"/>
      <c r="E1248" s="13"/>
      <c r="F1248" s="10"/>
      <c r="G1248" s="13"/>
      <c r="H1248" s="13"/>
      <c r="I1248" s="12"/>
      <c r="J1248" s="13"/>
      <c r="K1248" s="13"/>
      <c r="L1248" s="12"/>
    </row>
    <row r="1249" spans="1:12" x14ac:dyDescent="0.25">
      <c r="A1249" s="5" t="s">
        <v>364</v>
      </c>
      <c r="B1249" s="12"/>
      <c r="C1249" s="5"/>
      <c r="D1249" s="4"/>
      <c r="E1249" s="13"/>
      <c r="F1249" s="10"/>
      <c r="G1249" s="13"/>
      <c r="H1249" s="13"/>
      <c r="I1249" s="12"/>
      <c r="J1249" s="13"/>
      <c r="K1249" s="13"/>
      <c r="L1249" s="12"/>
    </row>
    <row r="1250" spans="1:12" x14ac:dyDescent="0.25">
      <c r="A1250" s="5" t="s">
        <v>364</v>
      </c>
      <c r="B1250" s="12"/>
      <c r="C1250" s="5"/>
      <c r="D1250" s="4"/>
      <c r="E1250" s="13"/>
      <c r="F1250" s="10"/>
      <c r="G1250" s="13"/>
      <c r="H1250" s="13"/>
      <c r="I1250" s="12"/>
      <c r="J1250" s="13"/>
      <c r="K1250" s="13"/>
      <c r="L1250" s="12"/>
    </row>
    <row r="1251" spans="1:12" x14ac:dyDescent="0.25">
      <c r="A1251" s="5" t="s">
        <v>136</v>
      </c>
      <c r="B1251" s="12"/>
      <c r="C1251" s="5"/>
      <c r="D1251" s="4"/>
      <c r="E1251" s="13"/>
      <c r="F1251" s="10"/>
      <c r="G1251" s="13"/>
      <c r="H1251" s="13"/>
      <c r="I1251" s="12"/>
      <c r="J1251" s="13"/>
      <c r="K1251" s="13"/>
      <c r="L1251" s="12"/>
    </row>
    <row r="1252" spans="1:12" x14ac:dyDescent="0.25">
      <c r="A1252" s="5" t="s">
        <v>136</v>
      </c>
      <c r="B1252" s="12"/>
      <c r="C1252" s="5"/>
      <c r="D1252" s="4"/>
      <c r="E1252" s="13"/>
      <c r="F1252" s="10"/>
      <c r="G1252" s="13"/>
      <c r="H1252" s="13"/>
      <c r="I1252" s="12"/>
      <c r="J1252" s="13"/>
      <c r="K1252" s="13"/>
      <c r="L1252" s="12"/>
    </row>
    <row r="1253" spans="1:12" x14ac:dyDescent="0.25">
      <c r="A1253" s="5" t="s">
        <v>569</v>
      </c>
      <c r="B1253" s="12"/>
      <c r="C1253" s="5"/>
      <c r="D1253" s="4"/>
      <c r="E1253" s="13"/>
      <c r="F1253" s="10"/>
      <c r="G1253" s="13"/>
      <c r="H1253" s="13"/>
      <c r="I1253" s="12"/>
      <c r="J1253" s="13"/>
      <c r="K1253" s="13"/>
      <c r="L1253" s="12"/>
    </row>
    <row r="1254" spans="1:12" x14ac:dyDescent="0.25">
      <c r="A1254" s="5" t="s">
        <v>569</v>
      </c>
      <c r="B1254" s="12"/>
      <c r="C1254" s="5"/>
      <c r="D1254" s="4"/>
      <c r="E1254" s="13"/>
      <c r="F1254" s="10"/>
      <c r="G1254" s="13"/>
      <c r="H1254" s="13"/>
      <c r="I1254" s="12"/>
      <c r="J1254" s="13"/>
      <c r="K1254" s="13"/>
      <c r="L1254" s="12"/>
    </row>
    <row r="1255" spans="1:12" x14ac:dyDescent="0.25">
      <c r="A1255" s="5" t="s">
        <v>153</v>
      </c>
      <c r="B1255" s="12"/>
      <c r="C1255" s="5"/>
      <c r="D1255" s="4"/>
      <c r="E1255" s="13"/>
      <c r="F1255" s="10"/>
      <c r="G1255" s="13"/>
      <c r="H1255" s="13"/>
      <c r="I1255" s="12"/>
      <c r="J1255" s="13"/>
      <c r="K1255" s="13"/>
      <c r="L1255" s="12"/>
    </row>
    <row r="1256" spans="1:12" x14ac:dyDescent="0.25">
      <c r="A1256" s="5" t="s">
        <v>153</v>
      </c>
      <c r="B1256" s="12"/>
      <c r="C1256" s="5"/>
      <c r="D1256" s="4"/>
      <c r="E1256" s="13"/>
      <c r="F1256" s="10"/>
      <c r="G1256" s="13"/>
      <c r="H1256" s="13"/>
      <c r="I1256" s="12"/>
      <c r="J1256" s="13"/>
      <c r="K1256" s="13"/>
      <c r="L1256" s="12"/>
    </row>
    <row r="1257" spans="1:12" x14ac:dyDescent="0.25">
      <c r="A1257" s="5" t="s">
        <v>609</v>
      </c>
      <c r="B1257" s="12"/>
      <c r="C1257" s="5"/>
      <c r="D1257" s="4"/>
      <c r="E1257" s="13"/>
      <c r="F1257" s="10"/>
      <c r="G1257" s="13"/>
      <c r="H1257" s="13"/>
      <c r="I1257" s="12"/>
      <c r="J1257" s="13"/>
      <c r="K1257" s="13"/>
      <c r="L1257" s="12"/>
    </row>
    <row r="1258" spans="1:12" x14ac:dyDescent="0.25">
      <c r="A1258" s="5" t="s">
        <v>609</v>
      </c>
      <c r="B1258" s="12"/>
      <c r="C1258" s="5"/>
      <c r="D1258" s="4"/>
      <c r="E1258" s="13"/>
      <c r="F1258" s="10"/>
      <c r="G1258" s="13"/>
      <c r="H1258" s="13"/>
      <c r="I1258" s="12"/>
      <c r="J1258" s="13"/>
      <c r="K1258" s="13"/>
      <c r="L1258" s="12"/>
    </row>
    <row r="1259" spans="1:12" x14ac:dyDescent="0.25">
      <c r="A1259" s="5" t="s">
        <v>609</v>
      </c>
      <c r="B1259" s="12"/>
      <c r="C1259" s="5"/>
      <c r="D1259" s="4"/>
      <c r="E1259" s="13"/>
      <c r="F1259" s="10"/>
      <c r="G1259" s="13"/>
      <c r="H1259" s="13"/>
      <c r="I1259" s="12"/>
      <c r="J1259" s="13"/>
      <c r="K1259" s="13"/>
      <c r="L1259" s="12"/>
    </row>
    <row r="1260" spans="1:12" x14ac:dyDescent="0.25">
      <c r="A1260" s="5" t="s">
        <v>484</v>
      </c>
      <c r="B1260" s="12"/>
      <c r="C1260" s="5"/>
      <c r="D1260" s="4"/>
      <c r="E1260" s="13"/>
      <c r="F1260" s="10"/>
      <c r="G1260" s="13"/>
      <c r="H1260" s="13"/>
      <c r="I1260" s="12"/>
      <c r="J1260" s="13"/>
      <c r="K1260" s="13"/>
      <c r="L1260" s="12"/>
    </row>
    <row r="1261" spans="1:12" x14ac:dyDescent="0.25">
      <c r="A1261" s="5" t="s">
        <v>484</v>
      </c>
      <c r="B1261" s="12"/>
      <c r="C1261" s="5"/>
      <c r="D1261" s="4"/>
      <c r="E1261" s="13"/>
      <c r="F1261" s="10"/>
      <c r="G1261" s="13"/>
      <c r="H1261" s="13"/>
      <c r="I1261" s="12"/>
      <c r="J1261" s="13"/>
      <c r="K1261" s="13"/>
      <c r="L1261" s="12"/>
    </row>
    <row r="1262" spans="1:12" x14ac:dyDescent="0.25">
      <c r="A1262" s="5" t="s">
        <v>596</v>
      </c>
      <c r="B1262" s="12"/>
      <c r="C1262" s="5"/>
      <c r="D1262" s="4"/>
      <c r="E1262" s="13"/>
      <c r="F1262" s="10"/>
      <c r="G1262" s="13"/>
      <c r="H1262" s="13"/>
      <c r="I1262" s="12"/>
      <c r="J1262" s="13"/>
      <c r="K1262" s="13"/>
      <c r="L1262" s="12"/>
    </row>
    <row r="1263" spans="1:12" x14ac:dyDescent="0.25">
      <c r="A1263" s="5" t="s">
        <v>630</v>
      </c>
      <c r="B1263" s="12"/>
      <c r="C1263" s="5"/>
      <c r="D1263" s="4"/>
      <c r="E1263" s="13"/>
      <c r="F1263" s="10"/>
      <c r="G1263" s="13"/>
      <c r="H1263" s="13"/>
      <c r="I1263" s="12"/>
      <c r="J1263" s="13"/>
      <c r="K1263" s="13"/>
      <c r="L1263" s="12"/>
    </row>
    <row r="1264" spans="1:12" x14ac:dyDescent="0.25">
      <c r="A1264" s="5" t="s">
        <v>630</v>
      </c>
      <c r="B1264" s="12"/>
      <c r="C1264" s="5"/>
      <c r="D1264" s="4"/>
      <c r="E1264" s="13"/>
      <c r="F1264" s="10"/>
      <c r="G1264" s="13"/>
      <c r="H1264" s="13"/>
      <c r="I1264" s="12"/>
      <c r="J1264" s="13"/>
      <c r="K1264" s="13"/>
      <c r="L1264" s="12"/>
    </row>
    <row r="1265" spans="1:12" x14ac:dyDescent="0.25">
      <c r="A1265" s="5" t="s">
        <v>630</v>
      </c>
      <c r="B1265" s="12"/>
      <c r="C1265" s="5"/>
      <c r="D1265" s="4"/>
      <c r="E1265" s="13"/>
      <c r="F1265" s="10"/>
      <c r="G1265" s="13"/>
      <c r="H1265" s="13"/>
      <c r="I1265" s="12"/>
      <c r="J1265" s="13"/>
      <c r="K1265" s="13"/>
      <c r="L1265" s="12"/>
    </row>
    <row r="1266" spans="1:12" x14ac:dyDescent="0.25">
      <c r="A1266" s="5" t="s">
        <v>25</v>
      </c>
      <c r="B1266" s="12"/>
      <c r="C1266" s="5"/>
      <c r="D1266" s="4"/>
      <c r="E1266" s="13"/>
      <c r="F1266" s="10"/>
      <c r="G1266" s="13"/>
      <c r="H1266" s="13"/>
      <c r="I1266" s="12"/>
      <c r="J1266" s="13"/>
      <c r="K1266" s="13"/>
      <c r="L1266" s="12"/>
    </row>
    <row r="1267" spans="1:12" x14ac:dyDescent="0.25">
      <c r="A1267" s="5" t="s">
        <v>25</v>
      </c>
      <c r="B1267" s="12"/>
      <c r="C1267" s="5"/>
      <c r="D1267" s="4"/>
      <c r="E1267" s="13"/>
      <c r="F1267" s="10"/>
      <c r="G1267" s="13"/>
      <c r="H1267" s="13"/>
      <c r="I1267" s="12"/>
      <c r="J1267" s="13"/>
      <c r="K1267" s="13"/>
      <c r="L1267" s="12"/>
    </row>
    <row r="1268" spans="1:12" x14ac:dyDescent="0.25">
      <c r="A1268" s="5" t="s">
        <v>28</v>
      </c>
      <c r="B1268" s="12"/>
      <c r="C1268" s="5"/>
      <c r="D1268" s="4"/>
      <c r="E1268" s="13"/>
      <c r="F1268" s="10"/>
      <c r="G1268" s="13"/>
      <c r="H1268" s="13"/>
      <c r="I1268" s="12"/>
      <c r="J1268" s="13"/>
      <c r="K1268" s="13"/>
      <c r="L1268" s="12"/>
    </row>
    <row r="1269" spans="1:12" x14ac:dyDescent="0.25">
      <c r="A1269" s="5" t="s">
        <v>28</v>
      </c>
      <c r="B1269" s="12"/>
      <c r="C1269" s="5"/>
      <c r="D1269" s="4"/>
      <c r="E1269" s="13"/>
      <c r="F1269" s="10"/>
      <c r="G1269" s="13"/>
      <c r="H1269" s="13"/>
      <c r="I1269" s="12"/>
      <c r="J1269" s="13"/>
      <c r="K1269" s="13"/>
      <c r="L1269" s="12"/>
    </row>
    <row r="1270" spans="1:12" x14ac:dyDescent="0.25">
      <c r="A1270" s="5" t="s">
        <v>28</v>
      </c>
      <c r="B1270" s="12"/>
      <c r="C1270" s="5"/>
      <c r="D1270" s="4"/>
      <c r="E1270" s="13"/>
      <c r="F1270" s="10"/>
      <c r="G1270" s="13"/>
      <c r="H1270" s="13"/>
      <c r="I1270" s="12"/>
      <c r="J1270" s="13"/>
      <c r="K1270" s="13"/>
      <c r="L1270" s="12"/>
    </row>
    <row r="1271" spans="1:12" x14ac:dyDescent="0.25">
      <c r="A1271" s="5" t="s">
        <v>705</v>
      </c>
      <c r="B1271" s="12"/>
      <c r="C1271" s="5"/>
      <c r="D1271" s="4"/>
      <c r="E1271" s="13"/>
      <c r="F1271" s="10"/>
      <c r="G1271" s="13"/>
      <c r="H1271" s="13"/>
      <c r="I1271" s="12"/>
      <c r="J1271" s="13"/>
      <c r="K1271" s="13"/>
      <c r="L1271" s="12"/>
    </row>
    <row r="1272" spans="1:12" x14ac:dyDescent="0.25">
      <c r="A1272" s="5" t="s">
        <v>705</v>
      </c>
      <c r="B1272" s="12"/>
      <c r="C1272" s="5"/>
      <c r="D1272" s="4"/>
      <c r="E1272" s="13"/>
      <c r="F1272" s="10"/>
      <c r="G1272" s="13"/>
      <c r="H1272" s="13"/>
      <c r="I1272" s="12"/>
      <c r="J1272" s="13"/>
      <c r="K1272" s="13"/>
      <c r="L1272" s="12"/>
    </row>
    <row r="1273" spans="1:12" x14ac:dyDescent="0.25">
      <c r="A1273" s="5" t="s">
        <v>705</v>
      </c>
      <c r="B1273" s="12"/>
      <c r="C1273" s="5"/>
      <c r="D1273" s="4"/>
      <c r="E1273" s="13"/>
      <c r="F1273" s="10"/>
      <c r="G1273" s="13"/>
      <c r="H1273" s="13"/>
      <c r="I1273" s="12"/>
      <c r="J1273" s="13"/>
      <c r="K1273" s="13"/>
      <c r="L1273" s="12"/>
    </row>
    <row r="1274" spans="1:12" x14ac:dyDescent="0.25">
      <c r="A1274" s="5" t="s">
        <v>318</v>
      </c>
      <c r="B1274" s="12"/>
      <c r="C1274" s="5"/>
      <c r="D1274" s="4"/>
      <c r="E1274" s="13"/>
      <c r="F1274" s="10"/>
      <c r="G1274" s="13"/>
      <c r="H1274" s="13"/>
      <c r="I1274" s="12"/>
      <c r="J1274" s="13"/>
      <c r="K1274" s="13"/>
      <c r="L1274" s="12"/>
    </row>
    <row r="1275" spans="1:12" x14ac:dyDescent="0.25">
      <c r="A1275" s="5" t="s">
        <v>318</v>
      </c>
      <c r="B1275" s="12"/>
      <c r="C1275" s="5"/>
      <c r="D1275" s="4"/>
      <c r="E1275" s="13"/>
      <c r="F1275" s="10"/>
      <c r="G1275" s="13"/>
      <c r="H1275" s="13"/>
      <c r="I1275" s="12"/>
      <c r="J1275" s="13"/>
      <c r="K1275" s="13"/>
      <c r="L1275" s="12"/>
    </row>
    <row r="1276" spans="1:12" x14ac:dyDescent="0.25">
      <c r="A1276" s="5" t="s">
        <v>318</v>
      </c>
      <c r="B1276" s="12"/>
      <c r="C1276" s="5"/>
      <c r="D1276" s="4"/>
      <c r="E1276" s="13"/>
      <c r="F1276" s="10"/>
      <c r="G1276" s="13"/>
      <c r="H1276" s="13"/>
      <c r="I1276" s="12"/>
      <c r="J1276" s="13"/>
      <c r="K1276" s="13"/>
      <c r="L1276" s="12"/>
    </row>
    <row r="1277" spans="1:12" x14ac:dyDescent="0.25">
      <c r="A1277" s="5" t="s">
        <v>318</v>
      </c>
      <c r="B1277" s="12"/>
      <c r="C1277" s="5"/>
      <c r="D1277" s="4"/>
      <c r="E1277" s="13"/>
      <c r="F1277" s="10"/>
      <c r="G1277" s="13"/>
      <c r="H1277" s="13"/>
      <c r="I1277" s="12"/>
      <c r="J1277" s="13"/>
      <c r="K1277" s="13"/>
      <c r="L1277" s="12"/>
    </row>
    <row r="1278" spans="1:12" x14ac:dyDescent="0.25">
      <c r="A1278" s="5" t="s">
        <v>318</v>
      </c>
      <c r="B1278" s="12"/>
      <c r="C1278" s="5"/>
      <c r="D1278" s="4"/>
      <c r="E1278" s="13"/>
      <c r="F1278" s="10"/>
      <c r="G1278" s="13"/>
      <c r="H1278" s="13"/>
      <c r="I1278" s="12"/>
      <c r="J1278" s="13"/>
      <c r="K1278" s="13"/>
      <c r="L1278" s="12"/>
    </row>
    <row r="1279" spans="1:12" x14ac:dyDescent="0.25">
      <c r="A1279" s="5" t="s">
        <v>318</v>
      </c>
      <c r="B1279" s="12"/>
      <c r="C1279" s="5"/>
      <c r="D1279" s="4"/>
      <c r="E1279" s="13"/>
      <c r="F1279" s="10"/>
      <c r="G1279" s="13"/>
      <c r="H1279" s="13"/>
      <c r="I1279" s="12"/>
      <c r="J1279" s="13"/>
      <c r="K1279" s="13"/>
      <c r="L1279" s="12"/>
    </row>
    <row r="1280" spans="1:12" x14ac:dyDescent="0.25">
      <c r="A1280" s="5" t="s">
        <v>97</v>
      </c>
      <c r="B1280" s="12"/>
      <c r="C1280" s="5"/>
      <c r="D1280" s="4"/>
      <c r="E1280" s="13"/>
      <c r="F1280" s="10"/>
      <c r="G1280" s="13"/>
      <c r="H1280" s="13"/>
      <c r="I1280" s="12"/>
      <c r="J1280" s="13"/>
      <c r="K1280" s="13"/>
      <c r="L1280" s="12"/>
    </row>
    <row r="1281" spans="1:12" x14ac:dyDescent="0.25">
      <c r="A1281" s="5" t="s">
        <v>97</v>
      </c>
      <c r="B1281" s="12"/>
      <c r="C1281" s="5"/>
      <c r="D1281" s="4"/>
      <c r="E1281" s="13"/>
      <c r="F1281" s="10"/>
      <c r="G1281" s="13"/>
      <c r="H1281" s="13"/>
      <c r="I1281" s="12"/>
      <c r="J1281" s="13"/>
      <c r="K1281" s="13"/>
      <c r="L1281" s="12"/>
    </row>
    <row r="1282" spans="1:12" x14ac:dyDescent="0.25">
      <c r="A1282" s="5" t="s">
        <v>97</v>
      </c>
      <c r="B1282" s="12"/>
      <c r="C1282" s="5"/>
      <c r="D1282" s="4"/>
      <c r="E1282" s="13"/>
      <c r="F1282" s="10"/>
      <c r="G1282" s="13"/>
      <c r="H1282" s="13"/>
      <c r="I1282" s="12"/>
      <c r="J1282" s="13"/>
      <c r="K1282" s="13"/>
      <c r="L1282" s="12"/>
    </row>
    <row r="1283" spans="1:12" x14ac:dyDescent="0.25">
      <c r="A1283" s="5" t="s">
        <v>97</v>
      </c>
      <c r="B1283" s="12"/>
      <c r="C1283" s="5"/>
      <c r="D1283" s="4"/>
      <c r="E1283" s="13"/>
      <c r="F1283" s="10"/>
      <c r="G1283" s="13"/>
      <c r="H1283" s="13"/>
      <c r="I1283" s="12"/>
      <c r="J1283" s="13"/>
      <c r="K1283" s="13"/>
      <c r="L1283" s="12"/>
    </row>
    <row r="1284" spans="1:12" x14ac:dyDescent="0.25">
      <c r="A1284" s="5" t="s">
        <v>97</v>
      </c>
      <c r="B1284" s="12"/>
      <c r="C1284" s="5"/>
      <c r="D1284" s="4"/>
      <c r="E1284" s="13"/>
      <c r="F1284" s="10"/>
      <c r="G1284" s="13"/>
      <c r="H1284" s="13"/>
      <c r="I1284" s="12"/>
      <c r="J1284" s="13"/>
      <c r="K1284" s="13"/>
      <c r="L1284" s="12"/>
    </row>
    <row r="1285" spans="1:12" x14ac:dyDescent="0.25">
      <c r="A1285" s="5" t="s">
        <v>97</v>
      </c>
      <c r="B1285" s="12"/>
      <c r="C1285" s="5"/>
      <c r="D1285" s="4"/>
      <c r="E1285" s="13"/>
      <c r="F1285" s="10"/>
      <c r="G1285" s="13"/>
      <c r="H1285" s="13"/>
      <c r="I1285" s="12"/>
      <c r="J1285" s="13"/>
      <c r="K1285" s="13"/>
      <c r="L1285" s="12"/>
    </row>
    <row r="1286" spans="1:12" x14ac:dyDescent="0.25">
      <c r="A1286" s="5" t="s">
        <v>580</v>
      </c>
      <c r="B1286" s="12"/>
      <c r="C1286" s="5"/>
      <c r="D1286" s="4"/>
      <c r="E1286" s="13"/>
      <c r="F1286" s="10"/>
      <c r="G1286" s="13"/>
      <c r="H1286" s="13"/>
      <c r="I1286" s="12"/>
      <c r="J1286" s="13"/>
      <c r="K1286" s="13"/>
      <c r="L1286" s="12"/>
    </row>
    <row r="1287" spans="1:12" x14ac:dyDescent="0.25">
      <c r="A1287" s="5" t="s">
        <v>580</v>
      </c>
      <c r="B1287" s="12"/>
      <c r="C1287" s="5"/>
      <c r="D1287" s="4"/>
      <c r="E1287" s="13"/>
      <c r="F1287" s="10"/>
      <c r="G1287" s="13"/>
      <c r="H1287" s="13"/>
      <c r="I1287" s="12"/>
      <c r="J1287" s="13"/>
      <c r="K1287" s="13"/>
      <c r="L1287" s="12"/>
    </row>
    <row r="1288" spans="1:12" x14ac:dyDescent="0.25">
      <c r="A1288" s="5" t="s">
        <v>580</v>
      </c>
      <c r="B1288" s="12"/>
      <c r="C1288" s="5"/>
      <c r="D1288" s="4"/>
      <c r="E1288" s="13"/>
      <c r="F1288" s="10"/>
      <c r="G1288" s="13"/>
      <c r="H1288" s="13"/>
      <c r="I1288" s="12"/>
      <c r="J1288" s="13"/>
      <c r="K1288" s="13"/>
      <c r="L1288" s="12"/>
    </row>
    <row r="1289" spans="1:12" x14ac:dyDescent="0.25">
      <c r="A1289" s="5" t="s">
        <v>457</v>
      </c>
      <c r="B1289" s="12"/>
      <c r="C1289" s="5"/>
      <c r="D1289" s="4"/>
      <c r="E1289" s="13"/>
      <c r="F1289" s="10"/>
      <c r="G1289" s="13"/>
      <c r="H1289" s="13"/>
      <c r="I1289" s="12"/>
      <c r="J1289" s="13"/>
      <c r="K1289" s="13"/>
      <c r="L1289" s="12"/>
    </row>
    <row r="1290" spans="1:12" x14ac:dyDescent="0.25">
      <c r="A1290" s="5" t="s">
        <v>457</v>
      </c>
      <c r="B1290" s="12"/>
      <c r="C1290" s="5"/>
      <c r="D1290" s="4"/>
      <c r="E1290" s="13"/>
      <c r="F1290" s="10"/>
      <c r="G1290" s="13"/>
      <c r="H1290" s="13"/>
      <c r="I1290" s="12"/>
      <c r="J1290" s="13"/>
      <c r="K1290" s="13"/>
      <c r="L1290" s="12"/>
    </row>
    <row r="1291" spans="1:12" x14ac:dyDescent="0.25">
      <c r="A1291" s="5" t="s">
        <v>457</v>
      </c>
      <c r="B1291" s="12"/>
      <c r="C1291" s="5"/>
      <c r="D1291" s="4"/>
      <c r="E1291" s="13"/>
      <c r="F1291" s="10"/>
      <c r="G1291" s="13"/>
      <c r="H1291" s="13"/>
      <c r="I1291" s="12"/>
      <c r="J1291" s="13"/>
      <c r="K1291" s="13"/>
      <c r="L1291" s="12"/>
    </row>
    <row r="1292" spans="1:12" x14ac:dyDescent="0.25">
      <c r="A1292" s="5" t="s">
        <v>30</v>
      </c>
      <c r="B1292" s="12"/>
      <c r="C1292" s="5"/>
      <c r="D1292" s="4"/>
      <c r="E1292" s="13"/>
      <c r="F1292" s="10"/>
      <c r="G1292" s="13"/>
      <c r="H1292" s="13"/>
      <c r="I1292" s="12"/>
      <c r="J1292" s="13"/>
      <c r="K1292" s="13"/>
      <c r="L1292" s="12"/>
    </row>
    <row r="1293" spans="1:12" x14ac:dyDescent="0.25">
      <c r="A1293" s="5" t="s">
        <v>30</v>
      </c>
      <c r="B1293" s="12"/>
      <c r="C1293" s="5"/>
      <c r="D1293" s="4"/>
      <c r="E1293" s="13"/>
      <c r="F1293" s="10"/>
      <c r="G1293" s="13"/>
      <c r="H1293" s="13"/>
      <c r="I1293" s="12"/>
      <c r="J1293" s="13"/>
      <c r="K1293" s="13"/>
      <c r="L1293" s="12"/>
    </row>
    <row r="1294" spans="1:12" x14ac:dyDescent="0.25">
      <c r="A1294" s="5" t="s">
        <v>30</v>
      </c>
      <c r="B1294" s="12"/>
      <c r="C1294" s="5"/>
      <c r="D1294" s="4"/>
      <c r="E1294" s="13"/>
      <c r="F1294" s="10"/>
      <c r="G1294" s="13"/>
      <c r="H1294" s="13"/>
      <c r="I1294" s="12"/>
      <c r="J1294" s="13"/>
      <c r="K1294" s="13"/>
      <c r="L1294" s="12"/>
    </row>
    <row r="1295" spans="1:12" x14ac:dyDescent="0.25">
      <c r="A1295" s="5" t="s">
        <v>475</v>
      </c>
      <c r="B1295" s="12"/>
      <c r="C1295" s="5"/>
      <c r="D1295" s="4"/>
      <c r="E1295" s="13"/>
      <c r="F1295" s="10"/>
      <c r="G1295" s="13"/>
      <c r="H1295" s="13"/>
      <c r="I1295" s="12"/>
      <c r="J1295" s="13"/>
      <c r="K1295" s="13"/>
      <c r="L1295" s="12"/>
    </row>
    <row r="1296" spans="1:12" x14ac:dyDescent="0.25">
      <c r="A1296" s="5" t="s">
        <v>475</v>
      </c>
      <c r="B1296" s="12"/>
      <c r="C1296" s="5"/>
      <c r="D1296" s="4"/>
      <c r="E1296" s="13"/>
      <c r="F1296" s="10"/>
      <c r="G1296" s="13"/>
      <c r="H1296" s="13"/>
      <c r="I1296" s="12"/>
      <c r="J1296" s="13"/>
      <c r="K1296" s="13"/>
      <c r="L1296" s="12"/>
    </row>
    <row r="1297" spans="1:12" x14ac:dyDescent="0.25">
      <c r="A1297" s="5" t="s">
        <v>475</v>
      </c>
      <c r="B1297" s="12"/>
      <c r="C1297" s="5"/>
      <c r="D1297" s="4"/>
      <c r="E1297" s="13"/>
      <c r="F1297" s="10"/>
      <c r="G1297" s="13"/>
      <c r="H1297" s="13"/>
      <c r="I1297" s="12"/>
      <c r="J1297" s="13"/>
      <c r="K1297" s="13"/>
      <c r="L1297" s="12"/>
    </row>
    <row r="1298" spans="1:12" x14ac:dyDescent="0.25">
      <c r="A1298" s="5" t="s">
        <v>691</v>
      </c>
      <c r="B1298" s="12"/>
      <c r="C1298" s="5"/>
      <c r="D1298" s="4"/>
      <c r="E1298" s="13"/>
      <c r="F1298" s="10"/>
      <c r="G1298" s="13"/>
      <c r="H1298" s="13"/>
      <c r="I1298" s="12"/>
      <c r="J1298" s="13"/>
      <c r="K1298" s="13"/>
      <c r="L1298" s="12"/>
    </row>
    <row r="1299" spans="1:12" x14ac:dyDescent="0.25">
      <c r="A1299" s="5" t="s">
        <v>691</v>
      </c>
      <c r="B1299" s="12"/>
      <c r="C1299" s="5"/>
      <c r="D1299" s="4"/>
      <c r="E1299" s="13"/>
      <c r="F1299" s="10"/>
      <c r="G1299" s="13"/>
      <c r="H1299" s="13"/>
      <c r="I1299" s="12"/>
      <c r="J1299" s="13"/>
      <c r="K1299" s="13"/>
      <c r="L1299" s="12"/>
    </row>
    <row r="1300" spans="1:12" x14ac:dyDescent="0.25">
      <c r="A1300" s="5" t="s">
        <v>691</v>
      </c>
      <c r="B1300" s="12"/>
      <c r="C1300" s="5"/>
      <c r="D1300" s="4"/>
      <c r="E1300" s="13"/>
      <c r="F1300" s="10"/>
      <c r="G1300" s="13"/>
      <c r="H1300" s="13"/>
      <c r="I1300" s="12"/>
      <c r="J1300" s="13"/>
      <c r="K1300" s="13"/>
      <c r="L1300" s="12"/>
    </row>
    <row r="1301" spans="1:12" x14ac:dyDescent="0.25">
      <c r="A1301" s="5" t="s">
        <v>524</v>
      </c>
      <c r="B1301" s="12"/>
      <c r="C1301" s="5"/>
      <c r="D1301" s="4"/>
      <c r="E1301" s="13"/>
      <c r="F1301" s="10"/>
      <c r="G1301" s="13"/>
      <c r="H1301" s="13"/>
      <c r="I1301" s="12"/>
      <c r="J1301" s="13"/>
      <c r="K1301" s="13"/>
      <c r="L1301" s="12"/>
    </row>
    <row r="1302" spans="1:12" x14ac:dyDescent="0.25">
      <c r="A1302" s="5" t="s">
        <v>524</v>
      </c>
      <c r="B1302" s="12"/>
      <c r="C1302" s="5"/>
      <c r="D1302" s="4"/>
      <c r="E1302" s="13"/>
      <c r="F1302" s="10"/>
      <c r="G1302" s="13"/>
      <c r="H1302" s="13"/>
      <c r="I1302" s="12"/>
      <c r="J1302" s="13"/>
      <c r="K1302" s="13"/>
      <c r="L1302" s="12"/>
    </row>
    <row r="1303" spans="1:12" x14ac:dyDescent="0.25">
      <c r="A1303" s="5" t="s">
        <v>524</v>
      </c>
      <c r="B1303" s="12"/>
      <c r="C1303" s="5"/>
      <c r="D1303" s="4"/>
      <c r="E1303" s="13"/>
      <c r="F1303" s="10"/>
      <c r="G1303" s="13"/>
      <c r="H1303" s="13"/>
      <c r="I1303" s="12"/>
      <c r="J1303" s="13"/>
      <c r="K1303" s="13"/>
      <c r="L1303" s="12"/>
    </row>
    <row r="1304" spans="1:12" x14ac:dyDescent="0.25">
      <c r="A1304" s="5" t="s">
        <v>272</v>
      </c>
      <c r="B1304" s="12"/>
      <c r="C1304" s="5"/>
      <c r="D1304" s="4"/>
      <c r="E1304" s="13"/>
      <c r="F1304" s="10"/>
      <c r="G1304" s="13"/>
      <c r="H1304" s="13"/>
      <c r="I1304" s="12"/>
      <c r="J1304" s="13"/>
      <c r="K1304" s="13"/>
      <c r="L1304" s="12"/>
    </row>
    <row r="1305" spans="1:12" x14ac:dyDescent="0.25">
      <c r="A1305" s="5" t="s">
        <v>272</v>
      </c>
      <c r="B1305" s="12"/>
      <c r="C1305" s="5"/>
      <c r="D1305" s="4"/>
      <c r="E1305" s="13"/>
      <c r="F1305" s="10"/>
      <c r="G1305" s="13"/>
      <c r="H1305" s="13"/>
      <c r="I1305" s="12"/>
      <c r="J1305" s="13"/>
      <c r="K1305" s="13"/>
      <c r="L1305" s="12"/>
    </row>
    <row r="1306" spans="1:12" x14ac:dyDescent="0.25">
      <c r="A1306" s="5" t="s">
        <v>272</v>
      </c>
      <c r="B1306" s="12"/>
      <c r="C1306" s="5"/>
      <c r="D1306" s="4"/>
      <c r="E1306" s="13"/>
      <c r="F1306" s="10"/>
      <c r="G1306" s="13"/>
      <c r="H1306" s="13"/>
      <c r="I1306" s="12"/>
      <c r="J1306" s="13"/>
      <c r="K1306" s="13"/>
      <c r="L1306" s="12"/>
    </row>
    <row r="1307" spans="1:12" x14ac:dyDescent="0.25">
      <c r="A1307" s="5" t="s">
        <v>611</v>
      </c>
      <c r="B1307" s="12"/>
      <c r="C1307" s="5"/>
      <c r="D1307" s="4"/>
      <c r="E1307" s="13"/>
      <c r="F1307" s="10"/>
      <c r="G1307" s="13"/>
      <c r="H1307" s="13"/>
      <c r="I1307" s="12"/>
      <c r="J1307" s="13"/>
      <c r="K1307" s="13"/>
      <c r="L1307" s="12"/>
    </row>
    <row r="1308" spans="1:12" x14ac:dyDescent="0.25">
      <c r="A1308" s="5" t="s">
        <v>611</v>
      </c>
      <c r="B1308" s="12"/>
      <c r="C1308" s="5"/>
      <c r="D1308" s="4"/>
      <c r="E1308" s="13"/>
      <c r="F1308" s="10"/>
      <c r="G1308" s="13"/>
      <c r="H1308" s="13"/>
      <c r="I1308" s="12"/>
      <c r="J1308" s="13"/>
      <c r="K1308" s="13"/>
      <c r="L1308" s="12"/>
    </row>
    <row r="1309" spans="1:12" x14ac:dyDescent="0.25">
      <c r="A1309" s="5" t="s">
        <v>611</v>
      </c>
      <c r="B1309" s="12"/>
      <c r="C1309" s="5"/>
      <c r="D1309" s="4"/>
      <c r="E1309" s="13"/>
      <c r="F1309" s="10"/>
      <c r="G1309" s="13"/>
      <c r="H1309" s="13"/>
      <c r="I1309" s="12"/>
      <c r="J1309" s="13"/>
      <c r="K1309" s="13"/>
      <c r="L1309" s="12"/>
    </row>
    <row r="1310" spans="1:12" x14ac:dyDescent="0.25">
      <c r="A1310" s="5" t="s">
        <v>437</v>
      </c>
      <c r="B1310" s="12"/>
      <c r="C1310" s="5"/>
      <c r="D1310" s="4"/>
      <c r="E1310" s="13"/>
      <c r="F1310" s="10"/>
      <c r="G1310" s="13"/>
      <c r="H1310" s="13"/>
      <c r="I1310" s="12"/>
      <c r="J1310" s="13"/>
      <c r="K1310" s="13"/>
      <c r="L1310" s="12"/>
    </row>
    <row r="1311" spans="1:12" x14ac:dyDescent="0.25">
      <c r="A1311" s="5" t="s">
        <v>437</v>
      </c>
      <c r="B1311" s="12"/>
      <c r="C1311" s="5"/>
      <c r="D1311" s="4"/>
      <c r="E1311" s="13"/>
      <c r="F1311" s="10"/>
      <c r="G1311" s="13"/>
      <c r="H1311" s="13"/>
      <c r="I1311" s="12"/>
      <c r="J1311" s="13"/>
      <c r="K1311" s="13"/>
      <c r="L1311" s="12"/>
    </row>
    <row r="1312" spans="1:12" x14ac:dyDescent="0.25">
      <c r="A1312" s="5" t="s">
        <v>126</v>
      </c>
      <c r="B1312" s="12"/>
      <c r="C1312" s="5"/>
      <c r="D1312" s="4"/>
      <c r="E1312" s="13"/>
      <c r="F1312" s="10"/>
      <c r="G1312" s="13"/>
      <c r="H1312" s="13"/>
      <c r="I1312" s="12"/>
      <c r="J1312" s="13"/>
      <c r="K1312" s="13"/>
      <c r="L1312" s="12"/>
    </row>
    <row r="1313" spans="1:12" x14ac:dyDescent="0.25">
      <c r="A1313" s="5" t="s">
        <v>126</v>
      </c>
      <c r="B1313" s="12"/>
      <c r="C1313" s="5"/>
      <c r="D1313" s="4"/>
      <c r="E1313" s="13"/>
      <c r="F1313" s="10"/>
      <c r="G1313" s="13"/>
      <c r="H1313" s="13"/>
      <c r="I1313" s="12"/>
      <c r="J1313" s="13"/>
      <c r="K1313" s="13"/>
      <c r="L1313" s="12"/>
    </row>
    <row r="1314" spans="1:12" x14ac:dyDescent="0.25">
      <c r="A1314" s="5" t="s">
        <v>789</v>
      </c>
      <c r="B1314" s="12"/>
      <c r="C1314" s="5"/>
      <c r="D1314" s="4"/>
      <c r="E1314" s="13"/>
      <c r="F1314" s="10"/>
      <c r="G1314" s="13"/>
      <c r="H1314" s="13"/>
      <c r="I1314" s="12"/>
      <c r="J1314" s="13"/>
      <c r="K1314" s="13"/>
      <c r="L1314" s="12"/>
    </row>
    <row r="1315" spans="1:12" x14ac:dyDescent="0.25">
      <c r="A1315" s="5" t="s">
        <v>144</v>
      </c>
      <c r="B1315" s="12"/>
      <c r="C1315" s="5"/>
      <c r="D1315" s="4"/>
      <c r="E1315" s="13"/>
      <c r="F1315" s="10"/>
      <c r="G1315" s="13"/>
      <c r="H1315" s="13"/>
      <c r="I1315" s="12"/>
      <c r="J1315" s="13"/>
      <c r="K1315" s="13"/>
      <c r="L1315" s="12"/>
    </row>
    <row r="1316" spans="1:12" x14ac:dyDescent="0.25">
      <c r="A1316" s="5" t="s">
        <v>144</v>
      </c>
      <c r="B1316" s="12"/>
      <c r="C1316" s="5"/>
      <c r="D1316" s="4"/>
      <c r="E1316" s="13"/>
      <c r="F1316" s="10"/>
      <c r="G1316" s="13"/>
      <c r="H1316" s="13"/>
      <c r="I1316" s="12"/>
      <c r="J1316" s="13"/>
      <c r="K1316" s="13"/>
      <c r="L1316" s="12"/>
    </row>
    <row r="1317" spans="1:12" x14ac:dyDescent="0.25">
      <c r="A1317" s="5" t="s">
        <v>144</v>
      </c>
      <c r="B1317" s="12"/>
      <c r="C1317" s="5"/>
      <c r="D1317" s="4"/>
      <c r="E1317" s="13"/>
      <c r="F1317" s="10"/>
      <c r="G1317" s="13"/>
      <c r="H1317" s="13"/>
      <c r="I1317" s="12"/>
      <c r="J1317" s="13"/>
      <c r="K1317" s="13"/>
      <c r="L1317" s="12"/>
    </row>
    <row r="1318" spans="1:12" x14ac:dyDescent="0.25">
      <c r="A1318" s="5" t="s">
        <v>668</v>
      </c>
      <c r="B1318" s="12"/>
      <c r="C1318" s="5"/>
      <c r="D1318" s="4"/>
      <c r="E1318" s="13"/>
      <c r="F1318" s="10"/>
      <c r="G1318" s="13"/>
      <c r="H1318" s="13"/>
      <c r="I1318" s="12"/>
      <c r="J1318" s="13"/>
      <c r="K1318" s="13"/>
      <c r="L1318" s="12"/>
    </row>
    <row r="1319" spans="1:12" x14ac:dyDescent="0.25">
      <c r="A1319" s="5" t="s">
        <v>668</v>
      </c>
      <c r="B1319" s="12"/>
      <c r="C1319" s="5"/>
      <c r="D1319" s="4"/>
      <c r="E1319" s="13"/>
      <c r="F1319" s="10"/>
      <c r="G1319" s="13"/>
      <c r="H1319" s="13"/>
      <c r="I1319" s="12"/>
      <c r="J1319" s="13"/>
      <c r="K1319" s="13"/>
      <c r="L1319" s="12"/>
    </row>
    <row r="1320" spans="1:12" x14ac:dyDescent="0.25">
      <c r="A1320" s="5" t="s">
        <v>668</v>
      </c>
      <c r="B1320" s="12"/>
      <c r="C1320" s="5"/>
      <c r="D1320" s="4"/>
      <c r="E1320" s="13"/>
      <c r="F1320" s="10"/>
      <c r="G1320" s="13"/>
      <c r="H1320" s="13"/>
      <c r="I1320" s="12"/>
      <c r="J1320" s="13"/>
      <c r="K1320" s="13"/>
      <c r="L1320" s="12"/>
    </row>
    <row r="1321" spans="1:12" x14ac:dyDescent="0.25">
      <c r="A1321" s="5" t="s">
        <v>424</v>
      </c>
      <c r="B1321" s="12"/>
      <c r="C1321" s="5"/>
      <c r="D1321" s="4"/>
      <c r="E1321" s="13"/>
      <c r="F1321" s="10"/>
      <c r="G1321" s="13"/>
      <c r="H1321" s="13"/>
      <c r="I1321" s="12"/>
      <c r="J1321" s="13"/>
      <c r="K1321" s="13"/>
      <c r="L1321" s="12"/>
    </row>
    <row r="1322" spans="1:12" x14ac:dyDescent="0.25">
      <c r="A1322" s="5" t="s">
        <v>424</v>
      </c>
      <c r="B1322" s="12"/>
      <c r="C1322" s="5"/>
      <c r="D1322" s="4"/>
      <c r="E1322" s="13"/>
      <c r="F1322" s="10"/>
      <c r="G1322" s="13"/>
      <c r="H1322" s="13"/>
      <c r="I1322" s="12"/>
      <c r="J1322" s="13"/>
      <c r="K1322" s="13"/>
      <c r="L1322" s="12"/>
    </row>
    <row r="1323" spans="1:12" x14ac:dyDescent="0.25">
      <c r="A1323" s="5" t="s">
        <v>424</v>
      </c>
      <c r="B1323" s="12"/>
      <c r="C1323" s="5"/>
      <c r="D1323" s="4"/>
      <c r="E1323" s="13"/>
      <c r="F1323" s="10"/>
      <c r="G1323" s="13"/>
      <c r="H1323" s="13"/>
      <c r="I1323" s="12"/>
      <c r="J1323" s="13"/>
      <c r="K1323" s="13"/>
      <c r="L1323" s="12"/>
    </row>
    <row r="1324" spans="1:12" x14ac:dyDescent="0.25">
      <c r="A1324" s="5" t="s">
        <v>189</v>
      </c>
      <c r="B1324" s="12"/>
      <c r="C1324" s="5"/>
      <c r="D1324" s="4"/>
      <c r="E1324" s="13"/>
      <c r="F1324" s="10"/>
      <c r="G1324" s="13"/>
      <c r="H1324" s="13"/>
      <c r="I1324" s="12"/>
      <c r="J1324" s="13"/>
      <c r="K1324" s="13"/>
      <c r="L1324" s="12"/>
    </row>
    <row r="1325" spans="1:12" x14ac:dyDescent="0.25">
      <c r="A1325" s="5" t="s">
        <v>189</v>
      </c>
      <c r="B1325" s="12"/>
      <c r="C1325" s="5"/>
      <c r="D1325" s="4"/>
      <c r="E1325" s="13"/>
      <c r="F1325" s="10"/>
      <c r="G1325" s="13"/>
      <c r="H1325" s="13"/>
      <c r="I1325" s="12"/>
      <c r="J1325" s="13"/>
      <c r="K1325" s="13"/>
      <c r="L1325" s="12"/>
    </row>
    <row r="1326" spans="1:12" x14ac:dyDescent="0.25">
      <c r="A1326" s="5" t="s">
        <v>189</v>
      </c>
      <c r="B1326" s="12"/>
      <c r="C1326" s="5"/>
      <c r="D1326" s="4"/>
      <c r="E1326" s="13"/>
      <c r="F1326" s="10"/>
      <c r="G1326" s="13"/>
      <c r="H1326" s="13"/>
      <c r="I1326" s="12"/>
      <c r="J1326" s="13"/>
      <c r="K1326" s="13"/>
      <c r="L1326" s="12"/>
    </row>
    <row r="1327" spans="1:12" x14ac:dyDescent="0.25">
      <c r="A1327" s="5" t="s">
        <v>189</v>
      </c>
      <c r="B1327" s="12"/>
      <c r="C1327" s="5"/>
      <c r="D1327" s="4"/>
      <c r="E1327" s="13"/>
      <c r="F1327" s="10"/>
      <c r="G1327" s="13"/>
      <c r="H1327" s="13"/>
      <c r="I1327" s="12"/>
      <c r="J1327" s="13"/>
      <c r="K1327" s="13"/>
      <c r="L1327" s="12"/>
    </row>
    <row r="1328" spans="1:12" x14ac:dyDescent="0.25">
      <c r="A1328" s="5" t="s">
        <v>189</v>
      </c>
      <c r="B1328" s="12"/>
      <c r="C1328" s="5"/>
      <c r="D1328" s="4"/>
      <c r="E1328" s="13"/>
      <c r="F1328" s="10"/>
      <c r="G1328" s="13"/>
      <c r="H1328" s="13"/>
      <c r="I1328" s="12"/>
      <c r="J1328" s="13"/>
      <c r="K1328" s="13"/>
      <c r="L1328" s="12"/>
    </row>
    <row r="1329" spans="1:12" x14ac:dyDescent="0.25">
      <c r="A1329" s="5" t="s">
        <v>189</v>
      </c>
      <c r="B1329" s="12"/>
      <c r="C1329" s="5"/>
      <c r="D1329" s="4"/>
      <c r="E1329" s="13"/>
      <c r="F1329" s="10"/>
      <c r="G1329" s="13"/>
      <c r="H1329" s="13"/>
      <c r="I1329" s="12"/>
      <c r="J1329" s="13"/>
      <c r="K1329" s="13"/>
      <c r="L1329" s="12"/>
    </row>
    <row r="1330" spans="1:12" x14ac:dyDescent="0.25">
      <c r="A1330" s="5" t="s">
        <v>319</v>
      </c>
      <c r="B1330" s="12"/>
      <c r="C1330" s="5"/>
      <c r="D1330" s="4"/>
      <c r="E1330" s="13"/>
      <c r="F1330" s="10"/>
      <c r="G1330" s="13"/>
      <c r="H1330" s="13"/>
      <c r="I1330" s="12"/>
      <c r="J1330" s="13"/>
      <c r="K1330" s="13"/>
      <c r="L1330" s="12"/>
    </row>
    <row r="1331" spans="1:12" x14ac:dyDescent="0.25">
      <c r="A1331" s="5" t="s">
        <v>319</v>
      </c>
      <c r="B1331" s="12"/>
      <c r="C1331" s="5"/>
      <c r="D1331" s="4"/>
      <c r="E1331" s="13"/>
      <c r="F1331" s="10"/>
      <c r="G1331" s="13"/>
      <c r="H1331" s="13"/>
      <c r="I1331" s="12"/>
      <c r="J1331" s="13"/>
      <c r="K1331" s="13"/>
      <c r="L1331" s="12"/>
    </row>
    <row r="1332" spans="1:12" x14ac:dyDescent="0.25">
      <c r="A1332" s="5" t="s">
        <v>654</v>
      </c>
      <c r="B1332" s="12"/>
      <c r="C1332" s="5"/>
      <c r="D1332" s="4"/>
      <c r="E1332" s="13"/>
      <c r="F1332" s="10"/>
      <c r="G1332" s="13"/>
      <c r="H1332" s="13"/>
      <c r="I1332" s="12"/>
      <c r="J1332" s="13"/>
      <c r="K1332" s="13"/>
      <c r="L1332" s="12"/>
    </row>
    <row r="1333" spans="1:12" x14ac:dyDescent="0.25">
      <c r="A1333" s="5" t="s">
        <v>654</v>
      </c>
      <c r="B1333" s="12"/>
      <c r="C1333" s="5"/>
      <c r="D1333" s="4"/>
      <c r="E1333" s="13"/>
      <c r="F1333" s="10"/>
      <c r="G1333" s="13"/>
      <c r="H1333" s="13"/>
      <c r="I1333" s="12"/>
      <c r="J1333" s="13"/>
      <c r="K1333" s="13"/>
      <c r="L1333" s="12"/>
    </row>
    <row r="1334" spans="1:12" x14ac:dyDescent="0.25">
      <c r="A1334" s="5" t="s">
        <v>47</v>
      </c>
      <c r="B1334" s="12"/>
      <c r="C1334" s="5"/>
      <c r="D1334" s="4"/>
      <c r="E1334" s="13"/>
      <c r="F1334" s="10"/>
      <c r="G1334" s="13"/>
      <c r="H1334" s="13"/>
      <c r="I1334" s="12"/>
      <c r="J1334" s="13"/>
      <c r="K1334" s="13"/>
      <c r="L1334" s="12"/>
    </row>
    <row r="1335" spans="1:12" x14ac:dyDescent="0.25">
      <c r="A1335" s="5" t="s">
        <v>47</v>
      </c>
      <c r="B1335" s="12"/>
      <c r="C1335" s="5"/>
      <c r="D1335" s="4"/>
      <c r="E1335" s="13"/>
      <c r="F1335" s="10"/>
      <c r="G1335" s="13"/>
      <c r="H1335" s="13"/>
      <c r="I1335" s="12"/>
      <c r="J1335" s="13"/>
      <c r="K1335" s="13"/>
      <c r="L1335" s="12"/>
    </row>
    <row r="1336" spans="1:12" x14ac:dyDescent="0.25">
      <c r="A1336" s="5" t="s">
        <v>622</v>
      </c>
      <c r="B1336" s="12"/>
      <c r="C1336" s="5"/>
      <c r="D1336" s="4"/>
      <c r="E1336" s="13"/>
      <c r="F1336" s="10"/>
      <c r="G1336" s="13"/>
      <c r="H1336" s="13"/>
      <c r="I1336" s="12"/>
      <c r="J1336" s="13"/>
      <c r="K1336" s="13"/>
      <c r="L1336" s="12"/>
    </row>
    <row r="1337" spans="1:12" x14ac:dyDescent="0.25">
      <c r="A1337" s="5" t="s">
        <v>622</v>
      </c>
      <c r="B1337" s="12"/>
      <c r="C1337" s="5"/>
      <c r="D1337" s="4"/>
      <c r="E1337" s="13"/>
      <c r="F1337" s="10"/>
      <c r="G1337" s="13"/>
      <c r="H1337" s="13"/>
      <c r="I1337" s="12"/>
      <c r="J1337" s="13"/>
      <c r="K1337" s="13"/>
      <c r="L1337" s="12"/>
    </row>
    <row r="1338" spans="1:12" x14ac:dyDescent="0.25">
      <c r="A1338" s="5" t="s">
        <v>622</v>
      </c>
      <c r="B1338" s="12"/>
      <c r="C1338" s="5"/>
      <c r="D1338" s="4"/>
      <c r="E1338" s="13"/>
      <c r="F1338" s="10"/>
      <c r="G1338" s="13"/>
      <c r="H1338" s="13"/>
      <c r="I1338" s="12"/>
      <c r="J1338" s="13"/>
      <c r="K1338" s="13"/>
      <c r="L1338" s="12"/>
    </row>
    <row r="1339" spans="1:12" x14ac:dyDescent="0.25">
      <c r="A1339" s="5" t="s">
        <v>234</v>
      </c>
      <c r="B1339" s="12"/>
      <c r="C1339" s="5"/>
      <c r="D1339" s="4"/>
      <c r="E1339" s="13"/>
      <c r="F1339" s="10"/>
      <c r="G1339" s="13"/>
      <c r="H1339" s="13"/>
      <c r="I1339" s="12"/>
      <c r="J1339" s="13"/>
      <c r="K1339" s="13"/>
      <c r="L1339" s="12"/>
    </row>
    <row r="1340" spans="1:12" x14ac:dyDescent="0.25">
      <c r="A1340" s="5" t="s">
        <v>234</v>
      </c>
      <c r="B1340" s="12"/>
      <c r="C1340" s="5"/>
      <c r="D1340" s="4"/>
      <c r="E1340" s="13"/>
      <c r="F1340" s="10"/>
      <c r="G1340" s="13"/>
      <c r="H1340" s="13"/>
      <c r="I1340" s="12"/>
      <c r="J1340" s="13"/>
      <c r="K1340" s="13"/>
      <c r="L1340" s="12"/>
    </row>
    <row r="1341" spans="1:12" x14ac:dyDescent="0.25">
      <c r="A1341" s="5" t="s">
        <v>234</v>
      </c>
      <c r="B1341" s="12"/>
      <c r="C1341" s="5"/>
      <c r="D1341" s="4"/>
      <c r="E1341" s="13"/>
      <c r="F1341" s="10"/>
      <c r="G1341" s="13"/>
      <c r="H1341" s="13"/>
      <c r="I1341" s="12"/>
      <c r="J1341" s="13"/>
      <c r="K1341" s="13"/>
      <c r="L1341" s="12"/>
    </row>
    <row r="1342" spans="1:12" x14ac:dyDescent="0.25">
      <c r="A1342" s="5" t="s">
        <v>669</v>
      </c>
      <c r="B1342" s="12"/>
      <c r="C1342" s="5"/>
      <c r="D1342" s="4"/>
      <c r="E1342" s="13"/>
      <c r="F1342" s="10"/>
      <c r="G1342" s="13"/>
      <c r="H1342" s="13"/>
      <c r="I1342" s="12"/>
      <c r="J1342" s="13"/>
      <c r="K1342" s="13"/>
      <c r="L1342" s="12"/>
    </row>
    <row r="1343" spans="1:12" x14ac:dyDescent="0.25">
      <c r="A1343" s="5" t="s">
        <v>669</v>
      </c>
      <c r="B1343" s="12"/>
      <c r="C1343" s="5"/>
      <c r="D1343" s="4"/>
      <c r="E1343" s="13"/>
      <c r="F1343" s="10"/>
      <c r="G1343" s="13"/>
      <c r="H1343" s="13"/>
      <c r="I1343" s="12"/>
      <c r="J1343" s="13"/>
      <c r="K1343" s="13"/>
      <c r="L1343" s="12"/>
    </row>
    <row r="1344" spans="1:12" x14ac:dyDescent="0.25">
      <c r="A1344" s="5" t="s">
        <v>669</v>
      </c>
      <c r="B1344" s="12"/>
      <c r="C1344" s="5"/>
      <c r="D1344" s="4"/>
      <c r="E1344" s="13"/>
      <c r="F1344" s="10"/>
      <c r="G1344" s="13"/>
      <c r="H1344" s="13"/>
      <c r="I1344" s="12"/>
      <c r="J1344" s="13"/>
      <c r="K1344" s="13"/>
      <c r="L1344" s="12"/>
    </row>
    <row r="1345" spans="1:12" x14ac:dyDescent="0.25">
      <c r="A1345" s="5" t="s">
        <v>603</v>
      </c>
      <c r="B1345" s="12"/>
      <c r="C1345" s="5"/>
      <c r="D1345" s="4"/>
      <c r="E1345" s="13"/>
      <c r="F1345" s="10"/>
      <c r="G1345" s="13"/>
      <c r="H1345" s="13"/>
      <c r="I1345" s="12"/>
      <c r="J1345" s="13"/>
      <c r="K1345" s="13"/>
      <c r="L1345" s="12"/>
    </row>
    <row r="1346" spans="1:12" x14ac:dyDescent="0.25">
      <c r="A1346" s="5" t="s">
        <v>603</v>
      </c>
      <c r="B1346" s="12"/>
      <c r="C1346" s="5"/>
      <c r="D1346" s="4"/>
      <c r="E1346" s="13"/>
      <c r="F1346" s="10"/>
      <c r="G1346" s="13"/>
      <c r="H1346" s="13"/>
      <c r="I1346" s="12"/>
      <c r="J1346" s="13"/>
      <c r="K1346" s="13"/>
      <c r="L1346" s="12"/>
    </row>
    <row r="1347" spans="1:12" x14ac:dyDescent="0.25">
      <c r="A1347" s="5" t="s">
        <v>568</v>
      </c>
      <c r="B1347" s="12"/>
      <c r="C1347" s="5"/>
      <c r="D1347" s="4"/>
      <c r="E1347" s="13"/>
      <c r="F1347" s="10"/>
      <c r="G1347" s="13"/>
      <c r="H1347" s="13"/>
      <c r="I1347" s="12"/>
      <c r="J1347" s="13"/>
      <c r="K1347" s="13"/>
      <c r="L1347" s="12"/>
    </row>
    <row r="1348" spans="1:12" x14ac:dyDescent="0.25">
      <c r="A1348" s="5" t="s">
        <v>568</v>
      </c>
      <c r="B1348" s="12"/>
      <c r="C1348" s="5"/>
      <c r="D1348" s="4"/>
      <c r="E1348" s="13"/>
      <c r="F1348" s="10"/>
      <c r="G1348" s="13"/>
      <c r="H1348" s="13"/>
      <c r="I1348" s="12"/>
      <c r="J1348" s="13"/>
      <c r="K1348" s="13"/>
      <c r="L1348" s="12"/>
    </row>
    <row r="1349" spans="1:12" x14ac:dyDescent="0.25">
      <c r="A1349" s="5" t="s">
        <v>568</v>
      </c>
      <c r="B1349" s="12"/>
      <c r="C1349" s="5"/>
      <c r="D1349" s="4"/>
      <c r="E1349" s="13"/>
      <c r="F1349" s="10"/>
      <c r="G1349" s="13"/>
      <c r="H1349" s="13"/>
      <c r="I1349" s="12"/>
      <c r="J1349" s="13"/>
      <c r="K1349" s="13"/>
      <c r="L1349" s="12"/>
    </row>
    <row r="1350" spans="1:12" x14ac:dyDescent="0.25">
      <c r="A1350" s="5" t="s">
        <v>568</v>
      </c>
      <c r="B1350" s="12"/>
      <c r="C1350" s="5"/>
      <c r="D1350" s="4"/>
      <c r="E1350" s="13"/>
      <c r="F1350" s="10"/>
      <c r="G1350" s="13"/>
      <c r="H1350" s="13"/>
      <c r="I1350" s="12"/>
      <c r="J1350" s="13"/>
      <c r="K1350" s="13"/>
      <c r="L1350" s="12"/>
    </row>
    <row r="1351" spans="1:12" x14ac:dyDescent="0.25">
      <c r="A1351" s="5" t="s">
        <v>568</v>
      </c>
      <c r="B1351" s="12"/>
      <c r="C1351" s="5"/>
      <c r="D1351" s="4"/>
      <c r="E1351" s="13"/>
      <c r="F1351" s="10"/>
      <c r="G1351" s="13"/>
      <c r="H1351" s="13"/>
      <c r="I1351" s="12"/>
      <c r="J1351" s="13"/>
      <c r="K1351" s="13"/>
      <c r="L1351" s="12"/>
    </row>
    <row r="1352" spans="1:12" x14ac:dyDescent="0.25">
      <c r="A1352" s="5" t="s">
        <v>568</v>
      </c>
      <c r="B1352" s="12"/>
      <c r="C1352" s="5"/>
      <c r="D1352" s="4"/>
      <c r="E1352" s="13"/>
      <c r="F1352" s="10"/>
      <c r="G1352" s="13"/>
      <c r="H1352" s="13"/>
      <c r="I1352" s="12"/>
      <c r="J1352" s="13"/>
      <c r="K1352" s="13"/>
      <c r="L1352" s="12"/>
    </row>
    <row r="1353" spans="1:12" x14ac:dyDescent="0.25">
      <c r="A1353" s="5" t="s">
        <v>150</v>
      </c>
      <c r="B1353" s="12"/>
      <c r="C1353" s="5"/>
      <c r="D1353" s="4"/>
      <c r="E1353" s="13"/>
      <c r="F1353" s="10"/>
      <c r="G1353" s="13"/>
      <c r="H1353" s="13"/>
      <c r="I1353" s="12"/>
      <c r="J1353" s="13"/>
      <c r="K1353" s="13"/>
      <c r="L1353" s="12"/>
    </row>
    <row r="1354" spans="1:12" x14ac:dyDescent="0.25">
      <c r="A1354" s="5" t="s">
        <v>150</v>
      </c>
      <c r="B1354" s="12"/>
      <c r="C1354" s="5"/>
      <c r="D1354" s="4"/>
      <c r="E1354" s="13"/>
      <c r="F1354" s="10"/>
      <c r="G1354" s="13"/>
      <c r="H1354" s="13"/>
      <c r="I1354" s="12"/>
      <c r="J1354" s="13"/>
      <c r="K1354" s="13"/>
      <c r="L1354" s="12"/>
    </row>
    <row r="1355" spans="1:12" x14ac:dyDescent="0.25">
      <c r="A1355" s="5" t="s">
        <v>84</v>
      </c>
      <c r="B1355" s="12"/>
      <c r="C1355" s="5"/>
      <c r="D1355" s="4"/>
      <c r="E1355" s="13"/>
      <c r="F1355" s="10"/>
      <c r="G1355" s="13"/>
      <c r="H1355" s="13"/>
      <c r="I1355" s="12"/>
      <c r="J1355" s="13"/>
      <c r="K1355" s="13"/>
      <c r="L1355" s="12"/>
    </row>
    <row r="1356" spans="1:12" x14ac:dyDescent="0.25">
      <c r="A1356" s="5" t="s">
        <v>84</v>
      </c>
      <c r="B1356" s="12"/>
      <c r="C1356" s="5"/>
      <c r="D1356" s="4"/>
      <c r="E1356" s="13"/>
      <c r="F1356" s="10"/>
      <c r="G1356" s="13"/>
      <c r="H1356" s="13"/>
      <c r="I1356" s="12"/>
      <c r="J1356" s="13"/>
      <c r="K1356" s="13"/>
      <c r="L1356" s="12"/>
    </row>
    <row r="1357" spans="1:12" x14ac:dyDescent="0.25">
      <c r="A1357" s="5" t="s">
        <v>84</v>
      </c>
      <c r="B1357" s="12"/>
      <c r="C1357" s="5"/>
      <c r="D1357" s="4"/>
      <c r="E1357" s="13"/>
      <c r="F1357" s="10"/>
      <c r="G1357" s="13"/>
      <c r="H1357" s="13"/>
      <c r="I1357" s="12"/>
      <c r="J1357" s="13"/>
      <c r="K1357" s="13"/>
      <c r="L1357" s="12"/>
    </row>
    <row r="1358" spans="1:12" x14ac:dyDescent="0.25">
      <c r="A1358" s="5" t="s">
        <v>84</v>
      </c>
      <c r="B1358" s="12"/>
      <c r="C1358" s="5"/>
      <c r="D1358" s="4"/>
      <c r="E1358" s="13"/>
      <c r="F1358" s="10"/>
      <c r="G1358" s="13"/>
      <c r="H1358" s="13"/>
      <c r="I1358" s="12"/>
      <c r="J1358" s="13"/>
      <c r="K1358" s="13"/>
      <c r="L1358" s="12"/>
    </row>
    <row r="1359" spans="1:12" x14ac:dyDescent="0.25">
      <c r="A1359" s="5" t="s">
        <v>84</v>
      </c>
      <c r="B1359" s="12"/>
      <c r="C1359" s="5"/>
      <c r="D1359" s="4"/>
      <c r="E1359" s="13"/>
      <c r="F1359" s="10"/>
      <c r="G1359" s="13"/>
      <c r="H1359" s="13"/>
      <c r="I1359" s="12"/>
      <c r="J1359" s="13"/>
      <c r="K1359" s="13"/>
      <c r="L1359" s="12"/>
    </row>
    <row r="1360" spans="1:12" x14ac:dyDescent="0.25">
      <c r="A1360" s="5" t="s">
        <v>84</v>
      </c>
      <c r="B1360" s="12"/>
      <c r="C1360" s="5"/>
      <c r="D1360" s="4"/>
      <c r="E1360" s="13"/>
      <c r="F1360" s="10"/>
      <c r="G1360" s="13"/>
      <c r="H1360" s="13"/>
      <c r="I1360" s="12"/>
      <c r="J1360" s="13"/>
      <c r="K1360" s="13"/>
      <c r="L1360" s="12"/>
    </row>
    <row r="1361" spans="1:12" x14ac:dyDescent="0.25">
      <c r="A1361" s="5" t="s">
        <v>480</v>
      </c>
      <c r="B1361" s="12"/>
      <c r="C1361" s="5"/>
      <c r="D1361" s="4"/>
      <c r="E1361" s="13"/>
      <c r="F1361" s="10"/>
      <c r="G1361" s="13"/>
      <c r="H1361" s="13"/>
      <c r="I1361" s="12"/>
      <c r="J1361" s="13"/>
      <c r="K1361" s="13"/>
      <c r="L1361" s="12"/>
    </row>
    <row r="1362" spans="1:12" x14ac:dyDescent="0.25">
      <c r="A1362" s="5" t="s">
        <v>480</v>
      </c>
      <c r="B1362" s="12"/>
      <c r="C1362" s="5"/>
      <c r="D1362" s="4"/>
      <c r="E1362" s="13"/>
      <c r="F1362" s="10"/>
      <c r="G1362" s="13"/>
      <c r="H1362" s="13"/>
      <c r="I1362" s="12"/>
      <c r="J1362" s="13"/>
      <c r="K1362" s="13"/>
      <c r="L1362" s="12"/>
    </row>
    <row r="1363" spans="1:12" x14ac:dyDescent="0.25">
      <c r="A1363" s="5" t="s">
        <v>716</v>
      </c>
      <c r="B1363" s="12"/>
      <c r="C1363" s="5"/>
      <c r="D1363" s="4"/>
      <c r="E1363" s="13"/>
      <c r="F1363" s="10"/>
      <c r="G1363" s="13"/>
      <c r="H1363" s="13"/>
      <c r="I1363" s="12"/>
      <c r="J1363" s="13"/>
      <c r="K1363" s="13"/>
      <c r="L1363" s="12"/>
    </row>
    <row r="1364" spans="1:12" x14ac:dyDescent="0.25">
      <c r="A1364" s="5" t="s">
        <v>212</v>
      </c>
      <c r="B1364" s="12"/>
      <c r="C1364" s="5"/>
      <c r="D1364" s="4"/>
      <c r="E1364" s="13"/>
      <c r="F1364" s="10"/>
      <c r="G1364" s="13"/>
      <c r="H1364" s="13"/>
      <c r="I1364" s="12"/>
      <c r="J1364" s="13"/>
      <c r="K1364" s="13"/>
      <c r="L1364" s="12"/>
    </row>
    <row r="1365" spans="1:12" x14ac:dyDescent="0.25">
      <c r="A1365" s="5" t="s">
        <v>212</v>
      </c>
      <c r="B1365" s="12"/>
      <c r="C1365" s="5"/>
      <c r="D1365" s="4"/>
      <c r="E1365" s="13"/>
      <c r="F1365" s="10"/>
      <c r="G1365" s="13"/>
      <c r="H1365" s="13"/>
      <c r="I1365" s="12"/>
      <c r="J1365" s="13"/>
      <c r="K1365" s="13"/>
      <c r="L1365" s="12"/>
    </row>
    <row r="1366" spans="1:12" x14ac:dyDescent="0.25">
      <c r="A1366" s="5" t="s">
        <v>212</v>
      </c>
      <c r="B1366" s="12"/>
      <c r="C1366" s="5"/>
      <c r="D1366" s="4"/>
      <c r="E1366" s="13"/>
      <c r="F1366" s="10"/>
      <c r="G1366" s="13"/>
      <c r="H1366" s="13"/>
      <c r="I1366" s="12"/>
      <c r="J1366" s="13"/>
      <c r="K1366" s="13"/>
      <c r="L1366" s="12"/>
    </row>
    <row r="1367" spans="1:12" x14ac:dyDescent="0.25">
      <c r="A1367" s="5" t="s">
        <v>212</v>
      </c>
      <c r="B1367" s="12"/>
      <c r="C1367" s="5"/>
      <c r="D1367" s="4"/>
      <c r="E1367" s="13"/>
      <c r="F1367" s="10"/>
      <c r="G1367" s="13"/>
      <c r="H1367" s="13"/>
      <c r="I1367" s="12"/>
      <c r="J1367" s="13"/>
      <c r="K1367" s="13"/>
      <c r="L1367" s="12"/>
    </row>
    <row r="1368" spans="1:12" x14ac:dyDescent="0.25">
      <c r="A1368" s="5" t="s">
        <v>212</v>
      </c>
      <c r="B1368" s="12"/>
      <c r="C1368" s="5"/>
      <c r="D1368" s="4"/>
      <c r="E1368" s="13"/>
      <c r="F1368" s="10"/>
      <c r="G1368" s="13"/>
      <c r="H1368" s="13"/>
      <c r="I1368" s="12"/>
      <c r="J1368" s="13"/>
      <c r="K1368" s="13"/>
      <c r="L1368" s="12"/>
    </row>
    <row r="1369" spans="1:12" x14ac:dyDescent="0.25">
      <c r="A1369" s="5" t="s">
        <v>212</v>
      </c>
      <c r="B1369" s="12"/>
      <c r="C1369" s="5"/>
      <c r="D1369" s="4"/>
      <c r="E1369" s="13"/>
      <c r="F1369" s="10"/>
      <c r="G1369" s="13"/>
      <c r="H1369" s="13"/>
      <c r="I1369" s="12"/>
      <c r="J1369" s="13"/>
      <c r="K1369" s="13"/>
      <c r="L1369" s="12"/>
    </row>
    <row r="1370" spans="1:12" x14ac:dyDescent="0.25">
      <c r="A1370" s="5" t="s">
        <v>209</v>
      </c>
      <c r="B1370" s="12"/>
      <c r="C1370" s="5"/>
      <c r="D1370" s="4"/>
      <c r="E1370" s="13"/>
      <c r="F1370" s="10"/>
      <c r="G1370" s="13"/>
      <c r="H1370" s="13"/>
      <c r="I1370" s="12"/>
      <c r="J1370" s="13"/>
      <c r="K1370" s="13"/>
      <c r="L1370" s="12"/>
    </row>
    <row r="1371" spans="1:12" x14ac:dyDescent="0.25">
      <c r="A1371" s="5" t="s">
        <v>391</v>
      </c>
      <c r="B1371" s="12"/>
      <c r="C1371" s="5"/>
      <c r="D1371" s="4"/>
      <c r="E1371" s="13"/>
      <c r="F1371" s="10"/>
      <c r="G1371" s="13"/>
      <c r="H1371" s="13"/>
      <c r="I1371" s="12"/>
      <c r="J1371" s="13"/>
      <c r="K1371" s="13"/>
      <c r="L1371" s="12"/>
    </row>
    <row r="1372" spans="1:12" x14ac:dyDescent="0.25">
      <c r="A1372" s="5" t="s">
        <v>408</v>
      </c>
      <c r="B1372" s="12"/>
      <c r="C1372" s="5"/>
      <c r="D1372" s="4"/>
      <c r="E1372" s="13"/>
      <c r="F1372" s="10"/>
      <c r="G1372" s="13"/>
      <c r="H1372" s="13"/>
      <c r="I1372" s="12"/>
      <c r="J1372" s="13"/>
      <c r="K1372" s="13"/>
      <c r="L1372" s="12"/>
    </row>
    <row r="1373" spans="1:12" x14ac:dyDescent="0.25">
      <c r="A1373" s="5" t="s">
        <v>629</v>
      </c>
      <c r="B1373" s="12"/>
      <c r="C1373" s="5"/>
      <c r="D1373" s="4"/>
      <c r="E1373" s="13"/>
      <c r="F1373" s="10"/>
      <c r="G1373" s="13"/>
      <c r="H1373" s="13"/>
      <c r="I1373" s="12"/>
      <c r="J1373" s="13"/>
      <c r="K1373" s="13"/>
      <c r="L1373" s="12"/>
    </row>
    <row r="1374" spans="1:12" x14ac:dyDescent="0.25">
      <c r="A1374" s="5" t="s">
        <v>50</v>
      </c>
      <c r="B1374" s="12"/>
      <c r="C1374" s="5"/>
      <c r="D1374" s="4"/>
      <c r="E1374" s="13"/>
      <c r="F1374" s="10"/>
      <c r="G1374" s="13"/>
      <c r="H1374" s="13"/>
      <c r="I1374" s="12"/>
      <c r="J1374" s="13"/>
      <c r="K1374" s="13"/>
      <c r="L1374" s="12"/>
    </row>
    <row r="1375" spans="1:12" x14ac:dyDescent="0.25">
      <c r="A1375" s="5" t="s">
        <v>573</v>
      </c>
      <c r="B1375" s="12"/>
      <c r="C1375" s="5"/>
      <c r="D1375" s="4"/>
      <c r="E1375" s="13"/>
      <c r="F1375" s="10"/>
      <c r="G1375" s="13"/>
      <c r="H1375" s="13"/>
      <c r="I1375" s="12"/>
      <c r="J1375" s="13"/>
      <c r="K1375" s="13"/>
      <c r="L1375" s="12"/>
    </row>
    <row r="1376" spans="1:12" x14ac:dyDescent="0.25">
      <c r="A1376" s="5" t="s">
        <v>701</v>
      </c>
      <c r="B1376" s="12"/>
      <c r="C1376" s="5"/>
      <c r="D1376" s="4"/>
      <c r="E1376" s="13"/>
      <c r="F1376" s="10"/>
      <c r="G1376" s="13"/>
      <c r="H1376" s="13"/>
      <c r="I1376" s="12"/>
      <c r="J1376" s="13"/>
      <c r="K1376" s="13"/>
      <c r="L1376" s="12"/>
    </row>
    <row r="1377" spans="1:12" x14ac:dyDescent="0.25">
      <c r="A1377" s="5" t="s">
        <v>488</v>
      </c>
      <c r="B1377" s="12"/>
      <c r="C1377" s="5"/>
      <c r="D1377" s="4"/>
      <c r="E1377" s="13"/>
      <c r="F1377" s="10"/>
      <c r="G1377" s="13"/>
      <c r="H1377" s="13"/>
      <c r="I1377" s="12"/>
      <c r="J1377" s="13"/>
      <c r="K1377" s="13"/>
      <c r="L1377" s="12"/>
    </row>
    <row r="1378" spans="1:12" x14ac:dyDescent="0.25">
      <c r="A1378" s="5" t="s">
        <v>333</v>
      </c>
      <c r="B1378" s="12"/>
      <c r="C1378" s="5"/>
      <c r="D1378" s="4"/>
      <c r="E1378" s="13"/>
      <c r="F1378" s="10"/>
      <c r="G1378" s="13"/>
      <c r="H1378" s="13"/>
      <c r="I1378" s="12"/>
      <c r="J1378" s="13"/>
      <c r="K1378" s="13"/>
      <c r="L1378" s="12"/>
    </row>
    <row r="1379" spans="1:12" x14ac:dyDescent="0.25">
      <c r="A1379" s="5" t="s">
        <v>306</v>
      </c>
      <c r="B1379" s="12"/>
      <c r="C1379" s="5"/>
      <c r="D1379" s="4"/>
      <c r="E1379" s="13"/>
      <c r="F1379" s="10"/>
      <c r="G1379" s="13"/>
      <c r="H1379" s="13"/>
      <c r="I1379" s="12"/>
      <c r="J1379" s="13"/>
      <c r="K1379" s="13"/>
      <c r="L1379" s="12"/>
    </row>
    <row r="1380" spans="1:12" x14ac:dyDescent="0.25">
      <c r="A1380" s="5" t="s">
        <v>306</v>
      </c>
      <c r="B1380" s="12"/>
      <c r="C1380" s="5"/>
      <c r="D1380" s="4"/>
      <c r="E1380" s="13"/>
      <c r="F1380" s="10"/>
      <c r="G1380" s="13"/>
      <c r="H1380" s="13"/>
      <c r="I1380" s="12"/>
      <c r="J1380" s="13"/>
      <c r="K1380" s="13"/>
      <c r="L1380" s="12"/>
    </row>
    <row r="1381" spans="1:12" x14ac:dyDescent="0.25">
      <c r="A1381" s="5" t="s">
        <v>306</v>
      </c>
      <c r="B1381" s="12"/>
      <c r="C1381" s="5"/>
      <c r="D1381" s="4"/>
      <c r="E1381" s="13"/>
      <c r="F1381" s="10"/>
      <c r="G1381" s="13"/>
      <c r="H1381" s="13"/>
      <c r="I1381" s="12"/>
      <c r="J1381" s="13"/>
      <c r="K1381" s="13"/>
      <c r="L1381" s="12"/>
    </row>
    <row r="1382" spans="1:12" x14ac:dyDescent="0.25">
      <c r="A1382" s="5" t="s">
        <v>628</v>
      </c>
      <c r="B1382" s="12"/>
      <c r="C1382" s="5"/>
      <c r="D1382" s="4"/>
      <c r="E1382" s="13"/>
      <c r="F1382" s="10"/>
      <c r="G1382" s="13"/>
      <c r="H1382" s="13"/>
      <c r="I1382" s="12"/>
      <c r="J1382" s="13"/>
      <c r="K1382" s="13"/>
      <c r="L1382" s="12"/>
    </row>
    <row r="1383" spans="1:12" x14ac:dyDescent="0.25">
      <c r="A1383" s="5" t="s">
        <v>628</v>
      </c>
      <c r="B1383" s="12"/>
      <c r="C1383" s="5"/>
      <c r="D1383" s="4"/>
      <c r="E1383" s="13"/>
      <c r="F1383" s="10"/>
      <c r="G1383" s="13"/>
      <c r="H1383" s="13"/>
      <c r="I1383" s="12"/>
      <c r="J1383" s="13"/>
      <c r="K1383" s="13"/>
      <c r="L1383" s="12"/>
    </row>
    <row r="1384" spans="1:12" x14ac:dyDescent="0.25">
      <c r="A1384" s="5" t="s">
        <v>628</v>
      </c>
      <c r="B1384" s="12"/>
      <c r="C1384" s="5"/>
      <c r="D1384" s="4"/>
      <c r="E1384" s="13"/>
      <c r="F1384" s="10"/>
      <c r="G1384" s="13"/>
      <c r="H1384" s="13"/>
      <c r="I1384" s="12"/>
      <c r="J1384" s="13"/>
      <c r="K1384" s="13"/>
      <c r="L1384" s="12"/>
    </row>
    <row r="1385" spans="1:12" x14ac:dyDescent="0.25">
      <c r="A1385" s="5" t="s">
        <v>372</v>
      </c>
      <c r="B1385" s="12"/>
      <c r="C1385" s="5"/>
      <c r="D1385" s="4"/>
      <c r="E1385" s="13"/>
      <c r="F1385" s="10"/>
      <c r="G1385" s="13"/>
      <c r="H1385" s="13"/>
      <c r="I1385" s="12"/>
      <c r="J1385" s="13"/>
      <c r="K1385" s="13"/>
      <c r="L1385" s="12"/>
    </row>
    <row r="1386" spans="1:12" x14ac:dyDescent="0.25">
      <c r="A1386" s="5" t="s">
        <v>372</v>
      </c>
      <c r="B1386" s="12"/>
      <c r="C1386" s="5"/>
      <c r="D1386" s="4"/>
      <c r="E1386" s="13"/>
      <c r="F1386" s="10"/>
      <c r="G1386" s="13"/>
      <c r="H1386" s="13"/>
      <c r="I1386" s="12"/>
      <c r="J1386" s="13"/>
      <c r="K1386" s="13"/>
      <c r="L1386" s="12"/>
    </row>
    <row r="1387" spans="1:12" x14ac:dyDescent="0.25">
      <c r="A1387" s="5" t="s">
        <v>372</v>
      </c>
      <c r="B1387" s="12"/>
      <c r="C1387" s="5"/>
      <c r="D1387" s="4"/>
      <c r="E1387" s="13"/>
      <c r="F1387" s="10"/>
      <c r="G1387" s="13"/>
      <c r="H1387" s="13"/>
      <c r="I1387" s="12"/>
      <c r="J1387" s="13"/>
      <c r="K1387" s="13"/>
      <c r="L1387" s="12"/>
    </row>
    <row r="1388" spans="1:12" x14ac:dyDescent="0.25">
      <c r="A1388" s="5" t="s">
        <v>638</v>
      </c>
      <c r="B1388" s="12"/>
      <c r="C1388" s="5"/>
      <c r="D1388" s="4"/>
      <c r="E1388" s="13"/>
      <c r="F1388" s="10"/>
      <c r="G1388" s="13"/>
      <c r="H1388" s="13"/>
      <c r="I1388" s="12"/>
      <c r="J1388" s="13"/>
      <c r="K1388" s="13"/>
      <c r="L1388" s="12"/>
    </row>
    <row r="1389" spans="1:12" x14ac:dyDescent="0.25">
      <c r="A1389" s="5" t="s">
        <v>638</v>
      </c>
      <c r="B1389" s="12"/>
      <c r="C1389" s="5"/>
      <c r="D1389" s="4"/>
      <c r="E1389" s="13"/>
      <c r="F1389" s="10"/>
      <c r="G1389" s="13"/>
      <c r="H1389" s="13"/>
      <c r="I1389" s="12"/>
      <c r="J1389" s="13"/>
      <c r="K1389" s="13"/>
      <c r="L1389" s="12"/>
    </row>
    <row r="1390" spans="1:12" x14ac:dyDescent="0.25">
      <c r="A1390" s="5" t="s">
        <v>638</v>
      </c>
      <c r="B1390" s="12"/>
      <c r="C1390" s="5"/>
      <c r="D1390" s="4"/>
      <c r="E1390" s="13"/>
      <c r="F1390" s="10"/>
      <c r="G1390" s="13"/>
      <c r="H1390" s="13"/>
      <c r="I1390" s="12"/>
      <c r="J1390" s="13"/>
      <c r="K1390" s="13"/>
      <c r="L1390" s="12"/>
    </row>
    <row r="1391" spans="1:12" x14ac:dyDescent="0.25">
      <c r="A1391" s="5" t="s">
        <v>343</v>
      </c>
      <c r="B1391" s="12"/>
      <c r="C1391" s="5"/>
      <c r="D1391" s="4"/>
      <c r="E1391" s="13"/>
      <c r="F1391" s="10"/>
      <c r="G1391" s="13"/>
      <c r="H1391" s="13"/>
      <c r="I1391" s="12"/>
      <c r="J1391" s="13"/>
      <c r="K1391" s="13"/>
      <c r="L1391" s="12"/>
    </row>
    <row r="1392" spans="1:12" x14ac:dyDescent="0.25">
      <c r="A1392" s="5" t="s">
        <v>343</v>
      </c>
      <c r="B1392" s="12"/>
      <c r="C1392" s="5"/>
      <c r="D1392" s="4"/>
      <c r="E1392" s="13"/>
      <c r="F1392" s="10"/>
      <c r="G1392" s="13"/>
      <c r="H1392" s="13"/>
      <c r="I1392" s="12"/>
      <c r="J1392" s="13"/>
      <c r="K1392" s="13"/>
      <c r="L1392" s="12"/>
    </row>
    <row r="1393" spans="1:12" x14ac:dyDescent="0.25">
      <c r="A1393" s="5" t="s">
        <v>343</v>
      </c>
      <c r="B1393" s="12"/>
      <c r="C1393" s="5"/>
      <c r="D1393" s="4"/>
      <c r="E1393" s="13"/>
      <c r="F1393" s="10"/>
      <c r="G1393" s="13"/>
      <c r="H1393" s="13"/>
      <c r="I1393" s="12"/>
      <c r="J1393" s="13"/>
      <c r="K1393" s="13"/>
      <c r="L1393" s="12"/>
    </row>
    <row r="1394" spans="1:12" x14ac:dyDescent="0.25">
      <c r="A1394" s="5" t="s">
        <v>631</v>
      </c>
      <c r="B1394" s="12"/>
      <c r="C1394" s="5"/>
      <c r="D1394" s="4"/>
      <c r="E1394" s="13"/>
      <c r="F1394" s="10"/>
      <c r="G1394" s="13"/>
      <c r="H1394" s="13"/>
      <c r="I1394" s="12"/>
      <c r="J1394" s="13"/>
      <c r="K1394" s="13"/>
      <c r="L1394" s="12"/>
    </row>
    <row r="1395" spans="1:12" x14ac:dyDescent="0.25">
      <c r="A1395" s="5" t="s">
        <v>631</v>
      </c>
      <c r="B1395" s="12"/>
      <c r="C1395" s="5"/>
      <c r="D1395" s="4"/>
      <c r="E1395" s="13"/>
      <c r="F1395" s="10"/>
      <c r="G1395" s="13"/>
      <c r="H1395" s="13"/>
      <c r="I1395" s="12"/>
      <c r="J1395" s="13"/>
      <c r="K1395" s="13"/>
      <c r="L1395" s="12"/>
    </row>
    <row r="1396" spans="1:12" x14ac:dyDescent="0.25">
      <c r="A1396" s="5" t="s">
        <v>631</v>
      </c>
      <c r="B1396" s="12"/>
      <c r="C1396" s="5"/>
      <c r="D1396" s="4"/>
      <c r="E1396" s="13"/>
      <c r="F1396" s="10"/>
      <c r="G1396" s="13"/>
      <c r="H1396" s="13"/>
      <c r="I1396" s="12"/>
      <c r="J1396" s="13"/>
      <c r="K1396" s="13"/>
      <c r="L1396" s="12"/>
    </row>
    <row r="1397" spans="1:12" x14ac:dyDescent="0.25">
      <c r="A1397" s="5" t="s">
        <v>384</v>
      </c>
      <c r="B1397" s="12"/>
      <c r="C1397" s="5"/>
      <c r="D1397" s="4"/>
      <c r="E1397" s="13"/>
      <c r="F1397" s="10"/>
      <c r="G1397" s="13"/>
      <c r="H1397" s="13"/>
      <c r="I1397" s="12"/>
      <c r="J1397" s="13"/>
      <c r="K1397" s="13"/>
      <c r="L1397" s="12"/>
    </row>
    <row r="1398" spans="1:12" x14ac:dyDescent="0.25">
      <c r="A1398" s="5" t="s">
        <v>384</v>
      </c>
      <c r="B1398" s="12"/>
      <c r="C1398" s="5"/>
      <c r="D1398" s="4"/>
      <c r="E1398" s="13"/>
      <c r="F1398" s="10"/>
      <c r="G1398" s="13"/>
      <c r="H1398" s="13"/>
      <c r="I1398" s="12"/>
      <c r="J1398" s="13"/>
      <c r="K1398" s="13"/>
      <c r="L1398" s="12"/>
    </row>
    <row r="1399" spans="1:12" x14ac:dyDescent="0.25">
      <c r="A1399" s="5" t="s">
        <v>384</v>
      </c>
      <c r="B1399" s="12"/>
      <c r="C1399" s="5"/>
      <c r="D1399" s="4"/>
      <c r="E1399" s="13"/>
      <c r="F1399" s="10"/>
      <c r="G1399" s="13"/>
      <c r="H1399" s="13"/>
      <c r="I1399" s="12"/>
      <c r="J1399" s="13"/>
      <c r="K1399" s="13"/>
      <c r="L1399" s="12"/>
    </row>
    <row r="1400" spans="1:12" x14ac:dyDescent="0.25">
      <c r="A1400" s="5" t="s">
        <v>199</v>
      </c>
      <c r="B1400" s="12"/>
      <c r="C1400" s="5"/>
      <c r="D1400" s="4"/>
      <c r="E1400" s="13"/>
      <c r="F1400" s="10"/>
      <c r="G1400" s="13"/>
      <c r="H1400" s="13"/>
      <c r="I1400" s="12"/>
      <c r="J1400" s="13"/>
      <c r="K1400" s="13"/>
      <c r="L1400" s="12"/>
    </row>
    <row r="1401" spans="1:12" x14ac:dyDescent="0.25">
      <c r="A1401" s="5" t="s">
        <v>199</v>
      </c>
      <c r="B1401" s="12"/>
      <c r="C1401" s="5"/>
      <c r="D1401" s="4"/>
      <c r="E1401" s="13"/>
      <c r="F1401" s="10"/>
      <c r="G1401" s="13"/>
      <c r="H1401" s="13"/>
      <c r="I1401" s="12"/>
      <c r="J1401" s="13"/>
      <c r="K1401" s="13"/>
      <c r="L1401" s="12"/>
    </row>
    <row r="1402" spans="1:12" x14ac:dyDescent="0.25">
      <c r="A1402" s="5" t="s">
        <v>671</v>
      </c>
      <c r="B1402" s="12"/>
      <c r="C1402" s="5"/>
      <c r="D1402" s="4"/>
      <c r="E1402" s="13"/>
      <c r="F1402" s="10"/>
      <c r="G1402" s="13"/>
      <c r="H1402" s="13"/>
      <c r="I1402" s="12"/>
      <c r="J1402" s="13"/>
      <c r="K1402" s="13"/>
      <c r="L1402" s="12"/>
    </row>
    <row r="1403" spans="1:12" x14ac:dyDescent="0.25">
      <c r="A1403" s="5" t="s">
        <v>671</v>
      </c>
      <c r="B1403" s="12"/>
      <c r="C1403" s="5"/>
      <c r="D1403" s="4"/>
      <c r="E1403" s="13"/>
      <c r="F1403" s="10"/>
      <c r="G1403" s="13"/>
      <c r="H1403" s="13"/>
      <c r="I1403" s="12"/>
      <c r="J1403" s="13"/>
      <c r="K1403" s="13"/>
      <c r="L1403" s="12"/>
    </row>
    <row r="1404" spans="1:12" x14ac:dyDescent="0.25">
      <c r="A1404" s="5" t="s">
        <v>671</v>
      </c>
      <c r="B1404" s="12"/>
      <c r="C1404" s="5"/>
      <c r="D1404" s="4"/>
      <c r="E1404" s="13"/>
      <c r="F1404" s="10"/>
      <c r="G1404" s="13"/>
      <c r="H1404" s="13"/>
      <c r="I1404" s="12"/>
      <c r="J1404" s="13"/>
      <c r="K1404" s="13"/>
      <c r="L1404" s="12"/>
    </row>
    <row r="1405" spans="1:12" x14ac:dyDescent="0.25">
      <c r="A1405" s="5" t="s">
        <v>516</v>
      </c>
      <c r="B1405" s="12"/>
      <c r="C1405" s="5"/>
      <c r="D1405" s="4"/>
      <c r="E1405" s="13"/>
      <c r="F1405" s="10"/>
      <c r="G1405" s="13"/>
      <c r="H1405" s="13"/>
      <c r="I1405" s="12"/>
      <c r="J1405" s="13"/>
      <c r="K1405" s="13"/>
      <c r="L1405" s="12"/>
    </row>
    <row r="1406" spans="1:12" x14ac:dyDescent="0.25">
      <c r="A1406" s="5" t="s">
        <v>516</v>
      </c>
      <c r="B1406" s="12"/>
      <c r="C1406" s="5"/>
      <c r="D1406" s="4"/>
      <c r="E1406" s="13"/>
      <c r="F1406" s="10"/>
      <c r="G1406" s="13"/>
      <c r="H1406" s="13"/>
      <c r="I1406" s="12"/>
      <c r="J1406" s="13"/>
      <c r="K1406" s="13"/>
      <c r="L1406" s="12"/>
    </row>
    <row r="1407" spans="1:12" x14ac:dyDescent="0.25">
      <c r="A1407" s="5" t="s">
        <v>516</v>
      </c>
      <c r="B1407" s="12"/>
      <c r="C1407" s="5"/>
      <c r="D1407" s="4"/>
      <c r="E1407" s="13"/>
      <c r="F1407" s="10"/>
      <c r="G1407" s="13"/>
      <c r="H1407" s="13"/>
      <c r="I1407" s="12"/>
      <c r="J1407" s="13"/>
      <c r="K1407" s="13"/>
      <c r="L1407" s="12"/>
    </row>
    <row r="1408" spans="1:12" x14ac:dyDescent="0.25">
      <c r="A1408" s="5" t="s">
        <v>516</v>
      </c>
      <c r="B1408" s="12"/>
      <c r="C1408" s="5"/>
      <c r="D1408" s="4"/>
      <c r="E1408" s="13"/>
      <c r="F1408" s="10"/>
      <c r="G1408" s="13"/>
      <c r="H1408" s="13"/>
      <c r="I1408" s="12"/>
      <c r="J1408" s="13"/>
      <c r="K1408" s="13"/>
      <c r="L1408" s="12"/>
    </row>
    <row r="1409" spans="1:12" x14ac:dyDescent="0.25">
      <c r="A1409" s="5" t="s">
        <v>516</v>
      </c>
      <c r="B1409" s="12"/>
      <c r="C1409" s="5"/>
      <c r="D1409" s="4"/>
      <c r="E1409" s="13"/>
      <c r="F1409" s="10"/>
      <c r="G1409" s="13"/>
      <c r="H1409" s="13"/>
      <c r="I1409" s="12"/>
      <c r="J1409" s="13"/>
      <c r="K1409" s="13"/>
      <c r="L1409" s="12"/>
    </row>
    <row r="1410" spans="1:12" x14ac:dyDescent="0.25">
      <c r="A1410" s="5" t="s">
        <v>516</v>
      </c>
      <c r="B1410" s="12"/>
      <c r="C1410" s="5"/>
      <c r="D1410" s="4"/>
      <c r="E1410" s="13"/>
      <c r="F1410" s="10"/>
      <c r="G1410" s="13"/>
      <c r="H1410" s="13"/>
      <c r="I1410" s="12"/>
      <c r="J1410" s="13"/>
      <c r="K1410" s="13"/>
      <c r="L1410" s="12"/>
    </row>
    <row r="1411" spans="1:12" x14ac:dyDescent="0.25">
      <c r="A1411" s="5" t="s">
        <v>390</v>
      </c>
      <c r="B1411" s="12"/>
      <c r="C1411" s="5"/>
      <c r="D1411" s="4"/>
      <c r="E1411" s="13"/>
      <c r="F1411" s="10"/>
      <c r="G1411" s="13"/>
      <c r="H1411" s="13"/>
      <c r="I1411" s="12"/>
      <c r="J1411" s="13"/>
      <c r="K1411" s="13"/>
      <c r="L1411" s="12"/>
    </row>
    <row r="1412" spans="1:12" x14ac:dyDescent="0.25">
      <c r="A1412" s="5" t="s">
        <v>390</v>
      </c>
      <c r="B1412" s="12"/>
      <c r="C1412" s="5"/>
      <c r="D1412" s="4"/>
      <c r="E1412" s="13"/>
      <c r="F1412" s="10"/>
      <c r="G1412" s="13"/>
      <c r="H1412" s="13"/>
      <c r="I1412" s="12"/>
      <c r="J1412" s="13"/>
      <c r="K1412" s="13"/>
      <c r="L1412" s="12"/>
    </row>
    <row r="1413" spans="1:12" x14ac:dyDescent="0.25">
      <c r="A1413" s="5" t="s">
        <v>390</v>
      </c>
      <c r="B1413" s="12"/>
      <c r="C1413" s="5"/>
      <c r="D1413" s="4"/>
      <c r="E1413" s="13"/>
      <c r="F1413" s="10"/>
      <c r="G1413" s="13"/>
      <c r="H1413" s="13"/>
      <c r="I1413" s="12"/>
      <c r="J1413" s="13"/>
      <c r="K1413" s="13"/>
      <c r="L1413" s="12"/>
    </row>
    <row r="1414" spans="1:12" x14ac:dyDescent="0.25">
      <c r="A1414" s="5" t="s">
        <v>361</v>
      </c>
      <c r="B1414" s="12"/>
      <c r="C1414" s="5"/>
      <c r="D1414" s="4"/>
      <c r="E1414" s="13"/>
      <c r="F1414" s="10"/>
      <c r="G1414" s="13"/>
      <c r="H1414" s="13"/>
      <c r="I1414" s="12"/>
      <c r="J1414" s="13"/>
      <c r="K1414" s="13"/>
      <c r="L1414" s="12"/>
    </row>
    <row r="1415" spans="1:12" x14ac:dyDescent="0.25">
      <c r="A1415" s="5" t="s">
        <v>361</v>
      </c>
      <c r="B1415" s="12"/>
      <c r="C1415" s="5"/>
      <c r="D1415" s="4"/>
      <c r="E1415" s="13"/>
      <c r="F1415" s="10"/>
      <c r="G1415" s="13"/>
      <c r="H1415" s="13"/>
      <c r="I1415" s="12"/>
      <c r="J1415" s="13"/>
      <c r="K1415" s="13"/>
      <c r="L1415" s="12"/>
    </row>
    <row r="1416" spans="1:12" x14ac:dyDescent="0.25">
      <c r="A1416" s="5" t="s">
        <v>221</v>
      </c>
      <c r="B1416" s="12"/>
      <c r="C1416" s="5"/>
      <c r="D1416" s="4"/>
      <c r="E1416" s="13"/>
      <c r="F1416" s="10"/>
      <c r="G1416" s="13"/>
      <c r="H1416" s="13"/>
      <c r="I1416" s="12"/>
      <c r="J1416" s="13"/>
      <c r="K1416" s="13"/>
      <c r="L1416" s="12"/>
    </row>
    <row r="1417" spans="1:12" x14ac:dyDescent="0.25">
      <c r="A1417" s="5" t="s">
        <v>221</v>
      </c>
      <c r="B1417" s="12"/>
      <c r="C1417" s="5"/>
      <c r="D1417" s="4"/>
      <c r="E1417" s="13"/>
      <c r="F1417" s="10"/>
      <c r="G1417" s="13"/>
      <c r="H1417" s="13"/>
      <c r="I1417" s="12"/>
      <c r="J1417" s="13"/>
      <c r="K1417" s="13"/>
      <c r="L1417" s="12"/>
    </row>
    <row r="1418" spans="1:12" x14ac:dyDescent="0.25">
      <c r="A1418" s="5" t="s">
        <v>221</v>
      </c>
      <c r="B1418" s="12"/>
      <c r="C1418" s="5"/>
      <c r="D1418" s="4"/>
      <c r="E1418" s="13"/>
      <c r="F1418" s="10"/>
      <c r="G1418" s="13"/>
      <c r="H1418" s="13"/>
      <c r="I1418" s="12"/>
      <c r="J1418" s="13"/>
      <c r="K1418" s="13"/>
      <c r="L1418" s="12"/>
    </row>
    <row r="1419" spans="1:12" x14ac:dyDescent="0.25">
      <c r="A1419" s="5" t="s">
        <v>552</v>
      </c>
      <c r="B1419" s="12"/>
      <c r="C1419" s="5"/>
      <c r="D1419" s="4"/>
      <c r="E1419" s="13"/>
      <c r="F1419" s="10"/>
      <c r="G1419" s="13"/>
      <c r="H1419" s="13"/>
      <c r="I1419" s="12"/>
      <c r="J1419" s="13"/>
      <c r="K1419" s="13"/>
      <c r="L1419" s="12"/>
    </row>
    <row r="1420" spans="1:12" x14ac:dyDescent="0.25">
      <c r="A1420" s="5" t="s">
        <v>552</v>
      </c>
      <c r="B1420" s="12"/>
      <c r="C1420" s="5"/>
      <c r="D1420" s="4"/>
      <c r="E1420" s="13"/>
      <c r="F1420" s="10"/>
      <c r="G1420" s="13"/>
      <c r="H1420" s="13"/>
      <c r="I1420" s="12"/>
      <c r="J1420" s="13"/>
      <c r="K1420" s="13"/>
      <c r="L1420" s="12"/>
    </row>
    <row r="1421" spans="1:12" x14ac:dyDescent="0.25">
      <c r="A1421" s="5" t="s">
        <v>552</v>
      </c>
      <c r="B1421" s="12"/>
      <c r="C1421" s="5"/>
      <c r="D1421" s="4"/>
      <c r="E1421" s="13"/>
      <c r="F1421" s="10"/>
      <c r="G1421" s="13"/>
      <c r="H1421" s="13"/>
      <c r="I1421" s="12"/>
      <c r="J1421" s="13"/>
      <c r="K1421" s="13"/>
      <c r="L1421" s="12"/>
    </row>
    <row r="1422" spans="1:12" x14ac:dyDescent="0.25">
      <c r="A1422" s="5" t="s">
        <v>605</v>
      </c>
      <c r="B1422" s="12"/>
      <c r="C1422" s="5"/>
      <c r="D1422" s="4"/>
      <c r="E1422" s="13"/>
      <c r="F1422" s="10"/>
      <c r="G1422" s="13"/>
      <c r="H1422" s="13"/>
      <c r="I1422" s="12"/>
      <c r="J1422" s="13"/>
      <c r="K1422" s="13"/>
      <c r="L1422" s="12"/>
    </row>
    <row r="1423" spans="1:12" x14ac:dyDescent="0.25">
      <c r="A1423" s="5" t="s">
        <v>605</v>
      </c>
      <c r="B1423" s="12"/>
      <c r="C1423" s="5"/>
      <c r="D1423" s="4"/>
      <c r="E1423" s="13"/>
      <c r="F1423" s="10"/>
      <c r="G1423" s="13"/>
      <c r="H1423" s="13"/>
      <c r="I1423" s="12"/>
      <c r="J1423" s="13"/>
      <c r="K1423" s="13"/>
      <c r="L1423" s="12"/>
    </row>
    <row r="1424" spans="1:12" x14ac:dyDescent="0.25">
      <c r="A1424" s="5" t="s">
        <v>605</v>
      </c>
      <c r="B1424" s="12"/>
      <c r="C1424" s="5"/>
      <c r="D1424" s="4"/>
      <c r="E1424" s="13"/>
      <c r="F1424" s="10"/>
      <c r="G1424" s="13"/>
      <c r="H1424" s="13"/>
      <c r="I1424" s="12"/>
      <c r="J1424" s="13"/>
      <c r="K1424" s="13"/>
      <c r="L1424" s="12"/>
    </row>
    <row r="1425" spans="1:12" x14ac:dyDescent="0.25">
      <c r="A1425" s="5" t="s">
        <v>157</v>
      </c>
      <c r="B1425" s="12"/>
      <c r="C1425" s="5"/>
      <c r="D1425" s="4"/>
      <c r="E1425" s="13"/>
      <c r="F1425" s="10"/>
      <c r="G1425" s="13"/>
      <c r="H1425" s="13"/>
      <c r="I1425" s="12"/>
      <c r="J1425" s="13"/>
      <c r="K1425" s="13"/>
      <c r="L1425" s="12"/>
    </row>
    <row r="1426" spans="1:12" x14ac:dyDescent="0.25">
      <c r="A1426" s="5" t="s">
        <v>157</v>
      </c>
      <c r="B1426" s="12"/>
      <c r="C1426" s="5"/>
      <c r="D1426" s="4"/>
      <c r="E1426" s="13"/>
      <c r="F1426" s="10"/>
      <c r="G1426" s="13"/>
      <c r="H1426" s="13"/>
      <c r="I1426" s="12"/>
      <c r="J1426" s="13"/>
      <c r="K1426" s="13"/>
      <c r="L1426" s="12"/>
    </row>
    <row r="1427" spans="1:12" x14ac:dyDescent="0.25">
      <c r="A1427" s="5" t="s">
        <v>157</v>
      </c>
      <c r="B1427" s="12"/>
      <c r="C1427" s="5"/>
      <c r="D1427" s="4"/>
      <c r="E1427" s="13"/>
      <c r="F1427" s="10"/>
      <c r="G1427" s="13"/>
      <c r="H1427" s="13"/>
      <c r="I1427" s="12"/>
      <c r="J1427" s="13"/>
      <c r="K1427" s="13"/>
      <c r="L1427" s="12"/>
    </row>
    <row r="1428" spans="1:12" x14ac:dyDescent="0.25">
      <c r="A1428" s="5" t="s">
        <v>157</v>
      </c>
      <c r="B1428" s="12"/>
      <c r="C1428" s="5"/>
      <c r="D1428" s="4"/>
      <c r="E1428" s="13"/>
      <c r="F1428" s="10"/>
      <c r="G1428" s="13"/>
      <c r="H1428" s="13"/>
      <c r="I1428" s="12"/>
      <c r="J1428" s="13"/>
      <c r="K1428" s="13"/>
      <c r="L1428" s="12"/>
    </row>
    <row r="1429" spans="1:12" x14ac:dyDescent="0.25">
      <c r="A1429" s="5" t="s">
        <v>157</v>
      </c>
      <c r="B1429" s="12"/>
      <c r="C1429" s="5"/>
      <c r="D1429" s="4"/>
      <c r="E1429" s="13"/>
      <c r="F1429" s="10"/>
      <c r="G1429" s="13"/>
      <c r="H1429" s="13"/>
      <c r="I1429" s="12"/>
      <c r="J1429" s="13"/>
      <c r="K1429" s="13"/>
      <c r="L1429" s="12"/>
    </row>
    <row r="1430" spans="1:12" x14ac:dyDescent="0.25">
      <c r="A1430" s="5" t="s">
        <v>157</v>
      </c>
      <c r="B1430" s="12"/>
      <c r="C1430" s="5"/>
      <c r="D1430" s="4"/>
      <c r="E1430" s="13"/>
      <c r="F1430" s="10"/>
      <c r="G1430" s="13"/>
      <c r="H1430" s="13"/>
      <c r="I1430" s="12"/>
      <c r="J1430" s="13"/>
      <c r="K1430" s="13"/>
      <c r="L1430" s="12"/>
    </row>
    <row r="1431" spans="1:12" x14ac:dyDescent="0.25">
      <c r="A1431" s="5" t="s">
        <v>328</v>
      </c>
      <c r="B1431" s="12"/>
      <c r="C1431" s="5"/>
      <c r="D1431" s="4"/>
      <c r="E1431" s="13"/>
      <c r="F1431" s="10"/>
      <c r="G1431" s="13"/>
      <c r="H1431" s="13"/>
      <c r="I1431" s="12"/>
      <c r="J1431" s="13"/>
      <c r="K1431" s="13"/>
      <c r="L1431" s="12"/>
    </row>
    <row r="1432" spans="1:12" x14ac:dyDescent="0.25">
      <c r="A1432" s="5" t="s">
        <v>328</v>
      </c>
      <c r="B1432" s="12"/>
      <c r="C1432" s="5"/>
      <c r="D1432" s="4"/>
      <c r="E1432" s="13"/>
      <c r="F1432" s="10"/>
      <c r="G1432" s="13"/>
      <c r="H1432" s="13"/>
      <c r="I1432" s="12"/>
      <c r="J1432" s="13"/>
      <c r="K1432" s="13"/>
      <c r="L1432" s="12"/>
    </row>
    <row r="1433" spans="1:12" x14ac:dyDescent="0.25">
      <c r="A1433" s="5" t="s">
        <v>328</v>
      </c>
      <c r="B1433" s="12"/>
      <c r="C1433" s="5"/>
      <c r="D1433" s="4"/>
      <c r="E1433" s="13"/>
      <c r="F1433" s="10"/>
      <c r="G1433" s="13"/>
      <c r="H1433" s="13"/>
      <c r="I1433" s="12"/>
      <c r="J1433" s="13"/>
      <c r="K1433" s="13"/>
      <c r="L1433" s="12"/>
    </row>
    <row r="1434" spans="1:12" x14ac:dyDescent="0.25">
      <c r="A1434" s="5" t="s">
        <v>328</v>
      </c>
      <c r="B1434" s="12"/>
      <c r="C1434" s="5"/>
      <c r="D1434" s="4"/>
      <c r="E1434" s="13"/>
      <c r="F1434" s="10"/>
      <c r="G1434" s="13"/>
      <c r="H1434" s="13"/>
      <c r="I1434" s="12"/>
      <c r="J1434" s="13"/>
      <c r="K1434" s="13"/>
      <c r="L1434" s="12"/>
    </row>
    <row r="1435" spans="1:12" x14ac:dyDescent="0.25">
      <c r="A1435" s="5" t="s">
        <v>328</v>
      </c>
      <c r="B1435" s="12"/>
      <c r="C1435" s="5"/>
      <c r="D1435" s="4"/>
      <c r="E1435" s="13"/>
      <c r="F1435" s="10"/>
      <c r="G1435" s="13"/>
      <c r="H1435" s="13"/>
      <c r="I1435" s="12"/>
      <c r="J1435" s="13"/>
      <c r="K1435" s="13"/>
      <c r="L1435" s="12"/>
    </row>
    <row r="1436" spans="1:12" x14ac:dyDescent="0.25">
      <c r="A1436" s="5" t="s">
        <v>328</v>
      </c>
      <c r="B1436" s="12"/>
      <c r="C1436" s="5"/>
      <c r="D1436" s="4"/>
      <c r="E1436" s="13"/>
      <c r="F1436" s="10"/>
      <c r="G1436" s="13"/>
      <c r="H1436" s="13"/>
      <c r="I1436" s="12"/>
      <c r="J1436" s="13"/>
      <c r="K1436" s="13"/>
      <c r="L1436" s="12"/>
    </row>
    <row r="1437" spans="1:12" x14ac:dyDescent="0.25">
      <c r="A1437" s="5" t="s">
        <v>406</v>
      </c>
      <c r="B1437" s="12"/>
      <c r="C1437" s="5"/>
      <c r="D1437" s="4"/>
      <c r="E1437" s="13"/>
      <c r="F1437" s="10"/>
      <c r="G1437" s="13"/>
      <c r="H1437" s="13"/>
      <c r="I1437" s="12"/>
      <c r="J1437" s="13"/>
      <c r="K1437" s="13"/>
      <c r="L1437" s="12"/>
    </row>
    <row r="1438" spans="1:12" x14ac:dyDescent="0.25">
      <c r="A1438" s="5" t="s">
        <v>406</v>
      </c>
      <c r="B1438" s="12"/>
      <c r="C1438" s="5"/>
      <c r="D1438" s="4"/>
      <c r="E1438" s="13"/>
      <c r="F1438" s="10"/>
      <c r="G1438" s="13"/>
      <c r="H1438" s="13"/>
      <c r="I1438" s="12"/>
      <c r="J1438" s="13"/>
      <c r="K1438" s="13"/>
      <c r="L1438" s="12"/>
    </row>
    <row r="1439" spans="1:12" x14ac:dyDescent="0.25">
      <c r="A1439" s="5" t="s">
        <v>406</v>
      </c>
      <c r="B1439" s="12"/>
      <c r="C1439" s="5"/>
      <c r="D1439" s="4"/>
      <c r="E1439" s="13"/>
      <c r="F1439" s="10"/>
      <c r="G1439" s="13"/>
      <c r="H1439" s="13"/>
      <c r="I1439" s="12"/>
      <c r="J1439" s="13"/>
      <c r="K1439" s="13"/>
      <c r="L1439" s="12"/>
    </row>
    <row r="1440" spans="1:12" x14ac:dyDescent="0.25">
      <c r="A1440" s="5" t="s">
        <v>406</v>
      </c>
      <c r="B1440" s="12"/>
      <c r="C1440" s="5"/>
      <c r="D1440" s="4"/>
      <c r="E1440" s="13"/>
      <c r="F1440" s="10"/>
      <c r="G1440" s="13"/>
      <c r="H1440" s="13"/>
      <c r="I1440" s="12"/>
      <c r="J1440" s="13"/>
      <c r="K1440" s="13"/>
      <c r="L1440" s="12"/>
    </row>
    <row r="1441" spans="1:12" x14ac:dyDescent="0.25">
      <c r="A1441" s="5" t="s">
        <v>406</v>
      </c>
      <c r="B1441" s="12"/>
      <c r="C1441" s="5"/>
      <c r="D1441" s="4"/>
      <c r="E1441" s="13"/>
      <c r="F1441" s="10"/>
      <c r="G1441" s="13"/>
      <c r="H1441" s="13"/>
      <c r="I1441" s="12"/>
      <c r="J1441" s="13"/>
      <c r="K1441" s="13"/>
      <c r="L1441" s="12"/>
    </row>
    <row r="1442" spans="1:12" x14ac:dyDescent="0.25">
      <c r="A1442" s="5" t="s">
        <v>406</v>
      </c>
      <c r="B1442" s="12"/>
      <c r="C1442" s="5"/>
      <c r="D1442" s="4"/>
      <c r="E1442" s="13"/>
      <c r="F1442" s="10"/>
      <c r="G1442" s="13"/>
      <c r="H1442" s="13"/>
      <c r="I1442" s="12"/>
      <c r="J1442" s="13"/>
      <c r="K1442" s="13"/>
      <c r="L1442" s="12"/>
    </row>
    <row r="1443" spans="1:12" x14ac:dyDescent="0.25">
      <c r="A1443" s="5" t="s">
        <v>122</v>
      </c>
      <c r="B1443" s="12"/>
      <c r="C1443" s="5"/>
      <c r="D1443" s="4"/>
      <c r="E1443" s="13"/>
      <c r="F1443" s="10"/>
      <c r="G1443" s="13"/>
      <c r="H1443" s="13"/>
      <c r="I1443" s="12"/>
      <c r="J1443" s="13"/>
      <c r="K1443" s="13"/>
      <c r="L1443" s="12"/>
    </row>
    <row r="1444" spans="1:12" x14ac:dyDescent="0.25">
      <c r="A1444" s="5" t="s">
        <v>122</v>
      </c>
      <c r="B1444" s="12"/>
      <c r="C1444" s="5"/>
      <c r="D1444" s="4"/>
      <c r="E1444" s="13"/>
      <c r="F1444" s="10"/>
      <c r="G1444" s="13"/>
      <c r="H1444" s="13"/>
      <c r="I1444" s="12"/>
      <c r="J1444" s="13"/>
      <c r="K1444" s="13"/>
      <c r="L1444" s="12"/>
    </row>
    <row r="1445" spans="1:12" x14ac:dyDescent="0.25">
      <c r="A1445" s="5" t="s">
        <v>122</v>
      </c>
      <c r="B1445" s="12"/>
      <c r="C1445" s="5"/>
      <c r="D1445" s="4"/>
      <c r="E1445" s="13"/>
      <c r="F1445" s="10"/>
      <c r="G1445" s="13"/>
      <c r="H1445" s="13"/>
      <c r="I1445" s="12"/>
      <c r="J1445" s="13"/>
      <c r="K1445" s="13"/>
      <c r="L1445" s="12"/>
    </row>
    <row r="1446" spans="1:12" x14ac:dyDescent="0.25">
      <c r="A1446" s="5" t="s">
        <v>532</v>
      </c>
      <c r="B1446" s="12"/>
      <c r="C1446" s="5"/>
      <c r="D1446" s="4"/>
      <c r="E1446" s="13"/>
      <c r="F1446" s="10"/>
      <c r="G1446" s="13"/>
      <c r="H1446" s="13"/>
      <c r="I1446" s="12"/>
      <c r="J1446" s="13"/>
      <c r="K1446" s="13"/>
      <c r="L1446" s="12"/>
    </row>
    <row r="1447" spans="1:12" x14ac:dyDescent="0.25">
      <c r="A1447" s="5" t="s">
        <v>532</v>
      </c>
      <c r="B1447" s="12"/>
      <c r="C1447" s="5"/>
      <c r="D1447" s="4"/>
      <c r="E1447" s="13"/>
      <c r="F1447" s="10"/>
      <c r="G1447" s="13"/>
      <c r="H1447" s="13"/>
      <c r="I1447" s="12"/>
      <c r="J1447" s="13"/>
      <c r="K1447" s="13"/>
      <c r="L1447" s="12"/>
    </row>
    <row r="1448" spans="1:12" x14ac:dyDescent="0.25">
      <c r="A1448" s="5" t="s">
        <v>532</v>
      </c>
      <c r="B1448" s="12"/>
      <c r="C1448" s="5"/>
      <c r="D1448" s="4"/>
      <c r="E1448" s="13"/>
      <c r="F1448" s="10"/>
      <c r="G1448" s="13"/>
      <c r="H1448" s="13"/>
      <c r="I1448" s="12"/>
      <c r="J1448" s="13"/>
      <c r="K1448" s="13"/>
      <c r="L1448" s="12"/>
    </row>
    <row r="1449" spans="1:12" x14ac:dyDescent="0.25">
      <c r="A1449" s="5" t="s">
        <v>300</v>
      </c>
      <c r="B1449" s="12"/>
      <c r="C1449" s="5"/>
      <c r="D1449" s="4"/>
      <c r="E1449" s="13"/>
      <c r="F1449" s="10"/>
      <c r="G1449" s="13"/>
      <c r="H1449" s="13"/>
      <c r="I1449" s="12"/>
      <c r="J1449" s="13"/>
      <c r="K1449" s="13"/>
      <c r="L1449" s="12"/>
    </row>
    <row r="1450" spans="1:12" x14ac:dyDescent="0.25">
      <c r="A1450" s="5" t="s">
        <v>300</v>
      </c>
      <c r="B1450" s="12"/>
      <c r="C1450" s="5"/>
      <c r="D1450" s="4"/>
      <c r="E1450" s="13"/>
      <c r="F1450" s="10"/>
      <c r="G1450" s="13"/>
      <c r="H1450" s="13"/>
      <c r="I1450" s="12"/>
      <c r="J1450" s="13"/>
      <c r="K1450" s="13"/>
      <c r="L1450" s="12"/>
    </row>
    <row r="1451" spans="1:12" x14ac:dyDescent="0.25">
      <c r="A1451" s="5" t="s">
        <v>300</v>
      </c>
      <c r="B1451" s="12"/>
      <c r="C1451" s="5"/>
      <c r="D1451" s="4"/>
      <c r="E1451" s="13"/>
      <c r="F1451" s="10"/>
      <c r="G1451" s="13"/>
      <c r="H1451" s="13"/>
      <c r="I1451" s="12"/>
      <c r="J1451" s="13"/>
      <c r="K1451" s="13"/>
      <c r="L1451" s="12"/>
    </row>
    <row r="1452" spans="1:12" x14ac:dyDescent="0.25">
      <c r="A1452" s="5" t="s">
        <v>55</v>
      </c>
      <c r="B1452" s="12"/>
      <c r="C1452" s="5"/>
      <c r="D1452" s="4"/>
      <c r="E1452" s="13"/>
      <c r="F1452" s="10"/>
      <c r="G1452" s="13"/>
      <c r="H1452" s="13"/>
      <c r="I1452" s="12"/>
      <c r="J1452" s="13"/>
      <c r="K1452" s="13"/>
      <c r="L1452" s="12"/>
    </row>
    <row r="1453" spans="1:12" x14ac:dyDescent="0.25">
      <c r="A1453" s="5" t="s">
        <v>55</v>
      </c>
      <c r="B1453" s="12"/>
      <c r="C1453" s="5"/>
      <c r="D1453" s="4"/>
      <c r="E1453" s="13"/>
      <c r="F1453" s="10"/>
      <c r="G1453" s="13"/>
      <c r="H1453" s="13"/>
      <c r="I1453" s="12"/>
      <c r="J1453" s="13"/>
      <c r="K1453" s="13"/>
      <c r="L1453" s="12"/>
    </row>
    <row r="1454" spans="1:12" x14ac:dyDescent="0.25">
      <c r="A1454" s="5" t="s">
        <v>55</v>
      </c>
      <c r="B1454" s="12"/>
      <c r="C1454" s="5"/>
      <c r="D1454" s="4"/>
      <c r="E1454" s="13"/>
      <c r="F1454" s="10"/>
      <c r="G1454" s="13"/>
      <c r="H1454" s="13"/>
      <c r="I1454" s="12"/>
      <c r="J1454" s="13"/>
      <c r="K1454" s="13"/>
      <c r="L1454" s="12"/>
    </row>
    <row r="1455" spans="1:12" x14ac:dyDescent="0.25">
      <c r="A1455" s="5" t="s">
        <v>55</v>
      </c>
      <c r="B1455" s="12"/>
      <c r="C1455" s="5"/>
      <c r="D1455" s="4"/>
      <c r="E1455" s="13"/>
      <c r="F1455" s="10"/>
      <c r="G1455" s="13"/>
      <c r="H1455" s="13"/>
      <c r="I1455" s="12"/>
      <c r="J1455" s="13"/>
      <c r="K1455" s="13"/>
      <c r="L1455" s="12"/>
    </row>
    <row r="1456" spans="1:12" x14ac:dyDescent="0.25">
      <c r="A1456" s="5" t="s">
        <v>55</v>
      </c>
      <c r="B1456" s="12"/>
      <c r="C1456" s="5"/>
      <c r="D1456" s="4"/>
      <c r="E1456" s="13"/>
      <c r="F1456" s="10"/>
      <c r="G1456" s="13"/>
      <c r="H1456" s="13"/>
      <c r="I1456" s="12"/>
      <c r="J1456" s="13"/>
      <c r="K1456" s="13"/>
      <c r="L1456" s="12"/>
    </row>
    <row r="1457" spans="1:12" x14ac:dyDescent="0.25">
      <c r="A1457" s="5" t="s">
        <v>55</v>
      </c>
      <c r="B1457" s="12"/>
      <c r="C1457" s="5"/>
      <c r="D1457" s="4"/>
      <c r="E1457" s="13"/>
      <c r="F1457" s="10"/>
      <c r="G1457" s="13"/>
      <c r="H1457" s="13"/>
      <c r="I1457" s="12"/>
      <c r="J1457" s="13"/>
      <c r="K1457" s="13"/>
      <c r="L1457" s="12"/>
    </row>
    <row r="1458" spans="1:12" x14ac:dyDescent="0.25">
      <c r="A1458" s="5" t="s">
        <v>304</v>
      </c>
      <c r="B1458" s="12"/>
      <c r="C1458" s="5"/>
      <c r="D1458" s="4"/>
      <c r="E1458" s="13"/>
      <c r="F1458" s="10"/>
      <c r="G1458" s="13"/>
      <c r="H1458" s="13"/>
      <c r="I1458" s="12"/>
      <c r="J1458" s="13"/>
      <c r="K1458" s="13"/>
      <c r="L1458" s="12"/>
    </row>
    <row r="1459" spans="1:12" x14ac:dyDescent="0.25">
      <c r="A1459" s="5" t="s">
        <v>304</v>
      </c>
      <c r="B1459" s="12"/>
      <c r="C1459" s="5"/>
      <c r="D1459" s="4"/>
      <c r="E1459" s="13"/>
      <c r="F1459" s="10"/>
      <c r="G1459" s="13"/>
      <c r="H1459" s="13"/>
      <c r="I1459" s="12"/>
      <c r="J1459" s="13"/>
      <c r="K1459" s="13"/>
      <c r="L1459" s="12"/>
    </row>
    <row r="1460" spans="1:12" x14ac:dyDescent="0.25">
      <c r="A1460" s="5" t="s">
        <v>304</v>
      </c>
      <c r="B1460" s="12"/>
      <c r="C1460" s="5"/>
      <c r="D1460" s="4"/>
      <c r="E1460" s="13"/>
      <c r="F1460" s="10"/>
      <c r="G1460" s="13"/>
      <c r="H1460" s="13"/>
      <c r="I1460" s="12"/>
      <c r="J1460" s="13"/>
      <c r="K1460" s="13"/>
      <c r="L1460" s="12"/>
    </row>
    <row r="1461" spans="1:12" x14ac:dyDescent="0.25">
      <c r="A1461" s="5" t="s">
        <v>304</v>
      </c>
      <c r="B1461" s="12"/>
      <c r="C1461" s="5"/>
      <c r="D1461" s="4"/>
      <c r="E1461" s="13"/>
      <c r="F1461" s="10"/>
      <c r="G1461" s="13"/>
      <c r="H1461" s="13"/>
      <c r="I1461" s="12"/>
      <c r="J1461" s="13"/>
      <c r="K1461" s="13"/>
      <c r="L1461" s="12"/>
    </row>
    <row r="1462" spans="1:12" x14ac:dyDescent="0.25">
      <c r="A1462" s="5" t="s">
        <v>304</v>
      </c>
      <c r="B1462" s="12"/>
      <c r="C1462" s="5"/>
      <c r="D1462" s="4"/>
      <c r="E1462" s="13"/>
      <c r="F1462" s="10"/>
      <c r="G1462" s="13"/>
      <c r="H1462" s="13"/>
      <c r="I1462" s="12"/>
      <c r="J1462" s="13"/>
      <c r="K1462" s="13"/>
      <c r="L1462" s="12"/>
    </row>
    <row r="1463" spans="1:12" x14ac:dyDescent="0.25">
      <c r="A1463" s="5" t="s">
        <v>304</v>
      </c>
      <c r="B1463" s="12"/>
      <c r="C1463" s="5"/>
      <c r="D1463" s="4"/>
      <c r="E1463" s="13"/>
      <c r="F1463" s="10"/>
      <c r="G1463" s="13"/>
      <c r="H1463" s="13"/>
      <c r="I1463" s="12"/>
      <c r="J1463" s="13"/>
      <c r="K1463" s="13"/>
      <c r="L1463" s="12"/>
    </row>
    <row r="1464" spans="1:12" x14ac:dyDescent="0.25">
      <c r="A1464" s="5" t="s">
        <v>88</v>
      </c>
      <c r="B1464" s="12"/>
      <c r="C1464" s="5"/>
      <c r="D1464" s="4"/>
      <c r="E1464" s="13"/>
      <c r="F1464" s="10"/>
      <c r="G1464" s="13"/>
      <c r="H1464" s="13"/>
      <c r="I1464" s="12"/>
      <c r="J1464" s="13"/>
      <c r="K1464" s="13"/>
      <c r="L1464" s="12"/>
    </row>
    <row r="1465" spans="1:12" x14ac:dyDescent="0.25">
      <c r="A1465" s="5" t="s">
        <v>88</v>
      </c>
      <c r="B1465" s="12"/>
      <c r="C1465" s="5"/>
      <c r="D1465" s="4"/>
      <c r="E1465" s="13"/>
      <c r="F1465" s="10"/>
      <c r="G1465" s="13"/>
      <c r="H1465" s="13"/>
      <c r="I1465" s="12"/>
      <c r="J1465" s="13"/>
      <c r="K1465" s="13"/>
      <c r="L1465" s="12"/>
    </row>
    <row r="1466" spans="1:12" x14ac:dyDescent="0.25">
      <c r="A1466" s="5" t="s">
        <v>88</v>
      </c>
      <c r="B1466" s="12"/>
      <c r="C1466" s="5"/>
      <c r="D1466" s="4"/>
      <c r="E1466" s="13"/>
      <c r="F1466" s="10"/>
      <c r="G1466" s="13"/>
      <c r="H1466" s="13"/>
      <c r="I1466" s="12"/>
      <c r="J1466" s="13"/>
      <c r="K1466" s="13"/>
      <c r="L1466" s="12"/>
    </row>
    <row r="1467" spans="1:12" x14ac:dyDescent="0.25">
      <c r="A1467" s="5" t="s">
        <v>88</v>
      </c>
      <c r="B1467" s="12"/>
      <c r="C1467" s="5"/>
      <c r="D1467" s="4"/>
      <c r="E1467" s="13"/>
      <c r="F1467" s="10"/>
      <c r="G1467" s="13"/>
      <c r="H1467" s="13"/>
      <c r="I1467" s="12"/>
      <c r="J1467" s="13"/>
      <c r="K1467" s="13"/>
      <c r="L1467" s="12"/>
    </row>
    <row r="1468" spans="1:12" x14ac:dyDescent="0.25">
      <c r="A1468" s="5" t="s">
        <v>88</v>
      </c>
      <c r="B1468" s="12"/>
      <c r="C1468" s="5"/>
      <c r="D1468" s="4"/>
      <c r="E1468" s="13"/>
      <c r="F1468" s="10"/>
      <c r="G1468" s="13"/>
      <c r="H1468" s="13"/>
      <c r="I1468" s="12"/>
      <c r="J1468" s="13"/>
      <c r="K1468" s="13"/>
      <c r="L1468" s="12"/>
    </row>
    <row r="1469" spans="1:12" x14ac:dyDescent="0.25">
      <c r="A1469" s="5" t="s">
        <v>88</v>
      </c>
      <c r="B1469" s="12"/>
      <c r="C1469" s="5"/>
      <c r="D1469" s="4"/>
      <c r="E1469" s="13"/>
      <c r="F1469" s="10"/>
      <c r="G1469" s="13"/>
      <c r="H1469" s="13"/>
      <c r="I1469" s="12"/>
      <c r="J1469" s="13"/>
      <c r="K1469" s="13"/>
      <c r="L1469" s="12"/>
    </row>
    <row r="1470" spans="1:12" x14ac:dyDescent="0.25">
      <c r="A1470" s="5" t="s">
        <v>173</v>
      </c>
      <c r="B1470" s="12"/>
      <c r="C1470" s="5"/>
      <c r="D1470" s="4"/>
      <c r="E1470" s="13"/>
      <c r="F1470" s="10"/>
      <c r="G1470" s="13"/>
      <c r="H1470" s="13"/>
      <c r="I1470" s="12"/>
      <c r="J1470" s="13"/>
      <c r="K1470" s="13"/>
      <c r="L1470" s="12"/>
    </row>
    <row r="1471" spans="1:12" x14ac:dyDescent="0.25">
      <c r="A1471" s="5" t="s">
        <v>173</v>
      </c>
      <c r="B1471" s="12"/>
      <c r="C1471" s="5"/>
      <c r="D1471" s="4"/>
      <c r="E1471" s="13"/>
      <c r="F1471" s="10"/>
      <c r="G1471" s="13"/>
      <c r="H1471" s="13"/>
      <c r="I1471" s="12"/>
      <c r="J1471" s="13"/>
      <c r="K1471" s="13"/>
      <c r="L1471" s="12"/>
    </row>
    <row r="1472" spans="1:12" x14ac:dyDescent="0.25">
      <c r="A1472" s="5" t="s">
        <v>173</v>
      </c>
      <c r="B1472" s="12"/>
      <c r="C1472" s="5"/>
      <c r="D1472" s="4"/>
      <c r="E1472" s="13"/>
      <c r="F1472" s="10"/>
      <c r="G1472" s="13"/>
      <c r="H1472" s="13"/>
      <c r="I1472" s="12"/>
      <c r="J1472" s="13"/>
      <c r="K1472" s="13"/>
      <c r="L1472" s="12"/>
    </row>
    <row r="1473" spans="1:12" x14ac:dyDescent="0.25">
      <c r="A1473" s="5" t="s">
        <v>173</v>
      </c>
      <c r="B1473" s="12"/>
      <c r="C1473" s="5"/>
      <c r="D1473" s="4"/>
      <c r="E1473" s="13"/>
      <c r="F1473" s="10"/>
      <c r="G1473" s="13"/>
      <c r="H1473" s="13"/>
      <c r="I1473" s="12"/>
      <c r="J1473" s="13"/>
      <c r="K1473" s="13"/>
      <c r="L1473" s="12"/>
    </row>
    <row r="1474" spans="1:12" x14ac:dyDescent="0.25">
      <c r="A1474" s="5" t="s">
        <v>173</v>
      </c>
      <c r="B1474" s="12"/>
      <c r="C1474" s="5"/>
      <c r="D1474" s="4"/>
      <c r="E1474" s="13"/>
      <c r="F1474" s="10"/>
      <c r="G1474" s="13"/>
      <c r="H1474" s="13"/>
      <c r="I1474" s="12"/>
      <c r="J1474" s="13"/>
      <c r="K1474" s="13"/>
      <c r="L1474" s="12"/>
    </row>
    <row r="1475" spans="1:12" x14ac:dyDescent="0.25">
      <c r="A1475" s="5" t="s">
        <v>173</v>
      </c>
      <c r="B1475" s="12"/>
      <c r="C1475" s="5"/>
      <c r="D1475" s="4"/>
      <c r="E1475" s="13"/>
      <c r="F1475" s="10"/>
      <c r="G1475" s="13"/>
      <c r="H1475" s="13"/>
      <c r="I1475" s="12"/>
      <c r="J1475" s="13"/>
      <c r="K1475" s="13"/>
      <c r="L1475" s="12"/>
    </row>
    <row r="1476" spans="1:12" x14ac:dyDescent="0.25">
      <c r="A1476" s="5" t="s">
        <v>26</v>
      </c>
      <c r="B1476" s="12"/>
      <c r="C1476" s="5"/>
      <c r="D1476" s="4"/>
      <c r="E1476" s="13"/>
      <c r="F1476" s="10"/>
      <c r="G1476" s="13"/>
      <c r="H1476" s="13"/>
      <c r="I1476" s="12"/>
      <c r="J1476" s="13"/>
      <c r="K1476" s="13"/>
      <c r="L1476" s="12"/>
    </row>
    <row r="1477" spans="1:12" x14ac:dyDescent="0.25">
      <c r="A1477" s="5" t="s">
        <v>26</v>
      </c>
      <c r="B1477" s="12"/>
      <c r="C1477" s="5"/>
      <c r="D1477" s="4"/>
      <c r="E1477" s="13"/>
      <c r="F1477" s="10"/>
      <c r="G1477" s="13"/>
      <c r="H1477" s="13"/>
      <c r="I1477" s="12"/>
      <c r="J1477" s="13"/>
      <c r="K1477" s="13"/>
      <c r="L1477" s="12"/>
    </row>
    <row r="1478" spans="1:12" x14ac:dyDescent="0.25">
      <c r="A1478" s="5" t="s">
        <v>26</v>
      </c>
      <c r="B1478" s="12"/>
      <c r="C1478" s="5"/>
      <c r="D1478" s="4"/>
      <c r="E1478" s="13"/>
      <c r="F1478" s="10"/>
      <c r="G1478" s="13"/>
      <c r="H1478" s="13"/>
      <c r="I1478" s="12"/>
      <c r="J1478" s="13"/>
      <c r="K1478" s="13"/>
      <c r="L1478" s="12"/>
    </row>
    <row r="1479" spans="1:12" x14ac:dyDescent="0.25">
      <c r="A1479" s="5" t="s">
        <v>26</v>
      </c>
      <c r="B1479" s="12"/>
      <c r="C1479" s="5"/>
      <c r="D1479" s="4"/>
      <c r="E1479" s="13"/>
      <c r="F1479" s="10"/>
      <c r="G1479" s="13"/>
      <c r="H1479" s="13"/>
      <c r="I1479" s="12"/>
      <c r="J1479" s="13"/>
      <c r="K1479" s="13"/>
      <c r="L1479" s="12"/>
    </row>
    <row r="1480" spans="1:12" x14ac:dyDescent="0.25">
      <c r="A1480" s="5" t="s">
        <v>26</v>
      </c>
      <c r="B1480" s="12"/>
      <c r="C1480" s="5"/>
      <c r="D1480" s="4"/>
      <c r="E1480" s="13"/>
      <c r="F1480" s="10"/>
      <c r="G1480" s="13"/>
      <c r="H1480" s="13"/>
      <c r="I1480" s="12"/>
      <c r="J1480" s="13"/>
      <c r="K1480" s="13"/>
      <c r="L1480" s="12"/>
    </row>
    <row r="1481" spans="1:12" x14ac:dyDescent="0.25">
      <c r="A1481" s="5" t="s">
        <v>26</v>
      </c>
      <c r="B1481" s="12"/>
      <c r="C1481" s="5"/>
      <c r="D1481" s="4"/>
      <c r="E1481" s="13"/>
      <c r="F1481" s="10"/>
      <c r="G1481" s="13"/>
      <c r="H1481" s="13"/>
      <c r="I1481" s="12"/>
      <c r="J1481" s="13"/>
      <c r="K1481" s="13"/>
      <c r="L1481" s="12"/>
    </row>
    <row r="1482" spans="1:12" x14ac:dyDescent="0.25">
      <c r="A1482" s="5" t="s">
        <v>43</v>
      </c>
      <c r="B1482" s="12"/>
      <c r="C1482" s="5"/>
      <c r="D1482" s="4"/>
      <c r="E1482" s="13"/>
      <c r="F1482" s="10"/>
      <c r="G1482" s="13"/>
      <c r="H1482" s="13"/>
      <c r="I1482" s="12"/>
      <c r="J1482" s="13"/>
      <c r="K1482" s="13"/>
      <c r="L1482" s="12"/>
    </row>
    <row r="1483" spans="1:12" x14ac:dyDescent="0.25">
      <c r="A1483" s="5" t="s">
        <v>43</v>
      </c>
      <c r="B1483" s="12"/>
      <c r="C1483" s="5"/>
      <c r="D1483" s="4"/>
      <c r="E1483" s="13"/>
      <c r="F1483" s="10"/>
      <c r="G1483" s="13"/>
      <c r="H1483" s="13"/>
      <c r="I1483" s="12"/>
      <c r="J1483" s="13"/>
      <c r="K1483" s="13"/>
      <c r="L1483" s="12"/>
    </row>
    <row r="1484" spans="1:12" x14ac:dyDescent="0.25">
      <c r="A1484" s="5" t="s">
        <v>43</v>
      </c>
      <c r="B1484" s="12"/>
      <c r="C1484" s="5"/>
      <c r="D1484" s="4"/>
      <c r="E1484" s="13"/>
      <c r="F1484" s="10"/>
      <c r="G1484" s="13"/>
      <c r="H1484" s="13"/>
      <c r="I1484" s="12"/>
      <c r="J1484" s="13"/>
      <c r="K1484" s="13"/>
      <c r="L1484" s="12"/>
    </row>
    <row r="1485" spans="1:12" x14ac:dyDescent="0.25">
      <c r="A1485" s="5" t="s">
        <v>43</v>
      </c>
      <c r="B1485" s="12"/>
      <c r="C1485" s="5"/>
      <c r="D1485" s="4"/>
      <c r="E1485" s="13"/>
      <c r="F1485" s="10"/>
      <c r="G1485" s="13"/>
      <c r="H1485" s="13"/>
      <c r="I1485" s="12"/>
      <c r="J1485" s="13"/>
      <c r="K1485" s="13"/>
      <c r="L1485" s="12"/>
    </row>
    <row r="1486" spans="1:12" x14ac:dyDescent="0.25">
      <c r="A1486" s="5" t="s">
        <v>43</v>
      </c>
      <c r="B1486" s="12"/>
      <c r="C1486" s="5"/>
      <c r="D1486" s="4"/>
      <c r="E1486" s="13"/>
      <c r="F1486" s="10"/>
      <c r="G1486" s="13"/>
      <c r="H1486" s="13"/>
      <c r="I1486" s="12"/>
      <c r="J1486" s="13"/>
      <c r="K1486" s="13"/>
      <c r="L1486" s="12"/>
    </row>
    <row r="1487" spans="1:12" x14ac:dyDescent="0.25">
      <c r="A1487" s="5" t="s">
        <v>43</v>
      </c>
      <c r="B1487" s="12"/>
      <c r="C1487" s="5"/>
      <c r="D1487" s="4"/>
      <c r="E1487" s="13"/>
      <c r="F1487" s="10"/>
      <c r="G1487" s="13"/>
      <c r="H1487" s="13"/>
      <c r="I1487" s="12"/>
      <c r="J1487" s="13"/>
      <c r="K1487" s="13"/>
      <c r="L1487" s="12"/>
    </row>
    <row r="1488" spans="1:12" x14ac:dyDescent="0.25">
      <c r="A1488" s="5" t="s">
        <v>345</v>
      </c>
      <c r="B1488" s="12"/>
      <c r="C1488" s="5"/>
      <c r="D1488" s="4"/>
      <c r="E1488" s="13"/>
      <c r="F1488" s="10"/>
      <c r="G1488" s="13"/>
      <c r="H1488" s="13"/>
      <c r="I1488" s="12"/>
      <c r="J1488" s="13"/>
      <c r="K1488" s="13"/>
      <c r="L1488" s="12"/>
    </row>
    <row r="1489" spans="1:12" x14ac:dyDescent="0.25">
      <c r="A1489" s="5" t="s">
        <v>345</v>
      </c>
      <c r="B1489" s="12"/>
      <c r="C1489" s="5"/>
      <c r="D1489" s="4"/>
      <c r="E1489" s="13"/>
      <c r="F1489" s="10"/>
      <c r="G1489" s="13"/>
      <c r="H1489" s="13"/>
      <c r="I1489" s="12"/>
      <c r="J1489" s="13"/>
      <c r="K1489" s="13"/>
      <c r="L1489" s="12"/>
    </row>
    <row r="1490" spans="1:12" x14ac:dyDescent="0.25">
      <c r="A1490" s="5" t="s">
        <v>345</v>
      </c>
      <c r="B1490" s="12"/>
      <c r="C1490" s="5"/>
      <c r="D1490" s="4"/>
      <c r="E1490" s="13"/>
      <c r="F1490" s="10"/>
      <c r="G1490" s="13"/>
      <c r="H1490" s="13"/>
      <c r="I1490" s="12"/>
      <c r="J1490" s="13"/>
      <c r="K1490" s="13"/>
      <c r="L1490" s="12"/>
    </row>
    <row r="1491" spans="1:12" x14ac:dyDescent="0.25">
      <c r="A1491" s="5" t="s">
        <v>345</v>
      </c>
      <c r="B1491" s="12"/>
      <c r="C1491" s="5"/>
      <c r="D1491" s="4"/>
      <c r="E1491" s="13"/>
      <c r="F1491" s="10"/>
      <c r="G1491" s="13"/>
      <c r="H1491" s="13"/>
      <c r="I1491" s="12"/>
      <c r="J1491" s="13"/>
      <c r="K1491" s="13"/>
      <c r="L1491" s="12"/>
    </row>
    <row r="1492" spans="1:12" x14ac:dyDescent="0.25">
      <c r="A1492" s="5" t="s">
        <v>345</v>
      </c>
      <c r="B1492" s="12"/>
      <c r="C1492" s="5"/>
      <c r="D1492" s="4"/>
      <c r="E1492" s="13"/>
      <c r="F1492" s="10"/>
      <c r="G1492" s="13"/>
      <c r="H1492" s="13"/>
      <c r="I1492" s="12"/>
      <c r="J1492" s="13"/>
      <c r="K1492" s="13"/>
      <c r="L1492" s="12"/>
    </row>
    <row r="1493" spans="1:12" x14ac:dyDescent="0.25">
      <c r="A1493" s="5" t="s">
        <v>345</v>
      </c>
      <c r="B1493" s="12"/>
      <c r="C1493" s="5"/>
      <c r="D1493" s="4"/>
      <c r="E1493" s="13"/>
      <c r="F1493" s="10"/>
      <c r="G1493" s="13"/>
      <c r="H1493" s="13"/>
      <c r="I1493" s="12"/>
      <c r="J1493" s="13"/>
      <c r="K1493" s="13"/>
      <c r="L1493" s="12"/>
    </row>
    <row r="1494" spans="1:12" x14ac:dyDescent="0.25">
      <c r="A1494" s="5" t="s">
        <v>85</v>
      </c>
      <c r="B1494" s="12"/>
      <c r="C1494" s="5"/>
      <c r="D1494" s="4"/>
      <c r="E1494" s="13"/>
      <c r="F1494" s="10"/>
      <c r="G1494" s="13"/>
      <c r="H1494" s="13"/>
      <c r="I1494" s="12"/>
      <c r="J1494" s="13"/>
      <c r="K1494" s="13"/>
      <c r="L1494" s="12"/>
    </row>
    <row r="1495" spans="1:12" x14ac:dyDescent="0.25">
      <c r="A1495" s="5" t="s">
        <v>85</v>
      </c>
      <c r="B1495" s="12"/>
      <c r="C1495" s="5"/>
      <c r="D1495" s="4"/>
      <c r="E1495" s="13"/>
      <c r="F1495" s="10"/>
      <c r="G1495" s="13"/>
      <c r="H1495" s="13"/>
      <c r="I1495" s="12"/>
      <c r="J1495" s="13"/>
      <c r="K1495" s="13"/>
      <c r="L1495" s="12"/>
    </row>
    <row r="1496" spans="1:12" x14ac:dyDescent="0.25">
      <c r="A1496" s="5" t="s">
        <v>85</v>
      </c>
      <c r="B1496" s="12"/>
      <c r="C1496" s="5"/>
      <c r="D1496" s="4"/>
      <c r="E1496" s="13"/>
      <c r="F1496" s="10"/>
      <c r="G1496" s="13"/>
      <c r="H1496" s="13"/>
      <c r="I1496" s="12"/>
      <c r="J1496" s="13"/>
      <c r="K1496" s="13"/>
      <c r="L1496" s="12"/>
    </row>
    <row r="1497" spans="1:12" x14ac:dyDescent="0.25">
      <c r="A1497" s="5" t="s">
        <v>643</v>
      </c>
      <c r="B1497" s="12"/>
      <c r="C1497" s="5"/>
      <c r="D1497" s="4"/>
      <c r="E1497" s="13"/>
      <c r="F1497" s="10"/>
      <c r="G1497" s="13"/>
      <c r="H1497" s="13"/>
      <c r="I1497" s="12"/>
      <c r="J1497" s="13"/>
      <c r="K1497" s="13"/>
      <c r="L1497" s="12"/>
    </row>
    <row r="1498" spans="1:12" x14ac:dyDescent="0.25">
      <c r="A1498" s="5" t="s">
        <v>643</v>
      </c>
      <c r="B1498" s="12"/>
      <c r="C1498" s="5"/>
      <c r="D1498" s="4"/>
      <c r="E1498" s="13"/>
      <c r="F1498" s="10"/>
      <c r="G1498" s="13"/>
      <c r="H1498" s="13"/>
      <c r="I1498" s="12"/>
      <c r="J1498" s="13"/>
      <c r="K1498" s="13"/>
      <c r="L1498" s="12"/>
    </row>
    <row r="1499" spans="1:12" x14ac:dyDescent="0.25">
      <c r="A1499" s="5" t="s">
        <v>643</v>
      </c>
      <c r="B1499" s="12"/>
      <c r="C1499" s="5"/>
      <c r="D1499" s="4"/>
      <c r="E1499" s="13"/>
      <c r="F1499" s="10"/>
      <c r="G1499" s="13"/>
      <c r="H1499" s="13"/>
      <c r="I1499" s="12"/>
      <c r="J1499" s="13"/>
      <c r="K1499" s="13"/>
      <c r="L1499" s="12"/>
    </row>
    <row r="1500" spans="1:12" x14ac:dyDescent="0.25">
      <c r="A1500" s="5" t="s">
        <v>112</v>
      </c>
      <c r="B1500" s="12"/>
      <c r="C1500" s="5"/>
      <c r="D1500" s="4"/>
      <c r="E1500" s="13"/>
      <c r="F1500" s="10"/>
      <c r="G1500" s="13"/>
      <c r="H1500" s="13"/>
      <c r="I1500" s="12"/>
      <c r="J1500" s="13"/>
      <c r="K1500" s="13"/>
      <c r="L1500" s="12"/>
    </row>
    <row r="1501" spans="1:12" x14ac:dyDescent="0.25">
      <c r="A1501" s="5" t="s">
        <v>112</v>
      </c>
      <c r="B1501" s="12"/>
      <c r="C1501" s="5"/>
      <c r="D1501" s="4"/>
      <c r="E1501" s="13"/>
      <c r="F1501" s="10"/>
      <c r="G1501" s="13"/>
      <c r="H1501" s="13"/>
      <c r="I1501" s="12"/>
      <c r="J1501" s="13"/>
      <c r="K1501" s="13"/>
      <c r="L1501" s="12"/>
    </row>
    <row r="1502" spans="1:12" x14ac:dyDescent="0.25">
      <c r="A1502" s="5" t="s">
        <v>112</v>
      </c>
      <c r="B1502" s="12"/>
      <c r="C1502" s="5"/>
      <c r="D1502" s="4"/>
      <c r="E1502" s="13"/>
      <c r="F1502" s="10"/>
      <c r="G1502" s="13"/>
      <c r="H1502" s="13"/>
      <c r="I1502" s="12"/>
      <c r="J1502" s="13"/>
      <c r="K1502" s="13"/>
      <c r="L1502" s="12"/>
    </row>
    <row r="1503" spans="1:12" x14ac:dyDescent="0.25">
      <c r="A1503" s="5" t="s">
        <v>305</v>
      </c>
      <c r="B1503" s="12"/>
      <c r="C1503" s="5"/>
      <c r="D1503" s="4"/>
      <c r="E1503" s="13"/>
      <c r="F1503" s="10"/>
      <c r="G1503" s="13"/>
      <c r="H1503" s="13"/>
      <c r="I1503" s="12"/>
      <c r="J1503" s="13"/>
      <c r="K1503" s="13"/>
      <c r="L1503" s="12"/>
    </row>
    <row r="1504" spans="1:12" x14ac:dyDescent="0.25">
      <c r="A1504" s="5" t="s">
        <v>305</v>
      </c>
      <c r="B1504" s="12"/>
      <c r="C1504" s="5"/>
      <c r="D1504" s="4"/>
      <c r="E1504" s="13"/>
      <c r="F1504" s="10"/>
      <c r="G1504" s="13"/>
      <c r="H1504" s="13"/>
      <c r="I1504" s="12"/>
      <c r="J1504" s="13"/>
      <c r="K1504" s="13"/>
      <c r="L1504" s="12"/>
    </row>
    <row r="1505" spans="1:12" x14ac:dyDescent="0.25">
      <c r="A1505" s="5" t="s">
        <v>305</v>
      </c>
      <c r="B1505" s="12"/>
      <c r="C1505" s="5"/>
      <c r="D1505" s="4"/>
      <c r="E1505" s="13"/>
      <c r="F1505" s="10"/>
      <c r="G1505" s="13"/>
      <c r="H1505" s="13"/>
      <c r="I1505" s="12"/>
      <c r="J1505" s="13"/>
      <c r="K1505" s="13"/>
      <c r="L1505" s="12"/>
    </row>
    <row r="1506" spans="1:12" x14ac:dyDescent="0.25">
      <c r="A1506" s="5" t="s">
        <v>192</v>
      </c>
      <c r="B1506" s="12"/>
      <c r="C1506" s="5"/>
      <c r="D1506" s="4"/>
      <c r="E1506" s="13"/>
      <c r="F1506" s="10"/>
      <c r="G1506" s="13"/>
      <c r="H1506" s="13"/>
      <c r="I1506" s="12"/>
      <c r="J1506" s="13"/>
      <c r="K1506" s="13"/>
      <c r="L1506" s="12"/>
    </row>
    <row r="1507" spans="1:12" x14ac:dyDescent="0.25">
      <c r="A1507" s="5" t="s">
        <v>192</v>
      </c>
      <c r="B1507" s="12"/>
      <c r="C1507" s="5"/>
      <c r="D1507" s="4"/>
      <c r="E1507" s="13"/>
      <c r="F1507" s="10"/>
      <c r="G1507" s="13"/>
      <c r="H1507" s="13"/>
      <c r="I1507" s="12"/>
      <c r="J1507" s="13"/>
      <c r="K1507" s="13"/>
      <c r="L1507" s="12"/>
    </row>
    <row r="1508" spans="1:12" x14ac:dyDescent="0.25">
      <c r="A1508" s="5" t="s">
        <v>192</v>
      </c>
      <c r="B1508" s="12"/>
      <c r="C1508" s="5"/>
      <c r="D1508" s="4"/>
      <c r="E1508" s="13"/>
      <c r="F1508" s="10"/>
      <c r="G1508" s="13"/>
      <c r="H1508" s="13"/>
      <c r="I1508" s="12"/>
      <c r="J1508" s="13"/>
      <c r="K1508" s="13"/>
      <c r="L1508" s="12"/>
    </row>
    <row r="1509" spans="1:12" x14ac:dyDescent="0.25">
      <c r="A1509" s="5" t="s">
        <v>435</v>
      </c>
      <c r="B1509" s="12"/>
      <c r="C1509" s="5"/>
      <c r="D1509" s="4"/>
      <c r="E1509" s="13"/>
      <c r="F1509" s="10"/>
      <c r="G1509" s="13"/>
      <c r="H1509" s="13"/>
      <c r="I1509" s="12"/>
      <c r="J1509" s="13"/>
      <c r="K1509" s="13"/>
      <c r="L1509" s="12"/>
    </row>
    <row r="1510" spans="1:12" x14ac:dyDescent="0.25">
      <c r="A1510" s="5" t="s">
        <v>435</v>
      </c>
      <c r="B1510" s="12"/>
      <c r="C1510" s="5"/>
      <c r="D1510" s="4"/>
      <c r="E1510" s="13"/>
      <c r="F1510" s="10"/>
      <c r="G1510" s="13"/>
      <c r="H1510" s="13"/>
      <c r="I1510" s="12"/>
      <c r="J1510" s="13"/>
      <c r="K1510" s="13"/>
      <c r="L1510" s="12"/>
    </row>
    <row r="1511" spans="1:12" x14ac:dyDescent="0.25">
      <c r="A1511" s="5" t="s">
        <v>435</v>
      </c>
      <c r="B1511" s="12"/>
      <c r="C1511" s="5"/>
      <c r="D1511" s="4"/>
      <c r="E1511" s="13"/>
      <c r="F1511" s="10"/>
      <c r="G1511" s="13"/>
      <c r="H1511" s="13"/>
      <c r="I1511" s="12"/>
      <c r="J1511" s="13"/>
      <c r="K1511" s="13"/>
      <c r="L1511" s="12"/>
    </row>
    <row r="1512" spans="1:12" x14ac:dyDescent="0.25">
      <c r="A1512" s="5" t="s">
        <v>51</v>
      </c>
      <c r="B1512" s="12"/>
      <c r="C1512" s="5"/>
      <c r="D1512" s="4"/>
      <c r="E1512" s="13"/>
      <c r="F1512" s="10"/>
      <c r="G1512" s="13"/>
      <c r="H1512" s="13"/>
      <c r="I1512" s="12"/>
      <c r="J1512" s="13"/>
      <c r="K1512" s="13"/>
      <c r="L1512" s="12"/>
    </row>
    <row r="1513" spans="1:12" x14ac:dyDescent="0.25">
      <c r="A1513" s="5" t="s">
        <v>51</v>
      </c>
      <c r="B1513" s="12"/>
      <c r="C1513" s="5"/>
      <c r="D1513" s="4"/>
      <c r="E1513" s="13"/>
      <c r="F1513" s="10"/>
      <c r="G1513" s="13"/>
      <c r="H1513" s="13"/>
      <c r="I1513" s="12"/>
      <c r="J1513" s="13"/>
      <c r="K1513" s="13"/>
      <c r="L1513" s="12"/>
    </row>
    <row r="1514" spans="1:12" x14ac:dyDescent="0.25">
      <c r="A1514" s="5" t="s">
        <v>51</v>
      </c>
      <c r="B1514" s="12"/>
      <c r="C1514" s="5"/>
      <c r="D1514" s="4"/>
      <c r="E1514" s="13"/>
      <c r="F1514" s="10"/>
      <c r="G1514" s="13"/>
      <c r="H1514" s="13"/>
      <c r="I1514" s="12"/>
      <c r="J1514" s="13"/>
      <c r="K1514" s="13"/>
      <c r="L1514" s="12"/>
    </row>
    <row r="1515" spans="1:12" x14ac:dyDescent="0.25">
      <c r="A1515" s="5" t="s">
        <v>51</v>
      </c>
      <c r="B1515" s="12"/>
      <c r="C1515" s="5"/>
      <c r="D1515" s="4"/>
      <c r="E1515" s="13"/>
      <c r="F1515" s="10"/>
      <c r="G1515" s="13"/>
      <c r="H1515" s="13"/>
      <c r="I1515" s="12"/>
      <c r="J1515" s="13"/>
      <c r="K1515" s="13"/>
      <c r="L1515" s="12"/>
    </row>
    <row r="1516" spans="1:12" x14ac:dyDescent="0.25">
      <c r="A1516" s="5" t="s">
        <v>627</v>
      </c>
      <c r="B1516" s="12"/>
      <c r="C1516" s="5"/>
      <c r="D1516" s="4"/>
      <c r="E1516" s="13"/>
      <c r="F1516" s="10"/>
      <c r="G1516" s="13"/>
      <c r="H1516" s="13"/>
      <c r="I1516" s="12"/>
      <c r="J1516" s="13"/>
      <c r="K1516" s="13"/>
      <c r="L1516" s="12"/>
    </row>
    <row r="1517" spans="1:12" x14ac:dyDescent="0.25">
      <c r="A1517" s="5" t="s">
        <v>627</v>
      </c>
      <c r="B1517" s="12"/>
      <c r="C1517" s="5"/>
      <c r="D1517" s="4"/>
      <c r="E1517" s="13"/>
      <c r="F1517" s="10"/>
      <c r="G1517" s="13"/>
      <c r="H1517" s="13"/>
      <c r="I1517" s="12"/>
      <c r="J1517" s="13"/>
      <c r="K1517" s="13"/>
      <c r="L1517" s="12"/>
    </row>
    <row r="1518" spans="1:12" x14ac:dyDescent="0.25">
      <c r="A1518" s="5" t="s">
        <v>627</v>
      </c>
      <c r="B1518" s="12"/>
      <c r="C1518" s="5"/>
      <c r="D1518" s="4"/>
      <c r="E1518" s="13"/>
      <c r="F1518" s="10"/>
      <c r="G1518" s="13"/>
      <c r="H1518" s="13"/>
      <c r="I1518" s="12"/>
      <c r="J1518" s="13"/>
      <c r="K1518" s="13"/>
      <c r="L1518" s="12"/>
    </row>
    <row r="1519" spans="1:12" x14ac:dyDescent="0.25">
      <c r="A1519" s="5" t="s">
        <v>298</v>
      </c>
      <c r="B1519" s="12"/>
      <c r="C1519" s="5"/>
      <c r="D1519" s="4"/>
      <c r="E1519" s="13"/>
      <c r="F1519" s="10"/>
      <c r="G1519" s="13"/>
      <c r="H1519" s="13"/>
      <c r="I1519" s="12"/>
      <c r="J1519" s="13"/>
      <c r="K1519" s="13"/>
      <c r="L1519" s="12"/>
    </row>
    <row r="1520" spans="1:12" x14ac:dyDescent="0.25">
      <c r="A1520" s="5" t="s">
        <v>298</v>
      </c>
      <c r="B1520" s="12"/>
      <c r="C1520" s="5"/>
      <c r="D1520" s="4"/>
      <c r="E1520" s="13"/>
      <c r="F1520" s="10"/>
      <c r="G1520" s="13"/>
      <c r="H1520" s="13"/>
      <c r="I1520" s="12"/>
      <c r="J1520" s="13"/>
      <c r="K1520" s="13"/>
      <c r="L1520" s="12"/>
    </row>
    <row r="1521" spans="1:12" x14ac:dyDescent="0.25">
      <c r="A1521" s="5" t="s">
        <v>298</v>
      </c>
      <c r="B1521" s="12"/>
      <c r="C1521" s="5"/>
      <c r="D1521" s="4"/>
      <c r="E1521" s="13"/>
      <c r="F1521" s="10"/>
      <c r="G1521" s="13"/>
      <c r="H1521" s="13"/>
      <c r="I1521" s="12"/>
      <c r="J1521" s="13"/>
      <c r="K1521" s="13"/>
      <c r="L1521" s="12"/>
    </row>
    <row r="1522" spans="1:12" x14ac:dyDescent="0.25">
      <c r="A1522" s="5" t="s">
        <v>557</v>
      </c>
      <c r="B1522" s="12"/>
      <c r="C1522" s="5"/>
      <c r="D1522" s="4"/>
      <c r="E1522" s="13"/>
      <c r="F1522" s="10"/>
      <c r="G1522" s="13"/>
      <c r="H1522" s="13"/>
      <c r="I1522" s="12"/>
      <c r="J1522" s="13"/>
      <c r="K1522" s="13"/>
      <c r="L1522" s="12"/>
    </row>
    <row r="1523" spans="1:12" x14ac:dyDescent="0.25">
      <c r="A1523" s="5" t="s">
        <v>557</v>
      </c>
      <c r="B1523" s="12"/>
      <c r="C1523" s="5"/>
      <c r="D1523" s="4"/>
      <c r="E1523" s="13"/>
      <c r="F1523" s="10"/>
      <c r="G1523" s="13"/>
      <c r="H1523" s="13"/>
      <c r="I1523" s="12"/>
      <c r="J1523" s="13"/>
      <c r="K1523" s="13"/>
      <c r="L1523" s="12"/>
    </row>
    <row r="1524" spans="1:12" x14ac:dyDescent="0.25">
      <c r="A1524" s="5" t="s">
        <v>557</v>
      </c>
      <c r="B1524" s="12"/>
      <c r="C1524" s="5"/>
      <c r="D1524" s="4"/>
      <c r="E1524" s="13"/>
      <c r="F1524" s="10"/>
      <c r="G1524" s="13"/>
      <c r="H1524" s="13"/>
      <c r="I1524" s="12"/>
      <c r="J1524" s="13"/>
      <c r="K1524" s="13"/>
      <c r="L1524" s="12"/>
    </row>
    <row r="1525" spans="1:12" x14ac:dyDescent="0.25">
      <c r="A1525" s="5" t="s">
        <v>544</v>
      </c>
      <c r="B1525" s="12"/>
      <c r="C1525" s="5"/>
      <c r="D1525" s="4"/>
      <c r="E1525" s="13"/>
      <c r="F1525" s="10"/>
      <c r="G1525" s="13"/>
      <c r="H1525" s="13"/>
      <c r="I1525" s="12"/>
      <c r="J1525" s="13"/>
      <c r="K1525" s="13"/>
      <c r="L1525" s="12"/>
    </row>
    <row r="1526" spans="1:12" x14ac:dyDescent="0.25">
      <c r="A1526" s="5" t="s">
        <v>544</v>
      </c>
      <c r="B1526" s="12"/>
      <c r="C1526" s="5"/>
      <c r="D1526" s="4"/>
      <c r="E1526" s="13"/>
      <c r="F1526" s="10"/>
      <c r="G1526" s="13"/>
      <c r="H1526" s="13"/>
      <c r="I1526" s="12"/>
      <c r="J1526" s="13"/>
      <c r="K1526" s="13"/>
      <c r="L1526" s="12"/>
    </row>
    <row r="1527" spans="1:12" x14ac:dyDescent="0.25">
      <c r="A1527" s="5" t="s">
        <v>544</v>
      </c>
      <c r="B1527" s="12"/>
      <c r="C1527" s="5"/>
      <c r="D1527" s="4"/>
      <c r="E1527" s="13"/>
      <c r="F1527" s="10"/>
      <c r="G1527" s="13"/>
      <c r="H1527" s="13"/>
      <c r="I1527" s="12"/>
      <c r="J1527" s="13"/>
      <c r="K1527" s="13"/>
      <c r="L1527" s="12"/>
    </row>
    <row r="1528" spans="1:12" x14ac:dyDescent="0.25">
      <c r="A1528" s="5" t="s">
        <v>203</v>
      </c>
      <c r="B1528" s="12"/>
      <c r="C1528" s="5"/>
      <c r="D1528" s="4"/>
      <c r="E1528" s="13"/>
      <c r="F1528" s="10"/>
      <c r="G1528" s="13"/>
      <c r="H1528" s="13"/>
      <c r="I1528" s="12"/>
      <c r="J1528" s="13"/>
      <c r="K1528" s="13"/>
      <c r="L1528" s="12"/>
    </row>
    <row r="1529" spans="1:12" x14ac:dyDescent="0.25">
      <c r="A1529" s="5" t="s">
        <v>203</v>
      </c>
      <c r="B1529" s="12"/>
      <c r="C1529" s="5"/>
      <c r="D1529" s="4"/>
      <c r="E1529" s="13"/>
      <c r="F1529" s="10"/>
      <c r="G1529" s="13"/>
      <c r="H1529" s="13"/>
      <c r="I1529" s="12"/>
      <c r="J1529" s="13"/>
      <c r="K1529" s="13"/>
      <c r="L1529" s="12"/>
    </row>
    <row r="1530" spans="1:12" x14ac:dyDescent="0.25">
      <c r="A1530" s="5" t="s">
        <v>203</v>
      </c>
      <c r="B1530" s="12"/>
      <c r="C1530" s="5"/>
      <c r="D1530" s="4"/>
      <c r="E1530" s="13"/>
      <c r="F1530" s="10"/>
      <c r="G1530" s="13"/>
      <c r="H1530" s="13"/>
      <c r="I1530" s="12"/>
      <c r="J1530" s="13"/>
      <c r="K1530" s="13"/>
      <c r="L1530" s="12"/>
    </row>
    <row r="1531" spans="1:12" x14ac:dyDescent="0.25">
      <c r="A1531" s="5" t="s">
        <v>253</v>
      </c>
      <c r="B1531" s="12"/>
      <c r="C1531" s="5"/>
      <c r="D1531" s="4"/>
      <c r="E1531" s="13"/>
      <c r="F1531" s="10"/>
      <c r="G1531" s="13"/>
      <c r="H1531" s="13"/>
      <c r="I1531" s="12"/>
      <c r="J1531" s="13"/>
      <c r="K1531" s="13"/>
      <c r="L1531" s="12"/>
    </row>
    <row r="1532" spans="1:12" x14ac:dyDescent="0.25">
      <c r="A1532" s="5" t="s">
        <v>253</v>
      </c>
      <c r="B1532" s="12"/>
      <c r="C1532" s="5"/>
      <c r="D1532" s="4"/>
      <c r="E1532" s="13"/>
      <c r="F1532" s="10"/>
      <c r="G1532" s="13"/>
      <c r="H1532" s="13"/>
      <c r="I1532" s="12"/>
      <c r="J1532" s="13"/>
      <c r="K1532" s="13"/>
      <c r="L1532" s="12"/>
    </row>
    <row r="1533" spans="1:12" x14ac:dyDescent="0.25">
      <c r="A1533" s="5" t="s">
        <v>253</v>
      </c>
      <c r="B1533" s="12"/>
      <c r="C1533" s="5"/>
      <c r="D1533" s="4"/>
      <c r="E1533" s="13"/>
      <c r="F1533" s="10"/>
      <c r="G1533" s="13"/>
      <c r="H1533" s="13"/>
      <c r="I1533" s="12"/>
      <c r="J1533" s="13"/>
      <c r="K1533" s="13"/>
      <c r="L1533" s="12"/>
    </row>
    <row r="1534" spans="1:12" x14ac:dyDescent="0.25">
      <c r="A1534" s="5" t="s">
        <v>662</v>
      </c>
      <c r="B1534" s="12"/>
      <c r="C1534" s="5"/>
      <c r="D1534" s="4"/>
      <c r="E1534" s="13"/>
      <c r="F1534" s="10"/>
      <c r="G1534" s="13"/>
      <c r="H1534" s="13"/>
      <c r="I1534" s="12"/>
      <c r="J1534" s="13"/>
      <c r="K1534" s="13"/>
      <c r="L1534" s="12"/>
    </row>
    <row r="1535" spans="1:12" x14ac:dyDescent="0.25">
      <c r="A1535" s="5" t="s">
        <v>662</v>
      </c>
      <c r="B1535" s="12"/>
      <c r="C1535" s="5"/>
      <c r="D1535" s="4"/>
      <c r="E1535" s="13"/>
      <c r="F1535" s="10"/>
      <c r="G1535" s="13"/>
      <c r="H1535" s="13"/>
      <c r="I1535" s="12"/>
      <c r="J1535" s="13"/>
      <c r="K1535" s="13"/>
      <c r="L1535" s="12"/>
    </row>
    <row r="1536" spans="1:12" x14ac:dyDescent="0.25">
      <c r="A1536" s="5" t="s">
        <v>662</v>
      </c>
      <c r="B1536" s="12"/>
      <c r="C1536" s="5"/>
      <c r="D1536" s="4"/>
      <c r="E1536" s="13"/>
      <c r="F1536" s="10"/>
      <c r="G1536" s="13"/>
      <c r="H1536" s="13"/>
      <c r="I1536" s="12"/>
      <c r="J1536" s="13"/>
      <c r="K1536" s="13"/>
      <c r="L1536" s="12"/>
    </row>
    <row r="1537" spans="1:12" x14ac:dyDescent="0.25">
      <c r="A1537" s="5" t="s">
        <v>108</v>
      </c>
      <c r="B1537" s="12"/>
      <c r="C1537" s="5"/>
      <c r="D1537" s="4"/>
      <c r="E1537" s="13"/>
      <c r="F1537" s="10"/>
      <c r="G1537" s="13"/>
      <c r="H1537" s="13"/>
      <c r="I1537" s="12"/>
      <c r="J1537" s="13"/>
      <c r="K1537" s="13"/>
      <c r="L1537" s="12"/>
    </row>
    <row r="1538" spans="1:12" x14ac:dyDescent="0.25">
      <c r="A1538" s="5" t="s">
        <v>108</v>
      </c>
      <c r="B1538" s="12"/>
      <c r="C1538" s="5"/>
      <c r="D1538" s="4"/>
      <c r="E1538" s="13"/>
      <c r="F1538" s="10"/>
      <c r="G1538" s="13"/>
      <c r="H1538" s="13"/>
      <c r="I1538" s="12"/>
      <c r="J1538" s="13"/>
      <c r="K1538" s="13"/>
      <c r="L1538" s="12"/>
    </row>
    <row r="1539" spans="1:12" x14ac:dyDescent="0.25">
      <c r="A1539" s="5" t="s">
        <v>108</v>
      </c>
      <c r="B1539" s="12"/>
      <c r="C1539" s="5"/>
      <c r="D1539" s="4"/>
      <c r="E1539" s="13"/>
      <c r="F1539" s="10"/>
      <c r="G1539" s="13"/>
      <c r="H1539" s="13"/>
      <c r="I1539" s="12"/>
      <c r="J1539" s="13"/>
      <c r="K1539" s="13"/>
      <c r="L1539" s="12"/>
    </row>
    <row r="1540" spans="1:12" x14ac:dyDescent="0.25">
      <c r="A1540" s="5" t="s">
        <v>682</v>
      </c>
      <c r="B1540" s="12"/>
      <c r="C1540" s="5"/>
      <c r="D1540" s="4"/>
      <c r="E1540" s="13"/>
      <c r="F1540" s="10"/>
      <c r="G1540" s="13"/>
      <c r="H1540" s="13"/>
      <c r="I1540" s="12"/>
      <c r="J1540" s="13"/>
      <c r="K1540" s="13"/>
      <c r="L1540" s="12"/>
    </row>
    <row r="1541" spans="1:12" x14ac:dyDescent="0.25">
      <c r="A1541" s="5" t="s">
        <v>682</v>
      </c>
      <c r="B1541" s="12"/>
      <c r="C1541" s="5"/>
      <c r="D1541" s="4"/>
      <c r="E1541" s="13"/>
      <c r="F1541" s="10"/>
      <c r="G1541" s="13"/>
      <c r="H1541" s="13"/>
      <c r="I1541" s="12"/>
      <c r="J1541" s="13"/>
      <c r="K1541" s="13"/>
      <c r="L1541" s="12"/>
    </row>
    <row r="1542" spans="1:12" x14ac:dyDescent="0.25">
      <c r="A1542" s="5" t="s">
        <v>682</v>
      </c>
      <c r="B1542" s="12"/>
      <c r="C1542" s="5"/>
      <c r="D1542" s="4"/>
      <c r="E1542" s="13"/>
      <c r="F1542" s="10"/>
      <c r="G1542" s="13"/>
      <c r="H1542" s="13"/>
      <c r="I1542" s="12"/>
      <c r="J1542" s="13"/>
      <c r="K1542" s="13"/>
      <c r="L1542" s="12"/>
    </row>
    <row r="1543" spans="1:12" x14ac:dyDescent="0.25">
      <c r="A1543" s="5" t="s">
        <v>101</v>
      </c>
      <c r="B1543" s="12"/>
      <c r="C1543" s="5"/>
      <c r="D1543" s="4"/>
      <c r="E1543" s="13"/>
      <c r="F1543" s="10"/>
      <c r="G1543" s="13"/>
      <c r="H1543" s="13"/>
      <c r="I1543" s="12"/>
      <c r="J1543" s="13"/>
      <c r="K1543" s="13"/>
      <c r="L1543" s="12"/>
    </row>
    <row r="1544" spans="1:12" x14ac:dyDescent="0.25">
      <c r="A1544" s="5" t="s">
        <v>101</v>
      </c>
      <c r="B1544" s="12"/>
      <c r="C1544" s="5"/>
      <c r="D1544" s="4"/>
      <c r="E1544" s="13"/>
      <c r="F1544" s="10"/>
      <c r="G1544" s="13"/>
      <c r="H1544" s="13"/>
      <c r="I1544" s="12"/>
      <c r="J1544" s="13"/>
      <c r="K1544" s="13"/>
      <c r="L1544" s="12"/>
    </row>
    <row r="1545" spans="1:12" x14ac:dyDescent="0.25">
      <c r="A1545" s="5" t="s">
        <v>101</v>
      </c>
      <c r="B1545" s="12"/>
      <c r="C1545" s="5"/>
      <c r="D1545" s="4"/>
      <c r="E1545" s="13"/>
      <c r="F1545" s="10"/>
      <c r="G1545" s="13"/>
      <c r="H1545" s="13"/>
      <c r="I1545" s="12"/>
      <c r="J1545" s="13"/>
      <c r="K1545" s="13"/>
      <c r="L1545" s="12"/>
    </row>
    <row r="1546" spans="1:12" x14ac:dyDescent="0.25">
      <c r="A1546" s="5" t="s">
        <v>507</v>
      </c>
      <c r="B1546" s="12"/>
      <c r="C1546" s="5"/>
      <c r="D1546" s="4"/>
      <c r="E1546" s="13"/>
      <c r="F1546" s="10"/>
      <c r="G1546" s="13"/>
      <c r="H1546" s="13"/>
      <c r="I1546" s="12"/>
      <c r="J1546" s="13"/>
      <c r="K1546" s="13"/>
      <c r="L1546" s="12"/>
    </row>
    <row r="1547" spans="1:12" x14ac:dyDescent="0.25">
      <c r="A1547" s="5" t="s">
        <v>507</v>
      </c>
      <c r="B1547" s="12"/>
      <c r="C1547" s="5"/>
      <c r="D1547" s="4"/>
      <c r="E1547" s="13"/>
      <c r="F1547" s="10"/>
      <c r="G1547" s="13"/>
      <c r="H1547" s="13"/>
      <c r="I1547" s="12"/>
      <c r="J1547" s="13"/>
      <c r="K1547" s="13"/>
      <c r="L1547" s="12"/>
    </row>
    <row r="1548" spans="1:12" x14ac:dyDescent="0.25">
      <c r="A1548" s="5" t="s">
        <v>507</v>
      </c>
      <c r="B1548" s="12"/>
      <c r="C1548" s="5"/>
      <c r="D1548" s="4"/>
      <c r="E1548" s="13"/>
      <c r="F1548" s="10"/>
      <c r="G1548" s="13"/>
      <c r="H1548" s="13"/>
      <c r="I1548" s="12"/>
      <c r="J1548" s="13"/>
      <c r="K1548" s="13"/>
      <c r="L1548" s="12"/>
    </row>
    <row r="1549" spans="1:12" x14ac:dyDescent="0.25">
      <c r="A1549" s="5" t="s">
        <v>135</v>
      </c>
      <c r="B1549" s="12"/>
      <c r="C1549" s="5"/>
      <c r="D1549" s="4"/>
      <c r="E1549" s="13"/>
      <c r="F1549" s="10"/>
      <c r="G1549" s="13"/>
      <c r="H1549" s="13"/>
      <c r="I1549" s="12"/>
      <c r="J1549" s="13"/>
      <c r="K1549" s="13"/>
      <c r="L1549" s="12"/>
    </row>
    <row r="1550" spans="1:12" x14ac:dyDescent="0.25">
      <c r="A1550" s="5" t="s">
        <v>135</v>
      </c>
      <c r="B1550" s="12"/>
      <c r="C1550" s="5"/>
      <c r="D1550" s="4"/>
      <c r="E1550" s="13"/>
      <c r="F1550" s="10"/>
      <c r="G1550" s="13"/>
      <c r="H1550" s="13"/>
      <c r="I1550" s="12"/>
      <c r="J1550" s="13"/>
      <c r="K1550" s="13"/>
      <c r="L1550" s="12"/>
    </row>
    <row r="1551" spans="1:12" x14ac:dyDescent="0.25">
      <c r="A1551" s="5" t="s">
        <v>652</v>
      </c>
      <c r="B1551" s="12"/>
      <c r="C1551" s="5"/>
      <c r="D1551" s="4"/>
      <c r="E1551" s="13"/>
      <c r="F1551" s="10"/>
      <c r="G1551" s="13"/>
      <c r="H1551" s="13"/>
      <c r="I1551" s="12"/>
      <c r="J1551" s="13"/>
      <c r="K1551" s="13"/>
      <c r="L1551" s="12"/>
    </row>
    <row r="1552" spans="1:12" x14ac:dyDescent="0.25">
      <c r="A1552" s="5" t="s">
        <v>652</v>
      </c>
      <c r="B1552" s="12"/>
      <c r="C1552" s="5"/>
      <c r="D1552" s="4"/>
      <c r="E1552" s="13"/>
      <c r="F1552" s="10"/>
      <c r="G1552" s="13"/>
      <c r="H1552" s="13"/>
      <c r="I1552" s="12"/>
      <c r="J1552" s="13"/>
      <c r="K1552" s="13"/>
      <c r="L1552" s="12"/>
    </row>
    <row r="1553" spans="1:12" x14ac:dyDescent="0.25">
      <c r="A1553" s="5" t="s">
        <v>652</v>
      </c>
      <c r="B1553" s="12"/>
      <c r="C1553" s="5"/>
      <c r="D1553" s="4"/>
      <c r="E1553" s="13"/>
      <c r="F1553" s="10"/>
      <c r="G1553" s="13"/>
      <c r="H1553" s="13"/>
      <c r="I1553" s="12"/>
      <c r="J1553" s="13"/>
      <c r="K1553" s="13"/>
      <c r="L1553" s="12"/>
    </row>
    <row r="1554" spans="1:12" x14ac:dyDescent="0.25">
      <c r="A1554" s="5" t="s">
        <v>229</v>
      </c>
      <c r="B1554" s="12"/>
      <c r="C1554" s="5"/>
      <c r="D1554" s="4"/>
      <c r="E1554" s="13"/>
      <c r="F1554" s="10"/>
      <c r="G1554" s="13"/>
      <c r="H1554" s="13"/>
      <c r="I1554" s="12"/>
      <c r="J1554" s="13"/>
      <c r="K1554" s="13"/>
      <c r="L1554" s="12"/>
    </row>
    <row r="1555" spans="1:12" x14ac:dyDescent="0.25">
      <c r="A1555" s="5" t="s">
        <v>229</v>
      </c>
      <c r="B1555" s="12"/>
      <c r="C1555" s="5"/>
      <c r="D1555" s="4"/>
      <c r="E1555" s="13"/>
      <c r="F1555" s="10"/>
      <c r="G1555" s="13"/>
      <c r="H1555" s="13"/>
      <c r="I1555" s="12"/>
      <c r="J1555" s="13"/>
      <c r="K1555" s="13"/>
      <c r="L1555" s="12"/>
    </row>
    <row r="1556" spans="1:12" x14ac:dyDescent="0.25">
      <c r="A1556" s="5" t="s">
        <v>229</v>
      </c>
      <c r="B1556" s="12"/>
      <c r="C1556" s="5"/>
      <c r="D1556" s="4"/>
      <c r="E1556" s="13"/>
      <c r="F1556" s="10"/>
      <c r="G1556" s="13"/>
      <c r="H1556" s="13"/>
      <c r="I1556" s="12"/>
      <c r="J1556" s="13"/>
      <c r="K1556" s="13"/>
      <c r="L1556" s="12"/>
    </row>
    <row r="1557" spans="1:12" x14ac:dyDescent="0.25">
      <c r="A1557" s="5" t="s">
        <v>606</v>
      </c>
      <c r="B1557" s="12"/>
      <c r="C1557" s="5"/>
      <c r="D1557" s="4"/>
      <c r="E1557" s="13"/>
      <c r="F1557" s="10"/>
      <c r="G1557" s="13"/>
      <c r="H1557" s="13"/>
      <c r="I1557" s="12"/>
      <c r="J1557" s="13"/>
      <c r="K1557" s="13"/>
      <c r="L1557" s="12"/>
    </row>
    <row r="1558" spans="1:12" x14ac:dyDescent="0.25">
      <c r="A1558" s="5" t="s">
        <v>606</v>
      </c>
      <c r="B1558" s="12"/>
      <c r="C1558" s="5"/>
      <c r="D1558" s="4"/>
      <c r="E1558" s="13"/>
      <c r="F1558" s="10"/>
      <c r="G1558" s="13"/>
      <c r="H1558" s="13"/>
      <c r="I1558" s="12"/>
      <c r="J1558" s="13"/>
      <c r="K1558" s="13"/>
      <c r="L1558" s="12"/>
    </row>
    <row r="1559" spans="1:12" x14ac:dyDescent="0.25">
      <c r="A1559" s="5" t="s">
        <v>606</v>
      </c>
      <c r="B1559" s="12"/>
      <c r="C1559" s="5"/>
      <c r="D1559" s="4"/>
      <c r="E1559" s="13"/>
      <c r="F1559" s="10"/>
      <c r="G1559" s="13"/>
      <c r="H1559" s="13"/>
      <c r="I1559" s="12"/>
      <c r="J1559" s="13"/>
      <c r="K1559" s="13"/>
      <c r="L1559" s="12"/>
    </row>
    <row r="1560" spans="1:12" x14ac:dyDescent="0.25">
      <c r="A1560" s="5" t="s">
        <v>359</v>
      </c>
      <c r="B1560" s="12"/>
      <c r="C1560" s="5"/>
      <c r="D1560" s="4"/>
      <c r="E1560" s="13"/>
      <c r="F1560" s="10"/>
      <c r="G1560" s="13"/>
      <c r="H1560" s="13"/>
      <c r="I1560" s="12"/>
      <c r="J1560" s="13"/>
      <c r="K1560" s="13"/>
      <c r="L1560" s="12"/>
    </row>
    <row r="1561" spans="1:12" x14ac:dyDescent="0.25">
      <c r="A1561" s="5" t="s">
        <v>359</v>
      </c>
      <c r="B1561" s="12"/>
      <c r="C1561" s="5"/>
      <c r="D1561" s="4"/>
      <c r="E1561" s="13"/>
      <c r="F1561" s="10"/>
      <c r="G1561" s="13"/>
      <c r="H1561" s="13"/>
      <c r="I1561" s="12"/>
      <c r="J1561" s="13"/>
      <c r="K1561" s="13"/>
      <c r="L1561" s="12"/>
    </row>
    <row r="1562" spans="1:12" x14ac:dyDescent="0.25">
      <c r="A1562" s="5" t="s">
        <v>359</v>
      </c>
      <c r="B1562" s="12"/>
      <c r="C1562" s="5"/>
      <c r="D1562" s="4"/>
      <c r="E1562" s="13"/>
      <c r="F1562" s="10"/>
      <c r="G1562" s="13"/>
      <c r="H1562" s="13"/>
      <c r="I1562" s="12"/>
      <c r="J1562" s="13"/>
      <c r="K1562" s="13"/>
      <c r="L1562" s="12"/>
    </row>
    <row r="1563" spans="1:12" x14ac:dyDescent="0.25">
      <c r="A1563" s="5" t="s">
        <v>741</v>
      </c>
      <c r="B1563" s="12"/>
      <c r="C1563" s="5"/>
      <c r="D1563" s="4"/>
      <c r="E1563" s="13"/>
      <c r="F1563" s="10"/>
      <c r="G1563" s="13"/>
      <c r="H1563" s="13"/>
      <c r="I1563" s="12"/>
      <c r="J1563" s="13"/>
      <c r="K1563" s="13"/>
      <c r="L1563" s="12"/>
    </row>
    <row r="1564" spans="1:12" x14ac:dyDescent="0.25">
      <c r="A1564" s="5" t="s">
        <v>741</v>
      </c>
      <c r="B1564" s="12"/>
      <c r="C1564" s="5"/>
      <c r="D1564" s="4"/>
      <c r="E1564" s="13"/>
      <c r="F1564" s="10"/>
      <c r="G1564" s="13"/>
      <c r="H1564" s="13"/>
      <c r="I1564" s="12"/>
      <c r="J1564" s="13"/>
      <c r="K1564" s="13"/>
      <c r="L1564" s="12"/>
    </row>
    <row r="1565" spans="1:12" x14ac:dyDescent="0.25">
      <c r="A1565" s="5" t="s">
        <v>733</v>
      </c>
      <c r="B1565" s="12"/>
      <c r="C1565" s="5"/>
      <c r="D1565" s="4"/>
      <c r="E1565" s="13"/>
      <c r="F1565" s="10"/>
      <c r="G1565" s="13"/>
      <c r="H1565" s="13"/>
      <c r="I1565" s="12"/>
      <c r="J1565" s="13"/>
      <c r="K1565" s="13"/>
      <c r="L1565" s="12"/>
    </row>
    <row r="1566" spans="1:12" x14ac:dyDescent="0.25">
      <c r="A1566" s="5" t="s">
        <v>733</v>
      </c>
      <c r="B1566" s="12"/>
      <c r="C1566" s="5"/>
      <c r="D1566" s="4"/>
      <c r="E1566" s="13"/>
      <c r="F1566" s="10"/>
      <c r="G1566" s="13"/>
      <c r="H1566" s="13"/>
      <c r="I1566" s="12"/>
      <c r="J1566" s="13"/>
      <c r="K1566" s="13"/>
      <c r="L1566" s="12"/>
    </row>
    <row r="1567" spans="1:12" x14ac:dyDescent="0.25">
      <c r="A1567" s="5" t="s">
        <v>782</v>
      </c>
      <c r="B1567" s="12"/>
      <c r="C1567" s="5"/>
      <c r="D1567" s="4"/>
      <c r="E1567" s="13"/>
      <c r="F1567" s="10"/>
      <c r="G1567" s="13"/>
      <c r="H1567" s="13"/>
      <c r="I1567" s="12"/>
      <c r="J1567" s="13"/>
      <c r="K1567" s="13"/>
      <c r="L1567" s="12"/>
    </row>
    <row r="1568" spans="1:12" x14ac:dyDescent="0.25">
      <c r="A1568" s="5" t="s">
        <v>782</v>
      </c>
      <c r="B1568" s="12"/>
      <c r="C1568" s="5"/>
      <c r="D1568" s="4"/>
      <c r="E1568" s="13"/>
      <c r="F1568" s="10"/>
      <c r="G1568" s="13"/>
      <c r="H1568" s="13"/>
      <c r="I1568" s="12"/>
      <c r="J1568" s="13"/>
      <c r="K1568" s="13"/>
      <c r="L1568" s="12"/>
    </row>
    <row r="1569" spans="1:12" x14ac:dyDescent="0.25">
      <c r="A1569" s="5" t="s">
        <v>742</v>
      </c>
      <c r="B1569" s="12"/>
      <c r="C1569" s="5"/>
      <c r="D1569" s="4"/>
      <c r="E1569" s="13"/>
      <c r="F1569" s="10"/>
      <c r="G1569" s="13"/>
      <c r="H1569" s="13"/>
      <c r="I1569" s="12"/>
      <c r="J1569" s="13"/>
      <c r="K1569" s="13"/>
      <c r="L1569" s="12"/>
    </row>
    <row r="1570" spans="1:12" x14ac:dyDescent="0.25">
      <c r="A1570" s="5" t="s">
        <v>742</v>
      </c>
      <c r="B1570" s="12"/>
      <c r="C1570" s="5"/>
      <c r="D1570" s="4"/>
      <c r="E1570" s="13"/>
      <c r="F1570" s="10"/>
      <c r="G1570" s="13"/>
      <c r="H1570" s="13"/>
      <c r="I1570" s="12"/>
      <c r="J1570" s="13"/>
      <c r="K1570" s="13"/>
      <c r="L1570" s="12"/>
    </row>
    <row r="1571" spans="1:12" x14ac:dyDescent="0.25">
      <c r="A1571" s="5" t="s">
        <v>756</v>
      </c>
      <c r="B1571" s="12"/>
      <c r="C1571" s="5"/>
      <c r="D1571" s="4"/>
      <c r="E1571" s="13"/>
      <c r="F1571" s="10"/>
      <c r="G1571" s="13"/>
      <c r="H1571" s="13"/>
      <c r="I1571" s="12"/>
      <c r="J1571" s="13"/>
      <c r="K1571" s="13"/>
      <c r="L1571" s="12"/>
    </row>
    <row r="1572" spans="1:12" x14ac:dyDescent="0.25">
      <c r="A1572" s="5" t="s">
        <v>756</v>
      </c>
      <c r="B1572" s="12"/>
      <c r="C1572" s="5"/>
      <c r="D1572" s="4"/>
      <c r="E1572" s="13"/>
      <c r="F1572" s="10"/>
      <c r="G1572" s="13"/>
      <c r="H1572" s="13"/>
      <c r="I1572" s="12"/>
      <c r="J1572" s="13"/>
      <c r="K1572" s="13"/>
      <c r="L1572" s="12"/>
    </row>
    <row r="1573" spans="1:12" x14ac:dyDescent="0.25">
      <c r="A1573" s="5" t="s">
        <v>759</v>
      </c>
      <c r="B1573" s="12"/>
      <c r="C1573" s="5"/>
      <c r="D1573" s="4"/>
      <c r="E1573" s="13"/>
      <c r="F1573" s="10"/>
      <c r="G1573" s="13"/>
      <c r="H1573" s="13"/>
      <c r="I1573" s="12"/>
      <c r="J1573" s="13"/>
      <c r="K1573" s="13"/>
      <c r="L1573" s="12"/>
    </row>
    <row r="1574" spans="1:12" x14ac:dyDescent="0.25">
      <c r="A1574" s="5" t="s">
        <v>759</v>
      </c>
      <c r="B1574" s="12"/>
      <c r="C1574" s="5"/>
      <c r="D1574" s="4"/>
      <c r="E1574" s="13"/>
      <c r="F1574" s="10"/>
      <c r="G1574" s="13"/>
      <c r="H1574" s="13"/>
      <c r="I1574" s="12"/>
      <c r="J1574" s="13"/>
      <c r="K1574" s="13"/>
      <c r="L1574" s="12"/>
    </row>
    <row r="1575" spans="1:12" x14ac:dyDescent="0.25">
      <c r="A1575" s="5" t="s">
        <v>796</v>
      </c>
      <c r="B1575" s="12"/>
      <c r="C1575" s="5"/>
      <c r="D1575" s="4"/>
      <c r="E1575" s="13"/>
      <c r="F1575" s="10"/>
      <c r="G1575" s="13"/>
      <c r="H1575" s="13"/>
      <c r="I1575" s="12"/>
      <c r="J1575" s="13"/>
      <c r="K1575" s="13"/>
      <c r="L1575" s="12"/>
    </row>
    <row r="1576" spans="1:12" x14ac:dyDescent="0.25">
      <c r="A1576" s="5" t="s">
        <v>796</v>
      </c>
      <c r="B1576" s="12"/>
      <c r="C1576" s="5"/>
      <c r="D1576" s="4"/>
      <c r="E1576" s="13"/>
      <c r="F1576" s="10"/>
      <c r="G1576" s="13"/>
      <c r="H1576" s="13"/>
      <c r="I1576" s="12"/>
      <c r="J1576" s="13"/>
      <c r="K1576" s="13"/>
      <c r="L1576" s="12"/>
    </row>
    <row r="1577" spans="1:12" x14ac:dyDescent="0.25">
      <c r="A1577" s="5" t="s">
        <v>762</v>
      </c>
      <c r="B1577" s="12"/>
      <c r="C1577" s="5"/>
      <c r="D1577" s="4"/>
      <c r="E1577" s="13"/>
      <c r="F1577" s="10"/>
      <c r="G1577" s="13"/>
      <c r="H1577" s="13"/>
      <c r="I1577" s="12"/>
      <c r="J1577" s="13"/>
      <c r="K1577" s="13"/>
      <c r="L1577" s="12"/>
    </row>
    <row r="1578" spans="1:12" x14ac:dyDescent="0.25">
      <c r="A1578" s="5" t="s">
        <v>762</v>
      </c>
      <c r="B1578" s="12"/>
      <c r="C1578" s="5"/>
      <c r="D1578" s="4"/>
      <c r="E1578" s="13"/>
      <c r="F1578" s="10"/>
      <c r="G1578" s="13"/>
      <c r="H1578" s="13"/>
      <c r="I1578" s="12"/>
      <c r="J1578" s="13"/>
      <c r="K1578" s="13"/>
      <c r="L1578" s="12"/>
    </row>
    <row r="1579" spans="1:12" x14ac:dyDescent="0.25">
      <c r="A1579" s="5" t="s">
        <v>385</v>
      </c>
      <c r="B1579" s="12"/>
      <c r="C1579" s="5"/>
      <c r="D1579" s="4"/>
      <c r="E1579" s="13"/>
      <c r="F1579" s="10"/>
      <c r="G1579" s="13"/>
      <c r="H1579" s="13"/>
      <c r="I1579" s="12"/>
      <c r="J1579" s="13"/>
      <c r="K1579" s="13"/>
      <c r="L1579" s="12"/>
    </row>
    <row r="1580" spans="1:12" x14ac:dyDescent="0.25">
      <c r="A1580" s="5" t="s">
        <v>385</v>
      </c>
      <c r="B1580" s="12"/>
      <c r="C1580" s="5"/>
      <c r="D1580" s="4"/>
      <c r="E1580" s="13"/>
      <c r="F1580" s="10"/>
      <c r="G1580" s="13"/>
      <c r="H1580" s="13"/>
      <c r="I1580" s="12"/>
      <c r="J1580" s="13"/>
      <c r="K1580" s="13"/>
      <c r="L1580" s="12"/>
    </row>
    <row r="1581" spans="1:12" x14ac:dyDescent="0.25">
      <c r="A1581" s="5" t="s">
        <v>252</v>
      </c>
      <c r="B1581" s="12"/>
      <c r="C1581" s="5"/>
      <c r="D1581" s="4"/>
      <c r="E1581" s="13"/>
      <c r="F1581" s="10"/>
      <c r="G1581" s="13"/>
      <c r="H1581" s="13"/>
      <c r="I1581" s="12"/>
      <c r="J1581" s="13"/>
      <c r="K1581" s="13"/>
      <c r="L1581" s="12"/>
    </row>
    <row r="1582" spans="1:12" x14ac:dyDescent="0.25">
      <c r="A1582" s="5" t="s">
        <v>252</v>
      </c>
      <c r="B1582" s="12"/>
      <c r="C1582" s="5"/>
      <c r="D1582" s="4"/>
      <c r="E1582" s="13"/>
      <c r="F1582" s="10"/>
      <c r="G1582" s="13"/>
      <c r="H1582" s="13"/>
      <c r="I1582" s="12"/>
      <c r="J1582" s="13"/>
      <c r="K1582" s="13"/>
      <c r="L1582" s="12"/>
    </row>
    <row r="1583" spans="1:12" x14ac:dyDescent="0.25">
      <c r="A1583" s="5" t="s">
        <v>235</v>
      </c>
      <c r="B1583" s="12"/>
      <c r="C1583" s="5"/>
      <c r="D1583" s="4"/>
      <c r="E1583" s="13"/>
      <c r="F1583" s="10"/>
      <c r="G1583" s="13"/>
      <c r="H1583" s="13"/>
      <c r="I1583" s="12"/>
      <c r="J1583" s="13"/>
      <c r="K1583" s="13"/>
      <c r="L1583" s="12"/>
    </row>
    <row r="1584" spans="1:12" x14ac:dyDescent="0.25">
      <c r="A1584" s="5" t="s">
        <v>235</v>
      </c>
      <c r="B1584" s="12"/>
      <c r="C1584" s="5"/>
      <c r="D1584" s="4"/>
      <c r="E1584" s="13"/>
      <c r="F1584" s="10"/>
      <c r="G1584" s="13"/>
      <c r="H1584" s="13"/>
      <c r="I1584" s="12"/>
      <c r="J1584" s="13"/>
      <c r="K1584" s="13"/>
      <c r="L1584" s="12"/>
    </row>
    <row r="1585" spans="1:12" x14ac:dyDescent="0.25">
      <c r="A1585" s="5" t="s">
        <v>499</v>
      </c>
      <c r="B1585" s="12"/>
      <c r="C1585" s="5"/>
      <c r="D1585" s="4"/>
      <c r="E1585" s="13"/>
      <c r="F1585" s="10"/>
      <c r="G1585" s="13"/>
      <c r="H1585" s="13"/>
      <c r="I1585" s="12"/>
      <c r="J1585" s="13"/>
      <c r="K1585" s="13"/>
      <c r="L1585" s="12"/>
    </row>
    <row r="1586" spans="1:12" x14ac:dyDescent="0.25">
      <c r="A1586" s="5" t="s">
        <v>499</v>
      </c>
      <c r="B1586" s="12"/>
      <c r="C1586" s="5"/>
      <c r="D1586" s="4"/>
      <c r="E1586" s="13"/>
      <c r="F1586" s="10"/>
      <c r="G1586" s="13"/>
      <c r="H1586" s="13"/>
      <c r="I1586" s="12"/>
      <c r="J1586" s="13"/>
      <c r="K1586" s="13"/>
      <c r="L1586" s="12"/>
    </row>
    <row r="1587" spans="1:12" x14ac:dyDescent="0.25">
      <c r="A1587" s="5" t="s">
        <v>423</v>
      </c>
      <c r="B1587" s="12"/>
      <c r="C1587" s="5"/>
      <c r="D1587" s="4"/>
      <c r="E1587" s="13"/>
      <c r="F1587" s="10"/>
      <c r="G1587" s="13"/>
      <c r="H1587" s="13"/>
      <c r="I1587" s="12"/>
      <c r="J1587" s="13"/>
      <c r="K1587" s="13"/>
      <c r="L1587" s="12"/>
    </row>
    <row r="1588" spans="1:12" x14ac:dyDescent="0.25">
      <c r="A1588" s="5" t="s">
        <v>423</v>
      </c>
      <c r="B1588" s="12"/>
      <c r="C1588" s="5"/>
      <c r="D1588" s="4"/>
      <c r="E1588" s="13"/>
      <c r="F1588" s="10"/>
      <c r="G1588" s="13"/>
      <c r="H1588" s="13"/>
      <c r="I1588" s="12"/>
      <c r="J1588" s="13"/>
      <c r="K1588" s="13"/>
      <c r="L1588" s="12"/>
    </row>
    <row r="1589" spans="1:12" x14ac:dyDescent="0.25">
      <c r="A1589" s="5" t="s">
        <v>37</v>
      </c>
      <c r="B1589" s="12"/>
      <c r="C1589" s="5"/>
      <c r="D1589" s="4"/>
      <c r="E1589" s="13"/>
      <c r="F1589" s="10"/>
      <c r="G1589" s="13"/>
      <c r="H1589" s="13"/>
      <c r="I1589" s="12"/>
      <c r="J1589" s="13"/>
      <c r="K1589" s="13"/>
      <c r="L1589" s="12"/>
    </row>
    <row r="1590" spans="1:12" x14ac:dyDescent="0.25">
      <c r="A1590" s="5" t="s">
        <v>37</v>
      </c>
      <c r="B1590" s="12"/>
      <c r="C1590" s="5"/>
      <c r="D1590" s="4"/>
      <c r="E1590" s="13"/>
      <c r="F1590" s="10"/>
      <c r="G1590" s="13"/>
      <c r="H1590" s="13"/>
      <c r="I1590" s="12"/>
      <c r="J1590" s="13"/>
      <c r="K1590" s="13"/>
      <c r="L1590" s="12"/>
    </row>
    <row r="1591" spans="1:12" x14ac:dyDescent="0.25">
      <c r="A1591" s="5" t="s">
        <v>439</v>
      </c>
      <c r="B1591" s="12"/>
      <c r="C1591" s="5"/>
      <c r="D1591" s="4"/>
      <c r="E1591" s="13"/>
      <c r="F1591" s="10"/>
      <c r="G1591" s="13"/>
      <c r="H1591" s="13"/>
      <c r="I1591" s="12"/>
      <c r="J1591" s="13"/>
      <c r="K1591" s="13"/>
      <c r="L1591" s="12"/>
    </row>
    <row r="1592" spans="1:12" x14ac:dyDescent="0.25">
      <c r="A1592" s="5" t="s">
        <v>439</v>
      </c>
      <c r="B1592" s="12"/>
      <c r="C1592" s="5"/>
      <c r="D1592" s="4"/>
      <c r="E1592" s="13"/>
      <c r="F1592" s="10"/>
      <c r="G1592" s="13"/>
      <c r="H1592" s="13"/>
      <c r="I1592" s="12"/>
      <c r="J1592" s="13"/>
      <c r="K1592" s="13"/>
      <c r="L1592" s="12"/>
    </row>
    <row r="1593" spans="1:12" x14ac:dyDescent="0.25">
      <c r="A1593" s="5" t="s">
        <v>288</v>
      </c>
      <c r="B1593" s="12"/>
      <c r="C1593" s="5"/>
      <c r="D1593" s="4"/>
      <c r="E1593" s="13"/>
      <c r="F1593" s="10"/>
      <c r="G1593" s="13"/>
      <c r="H1593" s="13"/>
      <c r="I1593" s="12"/>
      <c r="J1593" s="13"/>
      <c r="K1593" s="13"/>
      <c r="L1593" s="12"/>
    </row>
    <row r="1594" spans="1:12" x14ac:dyDescent="0.25">
      <c r="A1594" s="5" t="s">
        <v>288</v>
      </c>
      <c r="B1594" s="12"/>
      <c r="C1594" s="5"/>
      <c r="D1594" s="4"/>
      <c r="E1594" s="13"/>
      <c r="F1594" s="10"/>
      <c r="G1594" s="13"/>
      <c r="H1594" s="13"/>
      <c r="I1594" s="12"/>
      <c r="J1594" s="13"/>
      <c r="K1594" s="13"/>
      <c r="L1594" s="12"/>
    </row>
    <row r="1595" spans="1:12" x14ac:dyDescent="0.25">
      <c r="A1595" s="5" t="s">
        <v>479</v>
      </c>
      <c r="B1595" s="12"/>
      <c r="C1595" s="5"/>
      <c r="D1595" s="4"/>
      <c r="E1595" s="13"/>
      <c r="F1595" s="10"/>
      <c r="G1595" s="13"/>
      <c r="H1595" s="13"/>
      <c r="I1595" s="12"/>
      <c r="J1595" s="13"/>
      <c r="K1595" s="13"/>
      <c r="L1595" s="12"/>
    </row>
    <row r="1596" spans="1:12" x14ac:dyDescent="0.25">
      <c r="A1596" s="5" t="s">
        <v>83</v>
      </c>
      <c r="B1596" s="12"/>
      <c r="C1596" s="5"/>
      <c r="D1596" s="4"/>
      <c r="E1596" s="13"/>
      <c r="F1596" s="10"/>
      <c r="G1596" s="13"/>
      <c r="H1596" s="13"/>
      <c r="I1596" s="12"/>
      <c r="J1596" s="13"/>
      <c r="K1596" s="13"/>
      <c r="L1596" s="12"/>
    </row>
    <row r="1597" spans="1:12" x14ac:dyDescent="0.25">
      <c r="A1597" s="5" t="s">
        <v>155</v>
      </c>
      <c r="B1597" s="12"/>
      <c r="C1597" s="5"/>
      <c r="D1597" s="4"/>
      <c r="E1597" s="13"/>
      <c r="F1597" s="10"/>
      <c r="G1597" s="13"/>
      <c r="H1597" s="13"/>
      <c r="I1597" s="12"/>
      <c r="J1597" s="13"/>
      <c r="K1597" s="13"/>
      <c r="L1597" s="12"/>
    </row>
    <row r="1598" spans="1:12" x14ac:dyDescent="0.25">
      <c r="A1598" s="5" t="s">
        <v>395</v>
      </c>
      <c r="B1598" s="12"/>
      <c r="C1598" s="5"/>
      <c r="D1598" s="4"/>
      <c r="E1598" s="13"/>
      <c r="F1598" s="10"/>
      <c r="G1598" s="13"/>
      <c r="H1598" s="13"/>
      <c r="I1598" s="12"/>
      <c r="J1598" s="13"/>
      <c r="K1598" s="13"/>
      <c r="L1598" s="12"/>
    </row>
    <row r="1599" spans="1:12" x14ac:dyDescent="0.25">
      <c r="A1599" s="5" t="s">
        <v>341</v>
      </c>
      <c r="B1599" s="12"/>
      <c r="C1599" s="5"/>
      <c r="D1599" s="4"/>
      <c r="E1599" s="13"/>
      <c r="F1599" s="10"/>
      <c r="G1599" s="13"/>
      <c r="H1599" s="13"/>
      <c r="I1599" s="12"/>
      <c r="J1599" s="13"/>
      <c r="K1599" s="13"/>
      <c r="L1599" s="12"/>
    </row>
    <row r="1600" spans="1:12" x14ac:dyDescent="0.25">
      <c r="A1600" s="5" t="s">
        <v>657</v>
      </c>
      <c r="B1600" s="12"/>
      <c r="C1600" s="5"/>
      <c r="D1600" s="4"/>
      <c r="E1600" s="13"/>
      <c r="F1600" s="10"/>
      <c r="G1600" s="13"/>
      <c r="H1600" s="13"/>
      <c r="I1600" s="12"/>
      <c r="J1600" s="13"/>
      <c r="K1600" s="13"/>
      <c r="L1600" s="12"/>
    </row>
    <row r="1601" spans="1:12" x14ac:dyDescent="0.25">
      <c r="A1601" s="5" t="s">
        <v>70</v>
      </c>
      <c r="B1601" s="12"/>
      <c r="C1601" s="5"/>
      <c r="D1601" s="4"/>
      <c r="E1601" s="13"/>
      <c r="F1601" s="10"/>
      <c r="G1601" s="13"/>
      <c r="H1601" s="13"/>
      <c r="I1601" s="12"/>
      <c r="J1601" s="13"/>
      <c r="K1601" s="13"/>
      <c r="L1601" s="12"/>
    </row>
    <row r="1602" spans="1:12" x14ac:dyDescent="0.25">
      <c r="A1602" s="5" t="s">
        <v>448</v>
      </c>
      <c r="B1602" s="12"/>
      <c r="C1602" s="5"/>
      <c r="D1602" s="4"/>
      <c r="E1602" s="13"/>
      <c r="F1602" s="10"/>
      <c r="G1602" s="13"/>
      <c r="H1602" s="13"/>
      <c r="I1602" s="12"/>
      <c r="J1602" s="13"/>
      <c r="K1602" s="13"/>
      <c r="L1602" s="12"/>
    </row>
    <row r="1603" spans="1:12" x14ac:dyDescent="0.25">
      <c r="A1603" s="5" t="s">
        <v>650</v>
      </c>
      <c r="B1603" s="12"/>
      <c r="C1603" s="5"/>
      <c r="D1603" s="4"/>
      <c r="E1603" s="13"/>
      <c r="F1603" s="10"/>
      <c r="G1603" s="13"/>
      <c r="H1603" s="13"/>
      <c r="I1603" s="12"/>
      <c r="J1603" s="13"/>
      <c r="K1603" s="13"/>
      <c r="L1603" s="12"/>
    </row>
    <row r="1604" spans="1:12" x14ac:dyDescent="0.25">
      <c r="A1604" s="5" t="s">
        <v>650</v>
      </c>
      <c r="B1604" s="12"/>
      <c r="C1604" s="5"/>
      <c r="D1604" s="4"/>
      <c r="E1604" s="13"/>
      <c r="F1604" s="10"/>
      <c r="G1604" s="13"/>
      <c r="H1604" s="13"/>
      <c r="I1604" s="12"/>
      <c r="J1604" s="13"/>
      <c r="K1604" s="13"/>
      <c r="L1604" s="12"/>
    </row>
    <row r="1605" spans="1:12" x14ac:dyDescent="0.25">
      <c r="A1605" s="5" t="s">
        <v>650</v>
      </c>
      <c r="B1605" s="12"/>
      <c r="C1605" s="5"/>
      <c r="D1605" s="4"/>
      <c r="E1605" s="13"/>
      <c r="F1605" s="10"/>
      <c r="G1605" s="13"/>
      <c r="H1605" s="13"/>
      <c r="I1605" s="12"/>
      <c r="J1605" s="13"/>
      <c r="K1605" s="13"/>
      <c r="L1605" s="12"/>
    </row>
    <row r="1606" spans="1:12" x14ac:dyDescent="0.25">
      <c r="A1606" s="5" t="s">
        <v>501</v>
      </c>
      <c r="B1606" s="12"/>
      <c r="C1606" s="5"/>
      <c r="D1606" s="4"/>
      <c r="E1606" s="13"/>
      <c r="F1606" s="10"/>
      <c r="G1606" s="13"/>
      <c r="H1606" s="13"/>
      <c r="I1606" s="12"/>
      <c r="J1606" s="13"/>
      <c r="K1606" s="13"/>
      <c r="L1606" s="12"/>
    </row>
    <row r="1607" spans="1:12" x14ac:dyDescent="0.25">
      <c r="A1607" s="5" t="s">
        <v>501</v>
      </c>
      <c r="B1607" s="12"/>
      <c r="C1607" s="5"/>
      <c r="D1607" s="4"/>
      <c r="E1607" s="13"/>
      <c r="F1607" s="10"/>
      <c r="G1607" s="13"/>
      <c r="H1607" s="13"/>
      <c r="I1607" s="12"/>
      <c r="J1607" s="13"/>
      <c r="K1607" s="13"/>
      <c r="L1607" s="12"/>
    </row>
    <row r="1608" spans="1:12" x14ac:dyDescent="0.25">
      <c r="A1608" s="5" t="s">
        <v>501</v>
      </c>
      <c r="B1608" s="12"/>
      <c r="C1608" s="5"/>
      <c r="D1608" s="4"/>
      <c r="E1608" s="13"/>
      <c r="F1608" s="10"/>
      <c r="G1608" s="13"/>
      <c r="H1608" s="13"/>
      <c r="I1608" s="12"/>
      <c r="J1608" s="13"/>
      <c r="K1608" s="13"/>
      <c r="L1608" s="12"/>
    </row>
    <row r="1609" spans="1:12" x14ac:dyDescent="0.25">
      <c r="A1609" s="5" t="s">
        <v>420</v>
      </c>
      <c r="B1609" s="12"/>
      <c r="C1609" s="5"/>
      <c r="D1609" s="4"/>
      <c r="E1609" s="13"/>
      <c r="F1609" s="10"/>
      <c r="G1609" s="13"/>
      <c r="H1609" s="13"/>
      <c r="I1609" s="12"/>
      <c r="J1609" s="13"/>
      <c r="K1609" s="13"/>
      <c r="L1609" s="12"/>
    </row>
    <row r="1610" spans="1:12" x14ac:dyDescent="0.25">
      <c r="A1610" s="5" t="s">
        <v>420</v>
      </c>
      <c r="B1610" s="12"/>
      <c r="C1610" s="5"/>
      <c r="D1610" s="4"/>
      <c r="E1610" s="13"/>
      <c r="F1610" s="10"/>
      <c r="G1610" s="13"/>
      <c r="H1610" s="13"/>
      <c r="I1610" s="12"/>
      <c r="J1610" s="13"/>
      <c r="K1610" s="13"/>
      <c r="L1610" s="12"/>
    </row>
    <row r="1611" spans="1:12" x14ac:dyDescent="0.25">
      <c r="A1611" s="5" t="s">
        <v>420</v>
      </c>
      <c r="B1611" s="12"/>
      <c r="C1611" s="5"/>
      <c r="D1611" s="4"/>
      <c r="E1611" s="13"/>
      <c r="F1611" s="10"/>
      <c r="G1611" s="13"/>
      <c r="H1611" s="13"/>
      <c r="I1611" s="12"/>
      <c r="J1611" s="13"/>
      <c r="K1611" s="13"/>
      <c r="L1611" s="12"/>
    </row>
    <row r="1612" spans="1:12" x14ac:dyDescent="0.25">
      <c r="A1612" s="5" t="s">
        <v>452</v>
      </c>
      <c r="B1612" s="12"/>
      <c r="C1612" s="5"/>
      <c r="D1612" s="4"/>
      <c r="E1612" s="13"/>
      <c r="F1612" s="10"/>
      <c r="G1612" s="13"/>
      <c r="H1612" s="13"/>
      <c r="I1612" s="12"/>
      <c r="J1612" s="13"/>
      <c r="K1612" s="13"/>
      <c r="L1612" s="12"/>
    </row>
    <row r="1613" spans="1:12" x14ac:dyDescent="0.25">
      <c r="A1613" s="5" t="s">
        <v>452</v>
      </c>
      <c r="B1613" s="12"/>
      <c r="C1613" s="5"/>
      <c r="D1613" s="4"/>
      <c r="E1613" s="13"/>
      <c r="F1613" s="10"/>
      <c r="G1613" s="13"/>
      <c r="H1613" s="13"/>
      <c r="I1613" s="12"/>
      <c r="J1613" s="13"/>
      <c r="K1613" s="13"/>
      <c r="L1613" s="12"/>
    </row>
    <row r="1614" spans="1:12" x14ac:dyDescent="0.25">
      <c r="A1614" s="5" t="s">
        <v>452</v>
      </c>
      <c r="B1614" s="12"/>
      <c r="C1614" s="5"/>
      <c r="D1614" s="4"/>
      <c r="E1614" s="13"/>
      <c r="F1614" s="10"/>
      <c r="G1614" s="13"/>
      <c r="H1614" s="13"/>
      <c r="I1614" s="12"/>
      <c r="J1614" s="13"/>
      <c r="K1614" s="13"/>
      <c r="L1614" s="12"/>
    </row>
    <row r="1615" spans="1:12" x14ac:dyDescent="0.25">
      <c r="A1615" s="5" t="s">
        <v>54</v>
      </c>
      <c r="B1615" s="12"/>
      <c r="C1615" s="5"/>
      <c r="D1615" s="4"/>
      <c r="E1615" s="13"/>
      <c r="F1615" s="10"/>
      <c r="G1615" s="13"/>
      <c r="H1615" s="13"/>
      <c r="I1615" s="12"/>
      <c r="J1615" s="13"/>
      <c r="K1615" s="13"/>
      <c r="L1615" s="12"/>
    </row>
    <row r="1616" spans="1:12" x14ac:dyDescent="0.25">
      <c r="A1616" s="5" t="s">
        <v>54</v>
      </c>
      <c r="B1616" s="12"/>
      <c r="C1616" s="5"/>
      <c r="D1616" s="4"/>
      <c r="E1616" s="13"/>
      <c r="F1616" s="10"/>
      <c r="G1616" s="13"/>
      <c r="H1616" s="13"/>
      <c r="I1616" s="12"/>
      <c r="J1616" s="13"/>
      <c r="K1616" s="13"/>
      <c r="L1616" s="12"/>
    </row>
    <row r="1617" spans="1:12" x14ac:dyDescent="0.25">
      <c r="A1617" s="5" t="s">
        <v>54</v>
      </c>
      <c r="B1617" s="12"/>
      <c r="C1617" s="5"/>
      <c r="D1617" s="4"/>
      <c r="E1617" s="13"/>
      <c r="F1617" s="10"/>
      <c r="G1617" s="13"/>
      <c r="H1617" s="13"/>
      <c r="I1617" s="12"/>
      <c r="J1617" s="13"/>
      <c r="K1617" s="13"/>
      <c r="L1617" s="12"/>
    </row>
    <row r="1618" spans="1:12" x14ac:dyDescent="0.25">
      <c r="A1618" s="5" t="s">
        <v>277</v>
      </c>
      <c r="B1618" s="12"/>
      <c r="C1618" s="5"/>
      <c r="D1618" s="4"/>
      <c r="E1618" s="13"/>
      <c r="F1618" s="10"/>
      <c r="G1618" s="13"/>
      <c r="H1618" s="13"/>
      <c r="I1618" s="12"/>
      <c r="J1618" s="13"/>
      <c r="K1618" s="13"/>
      <c r="L1618" s="12"/>
    </row>
    <row r="1619" spans="1:12" x14ac:dyDescent="0.25">
      <c r="A1619" s="5" t="s">
        <v>277</v>
      </c>
      <c r="B1619" s="12"/>
      <c r="C1619" s="5"/>
      <c r="D1619" s="4"/>
      <c r="E1619" s="13"/>
      <c r="F1619" s="10"/>
      <c r="G1619" s="13"/>
      <c r="H1619" s="13"/>
      <c r="I1619" s="12"/>
      <c r="J1619" s="13"/>
      <c r="K1619" s="13"/>
      <c r="L1619" s="12"/>
    </row>
    <row r="1620" spans="1:12" x14ac:dyDescent="0.25">
      <c r="A1620" s="5" t="s">
        <v>277</v>
      </c>
      <c r="B1620" s="12"/>
      <c r="C1620" s="5"/>
      <c r="D1620" s="4"/>
      <c r="E1620" s="13"/>
      <c r="F1620" s="10"/>
      <c r="G1620" s="13"/>
      <c r="H1620" s="13"/>
      <c r="I1620" s="12"/>
      <c r="J1620" s="13"/>
      <c r="K1620" s="13"/>
      <c r="L1620" s="12"/>
    </row>
    <row r="1621" spans="1:12" x14ac:dyDescent="0.25">
      <c r="A1621" s="5" t="s">
        <v>159</v>
      </c>
      <c r="B1621" s="12"/>
      <c r="C1621" s="5"/>
      <c r="D1621" s="4"/>
      <c r="E1621" s="13"/>
      <c r="F1621" s="10"/>
      <c r="G1621" s="13"/>
      <c r="H1621" s="13"/>
      <c r="I1621" s="12"/>
      <c r="J1621" s="13"/>
      <c r="K1621" s="13"/>
      <c r="L1621" s="12"/>
    </row>
    <row r="1622" spans="1:12" x14ac:dyDescent="0.25">
      <c r="A1622" s="5" t="s">
        <v>159</v>
      </c>
      <c r="B1622" s="12"/>
      <c r="C1622" s="5"/>
      <c r="D1622" s="4"/>
      <c r="E1622" s="13"/>
      <c r="F1622" s="10"/>
      <c r="G1622" s="13"/>
      <c r="H1622" s="13"/>
      <c r="I1622" s="12"/>
      <c r="J1622" s="13"/>
      <c r="K1622" s="13"/>
      <c r="L1622" s="12"/>
    </row>
    <row r="1623" spans="1:12" x14ac:dyDescent="0.25">
      <c r="A1623" s="5" t="s">
        <v>159</v>
      </c>
      <c r="B1623" s="12"/>
      <c r="C1623" s="5"/>
      <c r="D1623" s="4"/>
      <c r="E1623" s="13"/>
      <c r="F1623" s="10"/>
      <c r="G1623" s="13"/>
      <c r="H1623" s="13"/>
      <c r="I1623" s="12"/>
      <c r="J1623" s="13"/>
      <c r="K1623" s="13"/>
      <c r="L1623" s="12"/>
    </row>
    <row r="1624" spans="1:12" x14ac:dyDescent="0.25">
      <c r="A1624" s="5" t="s">
        <v>373</v>
      </c>
      <c r="B1624" s="12"/>
      <c r="C1624" s="5"/>
      <c r="D1624" s="4"/>
      <c r="E1624" s="13"/>
      <c r="F1624" s="10"/>
      <c r="G1624" s="13"/>
      <c r="H1624" s="13"/>
      <c r="I1624" s="12"/>
      <c r="J1624" s="13"/>
      <c r="K1624" s="13"/>
      <c r="L1624" s="12"/>
    </row>
    <row r="1625" spans="1:12" x14ac:dyDescent="0.25">
      <c r="A1625" s="5" t="s">
        <v>373</v>
      </c>
      <c r="B1625" s="12"/>
      <c r="C1625" s="5"/>
      <c r="D1625" s="4"/>
      <c r="E1625" s="13"/>
      <c r="F1625" s="10"/>
      <c r="G1625" s="13"/>
      <c r="H1625" s="13"/>
      <c r="I1625" s="12"/>
      <c r="J1625" s="13"/>
      <c r="K1625" s="13"/>
      <c r="L1625" s="12"/>
    </row>
    <row r="1626" spans="1:12" x14ac:dyDescent="0.25">
      <c r="A1626" s="5" t="s">
        <v>373</v>
      </c>
      <c r="B1626" s="12"/>
      <c r="C1626" s="5"/>
      <c r="D1626" s="4"/>
      <c r="E1626" s="13"/>
      <c r="F1626" s="10"/>
      <c r="G1626" s="13"/>
      <c r="H1626" s="13"/>
      <c r="I1626" s="12"/>
      <c r="J1626" s="13"/>
      <c r="K1626" s="13"/>
      <c r="L1626" s="12"/>
    </row>
    <row r="1627" spans="1:12" x14ac:dyDescent="0.25">
      <c r="A1627" s="5" t="s">
        <v>81</v>
      </c>
      <c r="B1627" s="12"/>
      <c r="C1627" s="5"/>
      <c r="D1627" s="4"/>
      <c r="E1627" s="13"/>
      <c r="F1627" s="10"/>
      <c r="G1627" s="13"/>
      <c r="H1627" s="13"/>
      <c r="I1627" s="12"/>
      <c r="J1627" s="13"/>
      <c r="K1627" s="13"/>
      <c r="L1627" s="12"/>
    </row>
    <row r="1628" spans="1:12" x14ac:dyDescent="0.25">
      <c r="A1628" s="5" t="s">
        <v>81</v>
      </c>
      <c r="B1628" s="12"/>
      <c r="C1628" s="5"/>
      <c r="D1628" s="4"/>
      <c r="E1628" s="13"/>
      <c r="F1628" s="10"/>
      <c r="G1628" s="13"/>
      <c r="H1628" s="13"/>
      <c r="I1628" s="12"/>
      <c r="J1628" s="13"/>
      <c r="K1628" s="13"/>
      <c r="L1628" s="12"/>
    </row>
    <row r="1629" spans="1:12" x14ac:dyDescent="0.25">
      <c r="A1629" s="5" t="s">
        <v>81</v>
      </c>
      <c r="B1629" s="12"/>
      <c r="C1629" s="5"/>
      <c r="D1629" s="4"/>
      <c r="E1629" s="13"/>
      <c r="F1629" s="10"/>
      <c r="G1629" s="13"/>
      <c r="H1629" s="13"/>
      <c r="I1629" s="12"/>
      <c r="J1629" s="13"/>
      <c r="K1629" s="13"/>
      <c r="L1629" s="12"/>
    </row>
    <row r="1630" spans="1:12" x14ac:dyDescent="0.25">
      <c r="A1630" s="5" t="s">
        <v>713</v>
      </c>
      <c r="B1630" s="12"/>
      <c r="C1630" s="5"/>
      <c r="D1630" s="4"/>
      <c r="E1630" s="13"/>
      <c r="F1630" s="10"/>
      <c r="G1630" s="13"/>
      <c r="H1630" s="13"/>
      <c r="I1630" s="12"/>
      <c r="J1630" s="13"/>
      <c r="K1630" s="13"/>
      <c r="L1630" s="12"/>
    </row>
    <row r="1631" spans="1:12" x14ac:dyDescent="0.25">
      <c r="A1631" s="5" t="s">
        <v>713</v>
      </c>
      <c r="B1631" s="12"/>
      <c r="C1631" s="5"/>
      <c r="D1631" s="4"/>
      <c r="E1631" s="13"/>
      <c r="F1631" s="10"/>
      <c r="G1631" s="13"/>
      <c r="H1631" s="13"/>
      <c r="I1631" s="12"/>
      <c r="J1631" s="13"/>
      <c r="K1631" s="13"/>
      <c r="L1631" s="12"/>
    </row>
    <row r="1632" spans="1:12" x14ac:dyDescent="0.25">
      <c r="A1632" s="5" t="s">
        <v>713</v>
      </c>
      <c r="B1632" s="12"/>
      <c r="C1632" s="5"/>
      <c r="D1632" s="4"/>
      <c r="E1632" s="13"/>
      <c r="F1632" s="10"/>
      <c r="G1632" s="13"/>
      <c r="H1632" s="13"/>
      <c r="I1632" s="12"/>
      <c r="J1632" s="13"/>
      <c r="K1632" s="13"/>
      <c r="L1632" s="12"/>
    </row>
    <row r="1633" spans="1:12" x14ac:dyDescent="0.25">
      <c r="A1633" s="5" t="s">
        <v>707</v>
      </c>
      <c r="B1633" s="12"/>
      <c r="C1633" s="5"/>
      <c r="D1633" s="4"/>
      <c r="E1633" s="13"/>
      <c r="F1633" s="10"/>
      <c r="G1633" s="13"/>
      <c r="H1633" s="13"/>
      <c r="I1633" s="12"/>
      <c r="J1633" s="13"/>
      <c r="K1633" s="13"/>
      <c r="L1633" s="12"/>
    </row>
    <row r="1634" spans="1:12" x14ac:dyDescent="0.25">
      <c r="A1634" s="5" t="s">
        <v>707</v>
      </c>
      <c r="B1634" s="12"/>
      <c r="C1634" s="5"/>
      <c r="D1634" s="4"/>
      <c r="E1634" s="13"/>
      <c r="F1634" s="10"/>
      <c r="G1634" s="13"/>
      <c r="H1634" s="13"/>
      <c r="I1634" s="12"/>
      <c r="J1634" s="13"/>
      <c r="K1634" s="13"/>
      <c r="L1634" s="12"/>
    </row>
    <row r="1635" spans="1:12" x14ac:dyDescent="0.25">
      <c r="A1635" s="5" t="s">
        <v>707</v>
      </c>
      <c r="B1635" s="12"/>
      <c r="C1635" s="5"/>
      <c r="D1635" s="4"/>
      <c r="E1635" s="13"/>
      <c r="F1635" s="10"/>
      <c r="G1635" s="13"/>
      <c r="H1635" s="13"/>
      <c r="I1635" s="12"/>
      <c r="J1635" s="13"/>
      <c r="K1635" s="13"/>
      <c r="L1635" s="12"/>
    </row>
    <row r="1636" spans="1:12" x14ac:dyDescent="0.25">
      <c r="A1636" s="5" t="s">
        <v>141</v>
      </c>
      <c r="B1636" s="12"/>
      <c r="C1636" s="5"/>
      <c r="D1636" s="4"/>
      <c r="E1636" s="13"/>
      <c r="F1636" s="10"/>
      <c r="G1636" s="13"/>
      <c r="H1636" s="13"/>
      <c r="I1636" s="12"/>
      <c r="J1636" s="13"/>
      <c r="K1636" s="13"/>
      <c r="L1636" s="12"/>
    </row>
    <row r="1637" spans="1:12" x14ac:dyDescent="0.25">
      <c r="A1637" s="5" t="s">
        <v>141</v>
      </c>
      <c r="B1637" s="12"/>
      <c r="C1637" s="5"/>
      <c r="D1637" s="4"/>
      <c r="E1637" s="13"/>
      <c r="F1637" s="10"/>
      <c r="G1637" s="13"/>
      <c r="H1637" s="13"/>
      <c r="I1637" s="12"/>
      <c r="J1637" s="13"/>
      <c r="K1637" s="13"/>
      <c r="L1637" s="12"/>
    </row>
    <row r="1638" spans="1:12" x14ac:dyDescent="0.25">
      <c r="A1638" s="5" t="s">
        <v>141</v>
      </c>
      <c r="B1638" s="12"/>
      <c r="C1638" s="5"/>
      <c r="D1638" s="4"/>
      <c r="E1638" s="13"/>
      <c r="F1638" s="10"/>
      <c r="G1638" s="13"/>
      <c r="H1638" s="13"/>
      <c r="I1638" s="12"/>
      <c r="J1638" s="13"/>
      <c r="K1638" s="13"/>
      <c r="L1638" s="12"/>
    </row>
    <row r="1639" spans="1:12" x14ac:dyDescent="0.25">
      <c r="A1639" s="5" t="s">
        <v>443</v>
      </c>
      <c r="B1639" s="12"/>
      <c r="C1639" s="5"/>
      <c r="D1639" s="4"/>
      <c r="E1639" s="13"/>
      <c r="F1639" s="10"/>
      <c r="G1639" s="13"/>
      <c r="H1639" s="13"/>
      <c r="I1639" s="12"/>
      <c r="J1639" s="13"/>
      <c r="K1639" s="13"/>
      <c r="L1639" s="12"/>
    </row>
    <row r="1640" spans="1:12" x14ac:dyDescent="0.25">
      <c r="A1640" s="5" t="s">
        <v>443</v>
      </c>
      <c r="B1640" s="12"/>
      <c r="C1640" s="5"/>
      <c r="D1640" s="4"/>
      <c r="E1640" s="13"/>
      <c r="F1640" s="10"/>
      <c r="G1640" s="13"/>
      <c r="H1640" s="13"/>
      <c r="I1640" s="12"/>
      <c r="J1640" s="13"/>
      <c r="K1640" s="13"/>
      <c r="L1640" s="12"/>
    </row>
    <row r="1641" spans="1:12" x14ac:dyDescent="0.25">
      <c r="A1641" s="5" t="s">
        <v>443</v>
      </c>
      <c r="B1641" s="12"/>
      <c r="C1641" s="5"/>
      <c r="D1641" s="4"/>
      <c r="E1641" s="13"/>
      <c r="F1641" s="10"/>
      <c r="G1641" s="13"/>
      <c r="H1641" s="13"/>
      <c r="I1641" s="12"/>
      <c r="J1641" s="13"/>
      <c r="K1641" s="13"/>
      <c r="L1641" s="12"/>
    </row>
    <row r="1642" spans="1:12" x14ac:dyDescent="0.25">
      <c r="A1642" s="5" t="s">
        <v>576</v>
      </c>
      <c r="B1642" s="12"/>
      <c r="C1642" s="5"/>
      <c r="D1642" s="4"/>
      <c r="E1642" s="13"/>
      <c r="F1642" s="10"/>
      <c r="G1642" s="13"/>
      <c r="H1642" s="13"/>
      <c r="I1642" s="12"/>
      <c r="J1642" s="13"/>
      <c r="K1642" s="13"/>
      <c r="L1642" s="12"/>
    </row>
    <row r="1643" spans="1:12" x14ac:dyDescent="0.25">
      <c r="A1643" s="5" t="s">
        <v>576</v>
      </c>
      <c r="B1643" s="12"/>
      <c r="C1643" s="5"/>
      <c r="D1643" s="4"/>
      <c r="E1643" s="13"/>
      <c r="F1643" s="10"/>
      <c r="G1643" s="13"/>
      <c r="H1643" s="13"/>
      <c r="I1643" s="12"/>
      <c r="J1643" s="13"/>
      <c r="K1643" s="13"/>
      <c r="L1643" s="12"/>
    </row>
    <row r="1644" spans="1:12" x14ac:dyDescent="0.25">
      <c r="A1644" s="5" t="s">
        <v>576</v>
      </c>
      <c r="B1644" s="12"/>
      <c r="C1644" s="5"/>
      <c r="D1644" s="4"/>
      <c r="E1644" s="13"/>
      <c r="F1644" s="10"/>
      <c r="G1644" s="13"/>
      <c r="H1644" s="13"/>
      <c r="I1644" s="12"/>
      <c r="J1644" s="13"/>
      <c r="K1644" s="13"/>
      <c r="L1644" s="12"/>
    </row>
    <row r="1645" spans="1:12" x14ac:dyDescent="0.25">
      <c r="A1645" s="5" t="s">
        <v>107</v>
      </c>
      <c r="B1645" s="12"/>
      <c r="C1645" s="5"/>
      <c r="D1645" s="4"/>
      <c r="E1645" s="13"/>
      <c r="F1645" s="10"/>
      <c r="G1645" s="13"/>
      <c r="H1645" s="13"/>
      <c r="I1645" s="12"/>
      <c r="J1645" s="13"/>
      <c r="K1645" s="13"/>
      <c r="L1645" s="12"/>
    </row>
    <row r="1646" spans="1:12" x14ac:dyDescent="0.25">
      <c r="A1646" s="5" t="s">
        <v>107</v>
      </c>
      <c r="B1646" s="12"/>
      <c r="C1646" s="5"/>
      <c r="D1646" s="4"/>
      <c r="E1646" s="13"/>
      <c r="F1646" s="10"/>
      <c r="G1646" s="13"/>
      <c r="H1646" s="13"/>
      <c r="I1646" s="12"/>
      <c r="J1646" s="13"/>
      <c r="K1646" s="13"/>
      <c r="L1646" s="12"/>
    </row>
    <row r="1647" spans="1:12" x14ac:dyDescent="0.25">
      <c r="A1647" s="5" t="s">
        <v>107</v>
      </c>
      <c r="B1647" s="12"/>
      <c r="C1647" s="5"/>
      <c r="D1647" s="4"/>
      <c r="E1647" s="13"/>
      <c r="F1647" s="10"/>
      <c r="G1647" s="13"/>
      <c r="H1647" s="13"/>
      <c r="I1647" s="12"/>
      <c r="J1647" s="13"/>
      <c r="K1647" s="13"/>
      <c r="L1647" s="12"/>
    </row>
    <row r="1648" spans="1:12" x14ac:dyDescent="0.25">
      <c r="A1648" s="5" t="s">
        <v>394</v>
      </c>
      <c r="B1648" s="12"/>
      <c r="C1648" s="5"/>
      <c r="D1648" s="4"/>
      <c r="E1648" s="13"/>
      <c r="F1648" s="10"/>
      <c r="G1648" s="13"/>
      <c r="H1648" s="13"/>
      <c r="I1648" s="12"/>
      <c r="J1648" s="13"/>
      <c r="K1648" s="13"/>
      <c r="L1648" s="12"/>
    </row>
    <row r="1649" spans="1:12" x14ac:dyDescent="0.25">
      <c r="A1649" s="5" t="s">
        <v>394</v>
      </c>
      <c r="B1649" s="12"/>
      <c r="C1649" s="5"/>
      <c r="D1649" s="4"/>
      <c r="E1649" s="13"/>
      <c r="F1649" s="10"/>
      <c r="G1649" s="13"/>
      <c r="H1649" s="13"/>
      <c r="I1649" s="12"/>
      <c r="J1649" s="13"/>
      <c r="K1649" s="13"/>
      <c r="L1649" s="12"/>
    </row>
    <row r="1650" spans="1:12" x14ac:dyDescent="0.25">
      <c r="A1650" s="5" t="s">
        <v>394</v>
      </c>
      <c r="B1650" s="12"/>
      <c r="C1650" s="5"/>
      <c r="D1650" s="4"/>
      <c r="E1650" s="13"/>
      <c r="F1650" s="10"/>
      <c r="G1650" s="13"/>
      <c r="H1650" s="13"/>
      <c r="I1650" s="12"/>
      <c r="J1650" s="13"/>
      <c r="K1650" s="13"/>
      <c r="L1650" s="12"/>
    </row>
    <row r="1651" spans="1:12" x14ac:dyDescent="0.25">
      <c r="A1651" s="5" t="s">
        <v>771</v>
      </c>
      <c r="B1651" s="12"/>
      <c r="C1651" s="5"/>
      <c r="D1651" s="4"/>
      <c r="E1651" s="13"/>
      <c r="F1651" s="10"/>
      <c r="G1651" s="13"/>
      <c r="H1651" s="13"/>
      <c r="I1651" s="12"/>
      <c r="J1651" s="13"/>
      <c r="K1651" s="13"/>
      <c r="L1651" s="12"/>
    </row>
    <row r="1652" spans="1:12" x14ac:dyDescent="0.25">
      <c r="A1652" s="5" t="s">
        <v>771</v>
      </c>
      <c r="B1652" s="12"/>
      <c r="C1652" s="5"/>
      <c r="D1652" s="4"/>
      <c r="E1652" s="13"/>
      <c r="F1652" s="10"/>
      <c r="G1652" s="13"/>
      <c r="H1652" s="13"/>
      <c r="I1652" s="12"/>
      <c r="J1652" s="13"/>
      <c r="K1652" s="13"/>
      <c r="L1652" s="12"/>
    </row>
    <row r="1653" spans="1:12" x14ac:dyDescent="0.25">
      <c r="A1653" s="5" t="s">
        <v>769</v>
      </c>
      <c r="B1653" s="12"/>
      <c r="C1653" s="5"/>
      <c r="D1653" s="4"/>
      <c r="E1653" s="13"/>
      <c r="F1653" s="10"/>
      <c r="G1653" s="13"/>
      <c r="H1653" s="13"/>
      <c r="I1653" s="12"/>
      <c r="J1653" s="13"/>
      <c r="K1653" s="13"/>
      <c r="L1653" s="12"/>
    </row>
    <row r="1654" spans="1:12" x14ac:dyDescent="0.25">
      <c r="A1654" s="5" t="s">
        <v>769</v>
      </c>
      <c r="B1654" s="12"/>
      <c r="C1654" s="5"/>
      <c r="D1654" s="4"/>
      <c r="E1654" s="13"/>
      <c r="F1654" s="10"/>
      <c r="G1654" s="13"/>
      <c r="H1654" s="13"/>
      <c r="I1654" s="12"/>
      <c r="J1654" s="13"/>
      <c r="K1654" s="13"/>
      <c r="L1654" s="12"/>
    </row>
    <row r="1655" spans="1:12" x14ac:dyDescent="0.25">
      <c r="A1655" s="5" t="s">
        <v>765</v>
      </c>
      <c r="B1655" s="12"/>
      <c r="C1655" s="5"/>
      <c r="D1655" s="4"/>
      <c r="E1655" s="13"/>
      <c r="F1655" s="10"/>
      <c r="G1655" s="13"/>
      <c r="H1655" s="13"/>
      <c r="I1655" s="12"/>
      <c r="J1655" s="13"/>
      <c r="K1655" s="13"/>
      <c r="L1655" s="12"/>
    </row>
    <row r="1656" spans="1:12" x14ac:dyDescent="0.25">
      <c r="A1656" s="5" t="s">
        <v>765</v>
      </c>
      <c r="B1656" s="12"/>
      <c r="C1656" s="5"/>
      <c r="D1656" s="4"/>
      <c r="E1656" s="13"/>
      <c r="F1656" s="10"/>
      <c r="G1656" s="13"/>
      <c r="H1656" s="13"/>
      <c r="I1656" s="12"/>
      <c r="J1656" s="13"/>
      <c r="K1656" s="13"/>
      <c r="L1656" s="12"/>
    </row>
    <row r="1657" spans="1:12" x14ac:dyDescent="0.25">
      <c r="A1657" s="5" t="s">
        <v>776</v>
      </c>
      <c r="B1657" s="12"/>
      <c r="C1657" s="5"/>
      <c r="D1657" s="4"/>
      <c r="E1657" s="13"/>
      <c r="F1657" s="10"/>
      <c r="G1657" s="13"/>
      <c r="H1657" s="13"/>
      <c r="I1657" s="12"/>
      <c r="J1657" s="13"/>
      <c r="K1657" s="13"/>
      <c r="L1657" s="12"/>
    </row>
    <row r="1658" spans="1:12" x14ac:dyDescent="0.25">
      <c r="A1658" s="5" t="s">
        <v>776</v>
      </c>
      <c r="B1658" s="12"/>
      <c r="C1658" s="5"/>
      <c r="D1658" s="4"/>
      <c r="E1658" s="13"/>
      <c r="F1658" s="10"/>
      <c r="G1658" s="13"/>
      <c r="H1658" s="13"/>
      <c r="I1658" s="12"/>
      <c r="J1658" s="13"/>
      <c r="K1658" s="13"/>
      <c r="L1658" s="12"/>
    </row>
    <row r="1659" spans="1:12" x14ac:dyDescent="0.25">
      <c r="A1659" s="5" t="s">
        <v>739</v>
      </c>
      <c r="B1659" s="12"/>
      <c r="C1659" s="5"/>
      <c r="D1659" s="4"/>
      <c r="E1659" s="13"/>
      <c r="F1659" s="10"/>
      <c r="G1659" s="13"/>
      <c r="H1659" s="13"/>
      <c r="I1659" s="12"/>
      <c r="J1659" s="13"/>
      <c r="K1659" s="13"/>
      <c r="L1659" s="12"/>
    </row>
    <row r="1660" spans="1:12" x14ac:dyDescent="0.25">
      <c r="A1660" s="5" t="s">
        <v>739</v>
      </c>
      <c r="B1660" s="12"/>
      <c r="C1660" s="5"/>
      <c r="D1660" s="4"/>
      <c r="E1660" s="13"/>
      <c r="F1660" s="10"/>
      <c r="G1660" s="13"/>
      <c r="H1660" s="13"/>
      <c r="I1660" s="12"/>
      <c r="J1660" s="13"/>
      <c r="K1660" s="13"/>
      <c r="L1660" s="12"/>
    </row>
    <row r="1661" spans="1:12" x14ac:dyDescent="0.25">
      <c r="A1661" s="5" t="s">
        <v>752</v>
      </c>
      <c r="B1661" s="12"/>
      <c r="C1661" s="5"/>
      <c r="D1661" s="4"/>
      <c r="E1661" s="13"/>
      <c r="F1661" s="10"/>
      <c r="G1661" s="13"/>
      <c r="H1661" s="13"/>
      <c r="I1661" s="12"/>
      <c r="J1661" s="13"/>
      <c r="K1661" s="13"/>
      <c r="L1661" s="12"/>
    </row>
    <row r="1662" spans="1:12" x14ac:dyDescent="0.25">
      <c r="A1662" s="5" t="s">
        <v>752</v>
      </c>
      <c r="B1662" s="12"/>
      <c r="C1662" s="5"/>
      <c r="D1662" s="4"/>
      <c r="E1662" s="13"/>
      <c r="F1662" s="10"/>
      <c r="G1662" s="13"/>
      <c r="H1662" s="13"/>
      <c r="I1662" s="12"/>
      <c r="J1662" s="13"/>
      <c r="K1662" s="13"/>
      <c r="L1662" s="12"/>
    </row>
    <row r="1663" spans="1:12" x14ac:dyDescent="0.25">
      <c r="A1663" s="5" t="s">
        <v>754</v>
      </c>
      <c r="B1663" s="12"/>
      <c r="C1663" s="5"/>
      <c r="D1663" s="4"/>
      <c r="E1663" s="13"/>
      <c r="F1663" s="10"/>
      <c r="G1663" s="13"/>
      <c r="H1663" s="13"/>
      <c r="I1663" s="12"/>
      <c r="J1663" s="13"/>
      <c r="K1663" s="13"/>
      <c r="L1663" s="12"/>
    </row>
    <row r="1664" spans="1:12" x14ac:dyDescent="0.25">
      <c r="A1664" s="5" t="s">
        <v>754</v>
      </c>
      <c r="B1664" s="12"/>
      <c r="C1664" s="5"/>
      <c r="D1664" s="4"/>
      <c r="E1664" s="13"/>
      <c r="F1664" s="10"/>
      <c r="G1664" s="13"/>
      <c r="H1664" s="13"/>
      <c r="I1664" s="12"/>
      <c r="J1664" s="13"/>
      <c r="K1664" s="13"/>
      <c r="L1664" s="12"/>
    </row>
    <row r="1665" spans="1:12" x14ac:dyDescent="0.25">
      <c r="A1665" s="5" t="s">
        <v>775</v>
      </c>
      <c r="B1665" s="12"/>
      <c r="C1665" s="5"/>
      <c r="D1665" s="4"/>
      <c r="E1665" s="13"/>
      <c r="F1665" s="10"/>
      <c r="G1665" s="13"/>
      <c r="H1665" s="13"/>
      <c r="I1665" s="12"/>
      <c r="J1665" s="13"/>
      <c r="K1665" s="13"/>
      <c r="L1665" s="12"/>
    </row>
    <row r="1666" spans="1:12" x14ac:dyDescent="0.25">
      <c r="A1666" s="5" t="s">
        <v>775</v>
      </c>
      <c r="B1666" s="12"/>
      <c r="C1666" s="5"/>
      <c r="D1666" s="4"/>
      <c r="E1666" s="13"/>
      <c r="F1666" s="10"/>
      <c r="G1666" s="13"/>
      <c r="H1666" s="13"/>
      <c r="I1666" s="12"/>
      <c r="J1666" s="13"/>
      <c r="K1666" s="13"/>
      <c r="L1666" s="12"/>
    </row>
    <row r="1667" spans="1:12" x14ac:dyDescent="0.25">
      <c r="A1667" s="5" t="s">
        <v>793</v>
      </c>
      <c r="B1667" s="12"/>
      <c r="C1667" s="5"/>
      <c r="D1667" s="4"/>
      <c r="E1667" s="13"/>
      <c r="F1667" s="10"/>
      <c r="G1667" s="13"/>
      <c r="H1667" s="13"/>
      <c r="I1667" s="12"/>
      <c r="J1667" s="13"/>
      <c r="K1667" s="13"/>
      <c r="L1667" s="12"/>
    </row>
    <row r="1668" spans="1:12" x14ac:dyDescent="0.25">
      <c r="A1668" s="5" t="s">
        <v>792</v>
      </c>
      <c r="B1668" s="12"/>
      <c r="C1668" s="5"/>
      <c r="D1668" s="4"/>
      <c r="E1668" s="13"/>
      <c r="F1668" s="10"/>
      <c r="G1668" s="13"/>
      <c r="H1668" s="13"/>
      <c r="I1668" s="12"/>
      <c r="J1668" s="13"/>
      <c r="K1668" s="13"/>
      <c r="L1668" s="12"/>
    </row>
    <row r="1669" spans="1:12" x14ac:dyDescent="0.25">
      <c r="A1669" s="5" t="s">
        <v>801</v>
      </c>
      <c r="B1669" s="12"/>
      <c r="C1669" s="5"/>
      <c r="D1669" s="4"/>
      <c r="E1669" s="13"/>
      <c r="F1669" s="10"/>
      <c r="G1669" s="13"/>
      <c r="H1669" s="13"/>
      <c r="I1669" s="12"/>
      <c r="J1669" s="13"/>
      <c r="K1669" s="13"/>
      <c r="L1669" s="12"/>
    </row>
    <row r="1670" spans="1:12" x14ac:dyDescent="0.25">
      <c r="A1670" s="5" t="s">
        <v>802</v>
      </c>
      <c r="B1670" s="12"/>
      <c r="C1670" s="5"/>
      <c r="D1670" s="4"/>
      <c r="E1670" s="13"/>
      <c r="F1670" s="10"/>
      <c r="G1670" s="13"/>
      <c r="H1670" s="13"/>
      <c r="I1670" s="12"/>
      <c r="J1670" s="13"/>
      <c r="K1670" s="13"/>
      <c r="L1670" s="12"/>
    </row>
    <row r="1671" spans="1:12" x14ac:dyDescent="0.25">
      <c r="A1671" s="5" t="s">
        <v>802</v>
      </c>
      <c r="B1671" s="12"/>
      <c r="C1671" s="5"/>
      <c r="D1671" s="4"/>
      <c r="E1671" s="13"/>
      <c r="F1671" s="10"/>
      <c r="G1671" s="13"/>
      <c r="H1671" s="13"/>
      <c r="I1671" s="12"/>
      <c r="J1671" s="13"/>
      <c r="K1671" s="13"/>
      <c r="L1671" s="12"/>
    </row>
    <row r="1672" spans="1:12" x14ac:dyDescent="0.25">
      <c r="A1672" s="5" t="s">
        <v>818</v>
      </c>
      <c r="B1672" s="12"/>
      <c r="C1672" s="5"/>
      <c r="D1672" s="4"/>
      <c r="E1672" s="13"/>
      <c r="F1672" s="10"/>
      <c r="G1672" s="13"/>
      <c r="H1672" s="13"/>
      <c r="I1672" s="12"/>
      <c r="J1672" s="13"/>
      <c r="K1672" s="13"/>
      <c r="L1672" s="12"/>
    </row>
    <row r="1673" spans="1:12" x14ac:dyDescent="0.25">
      <c r="A1673" s="5" t="s">
        <v>755</v>
      </c>
      <c r="B1673" s="12"/>
      <c r="C1673" s="5"/>
      <c r="D1673" s="4"/>
      <c r="E1673" s="13"/>
      <c r="F1673" s="10"/>
      <c r="G1673" s="13"/>
      <c r="H1673" s="13"/>
      <c r="I1673" s="12"/>
      <c r="J1673" s="13"/>
      <c r="K1673" s="13"/>
      <c r="L1673" s="12"/>
    </row>
    <row r="1674" spans="1:12" x14ac:dyDescent="0.25">
      <c r="A1674" s="5" t="s">
        <v>755</v>
      </c>
      <c r="B1674" s="12"/>
      <c r="C1674" s="5"/>
      <c r="D1674" s="4"/>
      <c r="E1674" s="13"/>
      <c r="F1674" s="10"/>
      <c r="G1674" s="13"/>
      <c r="H1674" s="13"/>
      <c r="I1674" s="12"/>
      <c r="J1674" s="13"/>
      <c r="K1674" s="13"/>
      <c r="L1674" s="12"/>
    </row>
    <row r="1675" spans="1:12" x14ac:dyDescent="0.25">
      <c r="A1675" s="5" t="s">
        <v>819</v>
      </c>
      <c r="B1675" s="12"/>
      <c r="C1675" s="5"/>
      <c r="D1675" s="4"/>
      <c r="E1675" s="13"/>
      <c r="F1675" s="10"/>
      <c r="G1675" s="13"/>
      <c r="H1675" s="13"/>
      <c r="I1675" s="12"/>
      <c r="J1675" s="13"/>
      <c r="K1675" s="13"/>
      <c r="L1675" s="12"/>
    </row>
    <row r="1676" spans="1:12" x14ac:dyDescent="0.25">
      <c r="A1676" s="5" t="s">
        <v>820</v>
      </c>
      <c r="B1676" s="12"/>
      <c r="C1676" s="5"/>
      <c r="D1676" s="4"/>
      <c r="E1676" s="13"/>
      <c r="F1676" s="10"/>
      <c r="G1676" s="13"/>
      <c r="H1676" s="13"/>
      <c r="I1676" s="12"/>
      <c r="J1676" s="13"/>
      <c r="K1676" s="13"/>
      <c r="L1676" s="12"/>
    </row>
    <row r="1677" spans="1:12" x14ac:dyDescent="0.25">
      <c r="A1677" s="5" t="s">
        <v>821</v>
      </c>
      <c r="B1677" s="12"/>
      <c r="C1677" s="5"/>
      <c r="D1677" s="4"/>
      <c r="E1677" s="13"/>
      <c r="F1677" s="10"/>
      <c r="G1677" s="13"/>
      <c r="H1677" s="13"/>
      <c r="I1677" s="12"/>
      <c r="J1677" s="13"/>
      <c r="K1677" s="13"/>
      <c r="L1677" s="12"/>
    </row>
    <row r="1678" spans="1:12" x14ac:dyDescent="0.25">
      <c r="A1678" s="5" t="s">
        <v>822</v>
      </c>
      <c r="B1678" s="12"/>
      <c r="C1678" s="5"/>
      <c r="D1678" s="4"/>
      <c r="E1678" s="13"/>
      <c r="F1678" s="10"/>
      <c r="G1678" s="13"/>
      <c r="H1678" s="13"/>
      <c r="I1678" s="12"/>
      <c r="J1678" s="13"/>
      <c r="K1678" s="13"/>
      <c r="L1678" s="12"/>
    </row>
    <row r="1679" spans="1:12" x14ac:dyDescent="0.25">
      <c r="A1679" s="5" t="s">
        <v>823</v>
      </c>
      <c r="B1679" s="12"/>
      <c r="C1679" s="5"/>
      <c r="D1679" s="4"/>
      <c r="E1679" s="13"/>
      <c r="F1679" s="10"/>
      <c r="G1679" s="13"/>
      <c r="H1679" s="13"/>
      <c r="I1679" s="12"/>
      <c r="J1679" s="13"/>
      <c r="K1679" s="13"/>
      <c r="L1679" s="12"/>
    </row>
    <row r="1680" spans="1:12" x14ac:dyDescent="0.25">
      <c r="A1680" s="5" t="s">
        <v>824</v>
      </c>
      <c r="B1680" s="12"/>
      <c r="C1680" s="5"/>
      <c r="D1680" s="4"/>
      <c r="E1680" s="13"/>
      <c r="F1680" s="10"/>
      <c r="G1680" s="13"/>
      <c r="H1680" s="13"/>
      <c r="I1680" s="12"/>
      <c r="J1680" s="13"/>
      <c r="K1680" s="13"/>
      <c r="L1680" s="12"/>
    </row>
    <row r="1681" spans="1:12" x14ac:dyDescent="0.25">
      <c r="A1681" s="5" t="s">
        <v>825</v>
      </c>
      <c r="B1681" s="12"/>
      <c r="C1681" s="5"/>
      <c r="D1681" s="4"/>
      <c r="E1681" s="13"/>
      <c r="F1681" s="10"/>
      <c r="G1681" s="13"/>
      <c r="H1681" s="13"/>
      <c r="I1681" s="12"/>
      <c r="J1681" s="13"/>
      <c r="K1681" s="13"/>
      <c r="L1681" s="12"/>
    </row>
    <row r="1682" spans="1:12" x14ac:dyDescent="0.25">
      <c r="A1682" s="5" t="s">
        <v>826</v>
      </c>
      <c r="B1682" s="12"/>
      <c r="C1682" s="5"/>
      <c r="D1682" s="4"/>
      <c r="E1682" s="13"/>
      <c r="F1682" s="10"/>
      <c r="G1682" s="13"/>
      <c r="H1682" s="13"/>
      <c r="I1682" s="12"/>
      <c r="J1682" s="13"/>
      <c r="K1682" s="13"/>
      <c r="L1682" s="12"/>
    </row>
    <row r="1683" spans="1:12" x14ac:dyDescent="0.25">
      <c r="A1683" s="5" t="s">
        <v>827</v>
      </c>
      <c r="B1683" s="12"/>
      <c r="C1683" s="5"/>
      <c r="D1683" s="4"/>
      <c r="E1683" s="13"/>
      <c r="F1683" s="10"/>
      <c r="G1683" s="13"/>
      <c r="H1683" s="13"/>
      <c r="I1683" s="12"/>
      <c r="J1683" s="13"/>
      <c r="K1683" s="13"/>
      <c r="L1683" s="12"/>
    </row>
    <row r="1684" spans="1:12" x14ac:dyDescent="0.25">
      <c r="A1684" s="5" t="s">
        <v>828</v>
      </c>
      <c r="B1684" s="12"/>
      <c r="C1684" s="5"/>
      <c r="D1684" s="4"/>
      <c r="E1684" s="13"/>
      <c r="F1684" s="10"/>
      <c r="G1684" s="13"/>
      <c r="H1684" s="13"/>
      <c r="I1684" s="12"/>
      <c r="J1684" s="13"/>
      <c r="K1684" s="13"/>
      <c r="L1684" s="12"/>
    </row>
    <row r="1685" spans="1:12" x14ac:dyDescent="0.25">
      <c r="A1685" s="5" t="s">
        <v>829</v>
      </c>
      <c r="B1685" s="12"/>
      <c r="C1685" s="5"/>
      <c r="D1685" s="4"/>
      <c r="E1685" s="13"/>
      <c r="F1685" s="10"/>
      <c r="G1685" s="13"/>
      <c r="H1685" s="13"/>
      <c r="I1685" s="12"/>
      <c r="J1685" s="13"/>
      <c r="K1685" s="13"/>
      <c r="L1685" s="12"/>
    </row>
    <row r="1686" spans="1:12" x14ac:dyDescent="0.25">
      <c r="A1686" s="5" t="s">
        <v>830</v>
      </c>
      <c r="B1686" s="12"/>
      <c r="C1686" s="5"/>
      <c r="D1686" s="4"/>
      <c r="E1686" s="13"/>
      <c r="F1686" s="10"/>
      <c r="G1686" s="13"/>
      <c r="H1686" s="13"/>
      <c r="I1686" s="12"/>
      <c r="J1686" s="13"/>
      <c r="K1686" s="13"/>
      <c r="L1686" s="12"/>
    </row>
    <row r="1687" spans="1:12" x14ac:dyDescent="0.25">
      <c r="A1687" s="5" t="s">
        <v>736</v>
      </c>
      <c r="B1687" s="12"/>
      <c r="C1687" s="5"/>
      <c r="D1687" s="4"/>
      <c r="E1687" s="13"/>
      <c r="F1687" s="10"/>
      <c r="G1687" s="13"/>
      <c r="H1687" s="13"/>
      <c r="I1687" s="12"/>
      <c r="J1687" s="13"/>
      <c r="K1687" s="13"/>
      <c r="L1687" s="12"/>
    </row>
    <row r="1688" spans="1:12" x14ac:dyDescent="0.25">
      <c r="A1688" s="5" t="s">
        <v>736</v>
      </c>
      <c r="B1688" s="12"/>
      <c r="C1688" s="5"/>
      <c r="D1688" s="4"/>
      <c r="E1688" s="13"/>
      <c r="F1688" s="10"/>
      <c r="G1688" s="13"/>
      <c r="H1688" s="13"/>
      <c r="I1688" s="12"/>
      <c r="J1688" s="13"/>
      <c r="K1688" s="13"/>
      <c r="L1688" s="12"/>
    </row>
    <row r="1689" spans="1:12" x14ac:dyDescent="0.25">
      <c r="A1689" s="5" t="s">
        <v>795</v>
      </c>
      <c r="B1689" s="12"/>
      <c r="C1689" s="5"/>
      <c r="D1689" s="4"/>
      <c r="E1689" s="13"/>
      <c r="F1689" s="10"/>
      <c r="G1689" s="13"/>
      <c r="H1689" s="13"/>
      <c r="I1689" s="12"/>
      <c r="J1689" s="13"/>
      <c r="K1689" s="13"/>
      <c r="L1689" s="12"/>
    </row>
    <row r="1690" spans="1:12" x14ac:dyDescent="0.25">
      <c r="A1690" s="5" t="s">
        <v>795</v>
      </c>
      <c r="B1690" s="12"/>
      <c r="C1690" s="5"/>
      <c r="D1690" s="4"/>
      <c r="E1690" s="13"/>
      <c r="F1690" s="10"/>
      <c r="G1690" s="13"/>
      <c r="H1690" s="13"/>
      <c r="I1690" s="12"/>
      <c r="J1690" s="13"/>
      <c r="K1690" s="13"/>
      <c r="L1690" s="12"/>
    </row>
    <row r="1691" spans="1:12" x14ac:dyDescent="0.25">
      <c r="A1691" s="5" t="s">
        <v>784</v>
      </c>
      <c r="B1691" s="12"/>
      <c r="C1691" s="5"/>
      <c r="D1691" s="4"/>
      <c r="E1691" s="13"/>
      <c r="F1691" s="10"/>
      <c r="G1691" s="13"/>
      <c r="H1691" s="13"/>
      <c r="I1691" s="12"/>
      <c r="J1691" s="13"/>
      <c r="K1691" s="13"/>
      <c r="L1691" s="12"/>
    </row>
    <row r="1692" spans="1:12" x14ac:dyDescent="0.25">
      <c r="A1692" s="5" t="s">
        <v>784</v>
      </c>
      <c r="B1692" s="12"/>
      <c r="C1692" s="5"/>
      <c r="D1692" s="4"/>
      <c r="E1692" s="13"/>
      <c r="F1692" s="10"/>
      <c r="G1692" s="13"/>
      <c r="H1692" s="13"/>
      <c r="I1692" s="12"/>
      <c r="J1692" s="13"/>
      <c r="K1692" s="13"/>
      <c r="L1692" s="12"/>
    </row>
    <row r="1693" spans="1:12" x14ac:dyDescent="0.25">
      <c r="A1693" s="5" t="s">
        <v>831</v>
      </c>
      <c r="B1693" s="12"/>
      <c r="C1693" s="5"/>
      <c r="D1693" s="4"/>
      <c r="E1693" s="13"/>
      <c r="F1693" s="10"/>
      <c r="G1693" s="13"/>
      <c r="H1693" s="13"/>
      <c r="I1693" s="12"/>
      <c r="J1693" s="13"/>
      <c r="K1693" s="13"/>
      <c r="L1693" s="12"/>
    </row>
    <row r="1694" spans="1:12" x14ac:dyDescent="0.25">
      <c r="A1694" s="5" t="s">
        <v>794</v>
      </c>
      <c r="B1694" s="12"/>
      <c r="C1694" s="5"/>
      <c r="D1694" s="4"/>
      <c r="E1694" s="13"/>
      <c r="F1694" s="10"/>
      <c r="G1694" s="13"/>
      <c r="H1694" s="13"/>
      <c r="I1694" s="12"/>
      <c r="J1694" s="13"/>
      <c r="K1694" s="13"/>
      <c r="L1694" s="12"/>
    </row>
    <row r="1695" spans="1:12" x14ac:dyDescent="0.25">
      <c r="A1695" s="5" t="s">
        <v>794</v>
      </c>
      <c r="B1695" s="12"/>
      <c r="C1695" s="5"/>
      <c r="D1695" s="4"/>
      <c r="E1695" s="13"/>
      <c r="F1695" s="10"/>
      <c r="G1695" s="13"/>
      <c r="H1695" s="13"/>
      <c r="I1695" s="12"/>
      <c r="J1695" s="13"/>
      <c r="K1695" s="13"/>
      <c r="L1695" s="12"/>
    </row>
    <row r="1696" spans="1:12" x14ac:dyDescent="0.25">
      <c r="A1696" s="5" t="s">
        <v>414</v>
      </c>
      <c r="B1696" s="12"/>
      <c r="C1696" s="5"/>
      <c r="D1696" s="4"/>
      <c r="E1696" s="13"/>
      <c r="F1696" s="10"/>
      <c r="G1696" s="13"/>
      <c r="H1696" s="13"/>
      <c r="I1696" s="12"/>
      <c r="J1696" s="13"/>
      <c r="K1696" s="13"/>
      <c r="L1696" s="12"/>
    </row>
    <row r="1697" spans="1:12" x14ac:dyDescent="0.25">
      <c r="A1697" s="5" t="s">
        <v>414</v>
      </c>
      <c r="B1697" s="12"/>
      <c r="C1697" s="5"/>
      <c r="D1697" s="4"/>
      <c r="E1697" s="13"/>
      <c r="F1697" s="10"/>
      <c r="G1697" s="13"/>
      <c r="H1697" s="13"/>
      <c r="I1697" s="12"/>
      <c r="J1697" s="13"/>
      <c r="K1697" s="13"/>
      <c r="L1697" s="12"/>
    </row>
    <row r="1698" spans="1:12" x14ac:dyDescent="0.25">
      <c r="A1698" s="5" t="s">
        <v>414</v>
      </c>
      <c r="B1698" s="12"/>
      <c r="C1698" s="5"/>
      <c r="D1698" s="4"/>
      <c r="E1698" s="13"/>
      <c r="F1698" s="10"/>
      <c r="G1698" s="13"/>
      <c r="H1698" s="13"/>
      <c r="I1698" s="12"/>
      <c r="J1698" s="13"/>
      <c r="K1698" s="13"/>
      <c r="L1698" s="12"/>
    </row>
    <row r="1699" spans="1:12" x14ac:dyDescent="0.25">
      <c r="A1699" s="5" t="s">
        <v>414</v>
      </c>
      <c r="B1699" s="12"/>
      <c r="C1699" s="5"/>
      <c r="D1699" s="4"/>
      <c r="E1699" s="13"/>
      <c r="F1699" s="10"/>
      <c r="G1699" s="13"/>
      <c r="H1699" s="13"/>
      <c r="I1699" s="12"/>
      <c r="J1699" s="13"/>
      <c r="K1699" s="13"/>
      <c r="L1699" s="12"/>
    </row>
    <row r="1700" spans="1:12" x14ac:dyDescent="0.25">
      <c r="A1700" s="5" t="s">
        <v>351</v>
      </c>
      <c r="B1700" s="12"/>
      <c r="C1700" s="5"/>
      <c r="D1700" s="4"/>
      <c r="E1700" s="13"/>
      <c r="F1700" s="10"/>
      <c r="G1700" s="13"/>
      <c r="H1700" s="13"/>
      <c r="I1700" s="12"/>
      <c r="J1700" s="13"/>
      <c r="K1700" s="13"/>
      <c r="L1700" s="12"/>
    </row>
    <row r="1701" spans="1:12" x14ac:dyDescent="0.25">
      <c r="A1701" s="5" t="s">
        <v>351</v>
      </c>
      <c r="B1701" s="12"/>
      <c r="C1701" s="5"/>
      <c r="D1701" s="4"/>
      <c r="E1701" s="13"/>
      <c r="F1701" s="10"/>
      <c r="G1701" s="13"/>
      <c r="H1701" s="13"/>
      <c r="I1701" s="12"/>
      <c r="J1701" s="13"/>
      <c r="K1701" s="13"/>
      <c r="L1701" s="12"/>
    </row>
    <row r="1702" spans="1:12" x14ac:dyDescent="0.25">
      <c r="A1702" s="5" t="s">
        <v>351</v>
      </c>
      <c r="B1702" s="12"/>
      <c r="C1702" s="5"/>
      <c r="D1702" s="4"/>
      <c r="E1702" s="13"/>
      <c r="F1702" s="10"/>
      <c r="G1702" s="13"/>
      <c r="H1702" s="13"/>
      <c r="I1702" s="12"/>
      <c r="J1702" s="13"/>
      <c r="K1702" s="13"/>
      <c r="L1702" s="12"/>
    </row>
    <row r="1703" spans="1:12" x14ac:dyDescent="0.25">
      <c r="A1703" s="5" t="s">
        <v>351</v>
      </c>
      <c r="B1703" s="12"/>
      <c r="C1703" s="5"/>
      <c r="D1703" s="4"/>
      <c r="E1703" s="13"/>
      <c r="F1703" s="10"/>
      <c r="G1703" s="13"/>
      <c r="H1703" s="13"/>
      <c r="I1703" s="12"/>
      <c r="J1703" s="13"/>
      <c r="K1703" s="13"/>
      <c r="L1703" s="12"/>
    </row>
    <row r="1704" spans="1:12" x14ac:dyDescent="0.25">
      <c r="A1704" s="5" t="s">
        <v>287</v>
      </c>
      <c r="B1704" s="12"/>
      <c r="C1704" s="5"/>
      <c r="D1704" s="4"/>
      <c r="E1704" s="13"/>
      <c r="F1704" s="10"/>
      <c r="G1704" s="13"/>
      <c r="H1704" s="13"/>
      <c r="I1704" s="12"/>
      <c r="J1704" s="13"/>
      <c r="K1704" s="13"/>
      <c r="L1704" s="12"/>
    </row>
    <row r="1705" spans="1:12" x14ac:dyDescent="0.25">
      <c r="A1705" s="5" t="s">
        <v>287</v>
      </c>
      <c r="B1705" s="12"/>
      <c r="C1705" s="5"/>
      <c r="D1705" s="4"/>
      <c r="E1705" s="13"/>
      <c r="F1705" s="10"/>
      <c r="G1705" s="13"/>
      <c r="H1705" s="13"/>
      <c r="I1705" s="12"/>
      <c r="J1705" s="13"/>
      <c r="K1705" s="13"/>
      <c r="L1705" s="12"/>
    </row>
    <row r="1706" spans="1:12" x14ac:dyDescent="0.25">
      <c r="A1706" s="5" t="s">
        <v>335</v>
      </c>
      <c r="B1706" s="12"/>
      <c r="C1706" s="5"/>
      <c r="D1706" s="4"/>
      <c r="E1706" s="13"/>
      <c r="F1706" s="10"/>
      <c r="G1706" s="13"/>
      <c r="H1706" s="13"/>
      <c r="I1706" s="12"/>
      <c r="J1706" s="13"/>
      <c r="K1706" s="13"/>
      <c r="L1706" s="12"/>
    </row>
    <row r="1707" spans="1:12" x14ac:dyDescent="0.25">
      <c r="A1707" s="5" t="s">
        <v>335</v>
      </c>
      <c r="B1707" s="12"/>
      <c r="C1707" s="5"/>
      <c r="D1707" s="4"/>
      <c r="E1707" s="13"/>
      <c r="F1707" s="10"/>
      <c r="G1707" s="13"/>
      <c r="H1707" s="13"/>
      <c r="I1707" s="12"/>
      <c r="J1707" s="13"/>
      <c r="K1707" s="13"/>
      <c r="L1707" s="12"/>
    </row>
    <row r="1708" spans="1:12" x14ac:dyDescent="0.25">
      <c r="A1708" s="5" t="s">
        <v>100</v>
      </c>
      <c r="B1708" s="12"/>
      <c r="C1708" s="5"/>
      <c r="D1708" s="4"/>
      <c r="E1708" s="13"/>
      <c r="F1708" s="10"/>
      <c r="G1708" s="13"/>
      <c r="H1708" s="13"/>
      <c r="I1708" s="12"/>
      <c r="J1708" s="13"/>
      <c r="K1708" s="13"/>
      <c r="L1708" s="12"/>
    </row>
    <row r="1709" spans="1:12" x14ac:dyDescent="0.25">
      <c r="A1709" s="5" t="s">
        <v>100</v>
      </c>
      <c r="B1709" s="12"/>
      <c r="C1709" s="5"/>
      <c r="D1709" s="4"/>
      <c r="E1709" s="13"/>
      <c r="F1709" s="10"/>
      <c r="G1709" s="13"/>
      <c r="H1709" s="13"/>
      <c r="I1709" s="12"/>
      <c r="J1709" s="13"/>
      <c r="K1709" s="13"/>
      <c r="L1709" s="12"/>
    </row>
    <row r="1710" spans="1:12" x14ac:dyDescent="0.25">
      <c r="A1710" s="5" t="s">
        <v>357</v>
      </c>
      <c r="B1710" s="12"/>
      <c r="C1710" s="5"/>
      <c r="D1710" s="4"/>
      <c r="E1710" s="13"/>
      <c r="F1710" s="10"/>
      <c r="G1710" s="13"/>
      <c r="H1710" s="13"/>
      <c r="I1710" s="12"/>
      <c r="J1710" s="13"/>
      <c r="K1710" s="13"/>
      <c r="L1710" s="12"/>
    </row>
    <row r="1711" spans="1:12" x14ac:dyDescent="0.25">
      <c r="A1711" s="5" t="s">
        <v>357</v>
      </c>
      <c r="B1711" s="12"/>
      <c r="C1711" s="5"/>
      <c r="D1711" s="4"/>
      <c r="E1711" s="13"/>
      <c r="F1711" s="10"/>
      <c r="G1711" s="13"/>
      <c r="H1711" s="13"/>
      <c r="I1711" s="12"/>
      <c r="J1711" s="13"/>
      <c r="K1711" s="13"/>
      <c r="L1711" s="12"/>
    </row>
    <row r="1712" spans="1:12" x14ac:dyDescent="0.25">
      <c r="A1712" s="5" t="s">
        <v>174</v>
      </c>
      <c r="B1712" s="12"/>
      <c r="C1712" s="5"/>
      <c r="D1712" s="4"/>
      <c r="E1712" s="13"/>
      <c r="F1712" s="10"/>
      <c r="G1712" s="13"/>
      <c r="H1712" s="13"/>
      <c r="I1712" s="12"/>
      <c r="J1712" s="13"/>
      <c r="K1712" s="13"/>
      <c r="L1712" s="12"/>
    </row>
    <row r="1713" spans="1:12" x14ac:dyDescent="0.25">
      <c r="A1713" s="5" t="s">
        <v>174</v>
      </c>
      <c r="B1713" s="12"/>
      <c r="C1713" s="5"/>
      <c r="D1713" s="4"/>
      <c r="E1713" s="13"/>
      <c r="F1713" s="10"/>
      <c r="G1713" s="13"/>
      <c r="H1713" s="13"/>
      <c r="I1713" s="12"/>
      <c r="J1713" s="13"/>
      <c r="K1713" s="13"/>
      <c r="L1713" s="12"/>
    </row>
    <row r="1714" spans="1:12" x14ac:dyDescent="0.25">
      <c r="A1714" s="5" t="s">
        <v>160</v>
      </c>
      <c r="B1714" s="12"/>
      <c r="C1714" s="5"/>
      <c r="D1714" s="4"/>
      <c r="E1714" s="13"/>
      <c r="F1714" s="10"/>
      <c r="G1714" s="13"/>
      <c r="H1714" s="13"/>
      <c r="I1714" s="12"/>
      <c r="J1714" s="13"/>
      <c r="K1714" s="13"/>
      <c r="L1714" s="12"/>
    </row>
    <row r="1715" spans="1:12" x14ac:dyDescent="0.25">
      <c r="A1715" s="5" t="s">
        <v>160</v>
      </c>
      <c r="B1715" s="12"/>
      <c r="C1715" s="5"/>
      <c r="D1715" s="4"/>
      <c r="E1715" s="13"/>
      <c r="F1715" s="10"/>
      <c r="G1715" s="13"/>
      <c r="H1715" s="13"/>
      <c r="I1715" s="12"/>
      <c r="J1715" s="13"/>
      <c r="K1715" s="13"/>
      <c r="L1715" s="12"/>
    </row>
    <row r="1716" spans="1:12" x14ac:dyDescent="0.25">
      <c r="A1716" s="5" t="s">
        <v>160</v>
      </c>
      <c r="B1716" s="12"/>
      <c r="C1716" s="5"/>
      <c r="D1716" s="4"/>
      <c r="E1716" s="13"/>
      <c r="F1716" s="10"/>
      <c r="G1716" s="13"/>
      <c r="H1716" s="13"/>
      <c r="I1716" s="12"/>
      <c r="J1716" s="13"/>
      <c r="K1716" s="13"/>
      <c r="L1716" s="12"/>
    </row>
    <row r="1717" spans="1:12" x14ac:dyDescent="0.25">
      <c r="A1717" s="5" t="s">
        <v>160</v>
      </c>
      <c r="B1717" s="12"/>
      <c r="C1717" s="5"/>
      <c r="D1717" s="4"/>
      <c r="E1717" s="13"/>
      <c r="F1717" s="10"/>
      <c r="G1717" s="13"/>
      <c r="H1717" s="13"/>
      <c r="I1717" s="12"/>
      <c r="J1717" s="13"/>
      <c r="K1717" s="13"/>
      <c r="L1717" s="12"/>
    </row>
    <row r="1718" spans="1:12" x14ac:dyDescent="0.25">
      <c r="A1718" s="5" t="s">
        <v>3</v>
      </c>
      <c r="B1718" s="12"/>
      <c r="C1718" s="5"/>
      <c r="D1718" s="4"/>
      <c r="E1718" s="13"/>
      <c r="F1718" s="10"/>
      <c r="G1718" s="13"/>
      <c r="H1718" s="13"/>
      <c r="I1718" s="12"/>
      <c r="J1718" s="13"/>
      <c r="K1718" s="13"/>
      <c r="L1718" s="12"/>
    </row>
    <row r="1719" spans="1:12" x14ac:dyDescent="0.25">
      <c r="A1719" s="5" t="s">
        <v>3</v>
      </c>
      <c r="B1719" s="12"/>
      <c r="C1719" s="5"/>
      <c r="D1719" s="4"/>
      <c r="E1719" s="13"/>
      <c r="F1719" s="10"/>
      <c r="G1719" s="13"/>
      <c r="H1719" s="13"/>
      <c r="I1719" s="12"/>
      <c r="J1719" s="13"/>
      <c r="K1719" s="13"/>
      <c r="L1719" s="12"/>
    </row>
    <row r="1720" spans="1:12" x14ac:dyDescent="0.25">
      <c r="A1720" s="5" t="s">
        <v>3</v>
      </c>
      <c r="B1720" s="12"/>
      <c r="C1720" s="5"/>
      <c r="D1720" s="4"/>
      <c r="E1720" s="13"/>
      <c r="F1720" s="10"/>
      <c r="G1720" s="13"/>
      <c r="H1720" s="13"/>
      <c r="I1720" s="12"/>
      <c r="J1720" s="13"/>
      <c r="K1720" s="13"/>
      <c r="L1720" s="12"/>
    </row>
    <row r="1721" spans="1:12" x14ac:dyDescent="0.25">
      <c r="A1721" s="5" t="s">
        <v>3</v>
      </c>
      <c r="B1721" s="12"/>
      <c r="C1721" s="5"/>
      <c r="D1721" s="4"/>
      <c r="E1721" s="13"/>
      <c r="F1721" s="10"/>
      <c r="G1721" s="13"/>
      <c r="H1721" s="13"/>
      <c r="I1721" s="12"/>
      <c r="J1721" s="13"/>
      <c r="K1721" s="13"/>
      <c r="L1721" s="12"/>
    </row>
    <row r="1722" spans="1:12" x14ac:dyDescent="0.25">
      <c r="A1722" s="5" t="s">
        <v>337</v>
      </c>
      <c r="B1722" s="12"/>
      <c r="C1722" s="5"/>
      <c r="D1722" s="4"/>
      <c r="E1722" s="13"/>
      <c r="F1722" s="10"/>
      <c r="G1722" s="13"/>
      <c r="H1722" s="13"/>
      <c r="I1722" s="12"/>
      <c r="J1722" s="13"/>
      <c r="K1722" s="13"/>
      <c r="L1722" s="12"/>
    </row>
    <row r="1723" spans="1:12" x14ac:dyDescent="0.25">
      <c r="A1723" s="5" t="s">
        <v>337</v>
      </c>
      <c r="B1723" s="12"/>
      <c r="C1723" s="5"/>
      <c r="D1723" s="4"/>
      <c r="E1723" s="13"/>
      <c r="F1723" s="10"/>
      <c r="G1723" s="13"/>
      <c r="H1723" s="13"/>
      <c r="I1723" s="12"/>
      <c r="J1723" s="13"/>
      <c r="K1723" s="13"/>
      <c r="L1723" s="12"/>
    </row>
    <row r="1724" spans="1:12" x14ac:dyDescent="0.25">
      <c r="A1724" s="5" t="s">
        <v>337</v>
      </c>
      <c r="B1724" s="12"/>
      <c r="C1724" s="5"/>
      <c r="D1724" s="4"/>
      <c r="E1724" s="13"/>
      <c r="F1724" s="10"/>
      <c r="G1724" s="13"/>
      <c r="H1724" s="13"/>
      <c r="I1724" s="12"/>
      <c r="J1724" s="13"/>
      <c r="K1724" s="13"/>
      <c r="L1724" s="12"/>
    </row>
    <row r="1725" spans="1:12" x14ac:dyDescent="0.25">
      <c r="A1725" s="5" t="s">
        <v>158</v>
      </c>
      <c r="B1725" s="12"/>
      <c r="C1725" s="5"/>
      <c r="D1725" s="4"/>
      <c r="E1725" s="13"/>
      <c r="F1725" s="10"/>
      <c r="G1725" s="13"/>
      <c r="H1725" s="13"/>
      <c r="I1725" s="12"/>
      <c r="J1725" s="13"/>
      <c r="K1725" s="13"/>
      <c r="L1725" s="12"/>
    </row>
    <row r="1726" spans="1:12" x14ac:dyDescent="0.25">
      <c r="A1726" s="5" t="s">
        <v>158</v>
      </c>
      <c r="B1726" s="12"/>
      <c r="C1726" s="5"/>
      <c r="D1726" s="4"/>
      <c r="E1726" s="13"/>
      <c r="F1726" s="10"/>
      <c r="G1726" s="13"/>
      <c r="H1726" s="13"/>
      <c r="I1726" s="12"/>
      <c r="J1726" s="13"/>
      <c r="K1726" s="13"/>
      <c r="L1726" s="12"/>
    </row>
    <row r="1727" spans="1:12" x14ac:dyDescent="0.25">
      <c r="A1727" s="5" t="s">
        <v>158</v>
      </c>
      <c r="B1727" s="12"/>
      <c r="C1727" s="5"/>
      <c r="D1727" s="4"/>
      <c r="E1727" s="13"/>
      <c r="F1727" s="10"/>
      <c r="G1727" s="13"/>
      <c r="H1727" s="13"/>
      <c r="I1727" s="12"/>
      <c r="J1727" s="13"/>
      <c r="K1727" s="13"/>
      <c r="L1727" s="12"/>
    </row>
    <row r="1728" spans="1:12" x14ac:dyDescent="0.25">
      <c r="A1728" s="5" t="s">
        <v>82</v>
      </c>
      <c r="B1728" s="12"/>
      <c r="C1728" s="5"/>
      <c r="D1728" s="4"/>
      <c r="E1728" s="13"/>
      <c r="F1728" s="10"/>
      <c r="G1728" s="13"/>
      <c r="H1728" s="13"/>
      <c r="I1728" s="12"/>
      <c r="J1728" s="13"/>
      <c r="K1728" s="13"/>
      <c r="L1728" s="12"/>
    </row>
    <row r="1729" spans="1:12" x14ac:dyDescent="0.25">
      <c r="A1729" s="5" t="s">
        <v>82</v>
      </c>
      <c r="B1729" s="12"/>
      <c r="C1729" s="5"/>
      <c r="D1729" s="4"/>
      <c r="E1729" s="13"/>
      <c r="F1729" s="10"/>
      <c r="G1729" s="13"/>
      <c r="H1729" s="13"/>
      <c r="I1729" s="12"/>
      <c r="J1729" s="13"/>
      <c r="K1729" s="13"/>
      <c r="L1729" s="12"/>
    </row>
    <row r="1730" spans="1:12" x14ac:dyDescent="0.25">
      <c r="A1730" s="5" t="s">
        <v>82</v>
      </c>
      <c r="B1730" s="12"/>
      <c r="C1730" s="5"/>
      <c r="D1730" s="4"/>
      <c r="E1730" s="13"/>
      <c r="F1730" s="10"/>
      <c r="G1730" s="13"/>
      <c r="H1730" s="13"/>
      <c r="I1730" s="12"/>
      <c r="J1730" s="13"/>
      <c r="K1730" s="13"/>
      <c r="L1730" s="12"/>
    </row>
    <row r="1731" spans="1:12" x14ac:dyDescent="0.25">
      <c r="A1731" s="5" t="s">
        <v>188</v>
      </c>
      <c r="B1731" s="12"/>
      <c r="C1731" s="5"/>
      <c r="D1731" s="4"/>
      <c r="E1731" s="13"/>
      <c r="F1731" s="10"/>
      <c r="G1731" s="13"/>
      <c r="H1731" s="13"/>
      <c r="I1731" s="12"/>
      <c r="J1731" s="13"/>
      <c r="K1731" s="13"/>
      <c r="L1731" s="12"/>
    </row>
    <row r="1732" spans="1:12" x14ac:dyDescent="0.25">
      <c r="A1732" s="5" t="s">
        <v>188</v>
      </c>
      <c r="B1732" s="12"/>
      <c r="C1732" s="5"/>
      <c r="D1732" s="4"/>
      <c r="E1732" s="13"/>
      <c r="F1732" s="10"/>
      <c r="G1732" s="13"/>
      <c r="H1732" s="13"/>
      <c r="I1732" s="12"/>
      <c r="J1732" s="13"/>
      <c r="K1732" s="13"/>
      <c r="L1732" s="12"/>
    </row>
    <row r="1733" spans="1:12" x14ac:dyDescent="0.25">
      <c r="A1733" s="5" t="s">
        <v>188</v>
      </c>
      <c r="B1733" s="12"/>
      <c r="C1733" s="5"/>
      <c r="D1733" s="4"/>
      <c r="E1733" s="13"/>
      <c r="F1733" s="10"/>
      <c r="G1733" s="13"/>
      <c r="H1733" s="13"/>
      <c r="I1733" s="12"/>
      <c r="J1733" s="13"/>
      <c r="K1733" s="13"/>
      <c r="L1733" s="12"/>
    </row>
    <row r="1734" spans="1:12" x14ac:dyDescent="0.25">
      <c r="A1734" s="5" t="s">
        <v>90</v>
      </c>
      <c r="B1734" s="12"/>
      <c r="C1734" s="5"/>
      <c r="D1734" s="4"/>
      <c r="E1734" s="13"/>
      <c r="F1734" s="10"/>
      <c r="G1734" s="13"/>
      <c r="H1734" s="13"/>
      <c r="I1734" s="12"/>
      <c r="J1734" s="13"/>
      <c r="K1734" s="13"/>
      <c r="L1734" s="12"/>
    </row>
    <row r="1735" spans="1:12" x14ac:dyDescent="0.25">
      <c r="A1735" s="5" t="s">
        <v>90</v>
      </c>
      <c r="B1735" s="12"/>
      <c r="C1735" s="5"/>
      <c r="D1735" s="4"/>
      <c r="E1735" s="13"/>
      <c r="F1735" s="10"/>
      <c r="G1735" s="13"/>
      <c r="H1735" s="13"/>
      <c r="I1735" s="12"/>
      <c r="J1735" s="13"/>
      <c r="K1735" s="13"/>
      <c r="L1735" s="12"/>
    </row>
    <row r="1736" spans="1:12" x14ac:dyDescent="0.25">
      <c r="A1736" s="5" t="s">
        <v>90</v>
      </c>
      <c r="B1736" s="12"/>
      <c r="C1736" s="5"/>
      <c r="D1736" s="4"/>
      <c r="E1736" s="13"/>
      <c r="F1736" s="10"/>
      <c r="G1736" s="13"/>
      <c r="H1736" s="13"/>
      <c r="I1736" s="12"/>
      <c r="J1736" s="13"/>
      <c r="K1736" s="13"/>
      <c r="L1736" s="12"/>
    </row>
    <row r="1737" spans="1:12" x14ac:dyDescent="0.25">
      <c r="A1737" s="5" t="s">
        <v>749</v>
      </c>
      <c r="B1737" s="12"/>
      <c r="C1737" s="5"/>
      <c r="D1737" s="4"/>
      <c r="E1737" s="13"/>
      <c r="F1737" s="10"/>
      <c r="G1737" s="13"/>
      <c r="H1737" s="13"/>
      <c r="I1737" s="12"/>
      <c r="J1737" s="13"/>
      <c r="K1737" s="13"/>
      <c r="L1737" s="12"/>
    </row>
    <row r="1738" spans="1:12" x14ac:dyDescent="0.25">
      <c r="A1738" s="5" t="s">
        <v>749</v>
      </c>
      <c r="B1738" s="12"/>
      <c r="C1738" s="5"/>
      <c r="D1738" s="4"/>
      <c r="E1738" s="13"/>
      <c r="F1738" s="10"/>
      <c r="G1738" s="13"/>
      <c r="H1738" s="13"/>
      <c r="I1738" s="12"/>
      <c r="J1738" s="13"/>
      <c r="K1738" s="13"/>
      <c r="L1738" s="12"/>
    </row>
    <row r="1739" spans="1:12" x14ac:dyDescent="0.25">
      <c r="A1739" s="5" t="s">
        <v>737</v>
      </c>
      <c r="B1739" s="12"/>
      <c r="C1739" s="5"/>
      <c r="D1739" s="4"/>
      <c r="E1739" s="13"/>
      <c r="F1739" s="10"/>
      <c r="G1739" s="13"/>
      <c r="H1739" s="13"/>
      <c r="I1739" s="12"/>
      <c r="J1739" s="13"/>
      <c r="K1739" s="13"/>
      <c r="L1739" s="12"/>
    </row>
    <row r="1740" spans="1:12" x14ac:dyDescent="0.25">
      <c r="A1740" s="5" t="s">
        <v>59</v>
      </c>
      <c r="B1740" s="12"/>
      <c r="C1740" s="5"/>
      <c r="D1740" s="4"/>
      <c r="E1740" s="13"/>
      <c r="F1740" s="10"/>
      <c r="G1740" s="13"/>
      <c r="H1740" s="13"/>
      <c r="I1740" s="12"/>
      <c r="J1740" s="13"/>
      <c r="K1740" s="13"/>
      <c r="L1740" s="12"/>
    </row>
    <row r="1741" spans="1:12" x14ac:dyDescent="0.25">
      <c r="A1741" s="5" t="s">
        <v>59</v>
      </c>
      <c r="B1741" s="12"/>
      <c r="C1741" s="5"/>
      <c r="D1741" s="4"/>
      <c r="E1741" s="13"/>
      <c r="F1741" s="10"/>
      <c r="G1741" s="13"/>
      <c r="H1741" s="13"/>
      <c r="I1741" s="12"/>
      <c r="J1741" s="13"/>
      <c r="K1741" s="13"/>
      <c r="L1741" s="12"/>
    </row>
    <row r="1742" spans="1:12" x14ac:dyDescent="0.25">
      <c r="A1742" s="5" t="s">
        <v>747</v>
      </c>
      <c r="B1742" s="12"/>
      <c r="C1742" s="5"/>
      <c r="D1742" s="4"/>
      <c r="E1742" s="13"/>
      <c r="F1742" s="10"/>
      <c r="G1742" s="13"/>
      <c r="H1742" s="13"/>
      <c r="I1742" s="12"/>
      <c r="J1742" s="13"/>
      <c r="K1742" s="13"/>
      <c r="L1742" s="12"/>
    </row>
    <row r="1743" spans="1:12" x14ac:dyDescent="0.25">
      <c r="A1743" s="5" t="s">
        <v>747</v>
      </c>
      <c r="B1743" s="12"/>
      <c r="C1743" s="5"/>
      <c r="D1743" s="4"/>
      <c r="E1743" s="13"/>
      <c r="F1743" s="10"/>
      <c r="G1743" s="13"/>
      <c r="H1743" s="13"/>
      <c r="I1743" s="12"/>
      <c r="J1743" s="13"/>
      <c r="K1743" s="13"/>
      <c r="L1743" s="12"/>
    </row>
    <row r="1744" spans="1:12" x14ac:dyDescent="0.25">
      <c r="A1744" s="5" t="s">
        <v>780</v>
      </c>
      <c r="B1744" s="12"/>
      <c r="C1744" s="5"/>
      <c r="D1744" s="4"/>
      <c r="E1744" s="13"/>
      <c r="F1744" s="10"/>
      <c r="G1744" s="13"/>
      <c r="H1744" s="13"/>
      <c r="I1744" s="12"/>
      <c r="J1744" s="13"/>
      <c r="K1744" s="13"/>
      <c r="L1744" s="12"/>
    </row>
    <row r="1745" spans="1:12" x14ac:dyDescent="0.25">
      <c r="A1745" s="5" t="s">
        <v>780</v>
      </c>
      <c r="B1745" s="12"/>
      <c r="C1745" s="5"/>
      <c r="D1745" s="4"/>
      <c r="E1745" s="13"/>
      <c r="F1745" s="10"/>
      <c r="G1745" s="13"/>
      <c r="H1745" s="13"/>
      <c r="I1745" s="12"/>
      <c r="J1745" s="13"/>
      <c r="K1745" s="13"/>
      <c r="L1745" s="12"/>
    </row>
    <row r="1746" spans="1:12" x14ac:dyDescent="0.25">
      <c r="A1746" s="5" t="s">
        <v>517</v>
      </c>
      <c r="B1746" s="12"/>
      <c r="C1746" s="5"/>
      <c r="D1746" s="4"/>
      <c r="E1746" s="13"/>
      <c r="F1746" s="10"/>
      <c r="G1746" s="13"/>
      <c r="H1746" s="13"/>
      <c r="I1746" s="12"/>
      <c r="J1746" s="13"/>
      <c r="K1746" s="13"/>
      <c r="L1746" s="12"/>
    </row>
    <row r="1747" spans="1:12" x14ac:dyDescent="0.25">
      <c r="A1747" s="5" t="s">
        <v>517</v>
      </c>
      <c r="B1747" s="12"/>
      <c r="C1747" s="5"/>
      <c r="D1747" s="4"/>
      <c r="E1747" s="13"/>
      <c r="F1747" s="10"/>
      <c r="G1747" s="13"/>
      <c r="H1747" s="13"/>
      <c r="I1747" s="12"/>
      <c r="J1747" s="13"/>
      <c r="K1747" s="13"/>
      <c r="L1747" s="12"/>
    </row>
    <row r="1748" spans="1:12" x14ac:dyDescent="0.25">
      <c r="A1748" s="5" t="s">
        <v>773</v>
      </c>
      <c r="B1748" s="12"/>
      <c r="C1748" s="5"/>
      <c r="D1748" s="4"/>
      <c r="E1748" s="13"/>
      <c r="F1748" s="10"/>
      <c r="G1748" s="13"/>
      <c r="H1748" s="13"/>
      <c r="I1748" s="12"/>
      <c r="J1748" s="13"/>
      <c r="K1748" s="13"/>
      <c r="L1748" s="12"/>
    </row>
    <row r="1749" spans="1:12" x14ac:dyDescent="0.25">
      <c r="A1749" s="5" t="s">
        <v>773</v>
      </c>
      <c r="B1749" s="12"/>
      <c r="C1749" s="5"/>
      <c r="D1749" s="4"/>
      <c r="E1749" s="13"/>
      <c r="F1749" s="10"/>
      <c r="G1749" s="13"/>
      <c r="H1749" s="13"/>
      <c r="I1749" s="12"/>
      <c r="J1749" s="13"/>
      <c r="K1749" s="13"/>
      <c r="L1749" s="12"/>
    </row>
    <row r="1750" spans="1:12" x14ac:dyDescent="0.25">
      <c r="A1750" s="5" t="s">
        <v>832</v>
      </c>
      <c r="B1750" s="12"/>
      <c r="C1750" s="5"/>
      <c r="D1750" s="4"/>
      <c r="E1750" s="13"/>
      <c r="F1750" s="10"/>
      <c r="G1750" s="13"/>
      <c r="H1750" s="13"/>
      <c r="I1750" s="12"/>
      <c r="J1750" s="13"/>
      <c r="K1750" s="13"/>
      <c r="L1750" s="12"/>
    </row>
    <row r="1751" spans="1:12" x14ac:dyDescent="0.25">
      <c r="A1751" s="5" t="s">
        <v>772</v>
      </c>
      <c r="B1751" s="12"/>
      <c r="C1751" s="5"/>
      <c r="D1751" s="4"/>
      <c r="E1751" s="13"/>
      <c r="F1751" s="10"/>
      <c r="G1751" s="13"/>
      <c r="H1751" s="13"/>
      <c r="I1751" s="12"/>
      <c r="J1751" s="13"/>
      <c r="K1751" s="13"/>
      <c r="L1751" s="12"/>
    </row>
    <row r="1752" spans="1:12" x14ac:dyDescent="0.25">
      <c r="A1752" s="5" t="s">
        <v>772</v>
      </c>
      <c r="B1752" s="12"/>
      <c r="C1752" s="5"/>
      <c r="D1752" s="4"/>
      <c r="E1752" s="13"/>
      <c r="F1752" s="10"/>
      <c r="G1752" s="13"/>
      <c r="H1752" s="13"/>
      <c r="I1752" s="12"/>
      <c r="J1752" s="13"/>
      <c r="K1752" s="13"/>
      <c r="L1752" s="12"/>
    </row>
    <row r="1753" spans="1:12" x14ac:dyDescent="0.25">
      <c r="A1753" s="5" t="s">
        <v>738</v>
      </c>
      <c r="B1753" s="12"/>
      <c r="C1753" s="5"/>
      <c r="D1753" s="4"/>
      <c r="E1753" s="13"/>
      <c r="F1753" s="10"/>
      <c r="G1753" s="13"/>
      <c r="H1753" s="13"/>
      <c r="I1753" s="12"/>
      <c r="J1753" s="13"/>
      <c r="K1753" s="13"/>
      <c r="L1753" s="12"/>
    </row>
    <row r="1754" spans="1:12" x14ac:dyDescent="0.25">
      <c r="A1754" s="5" t="s">
        <v>833</v>
      </c>
      <c r="B1754" s="12"/>
      <c r="C1754" s="5"/>
      <c r="D1754" s="4"/>
      <c r="E1754" s="13"/>
      <c r="F1754" s="10"/>
      <c r="G1754" s="13"/>
      <c r="H1754" s="13"/>
      <c r="I1754" s="12"/>
      <c r="J1754" s="13"/>
      <c r="K1754" s="13"/>
      <c r="L1754" s="12"/>
    </row>
    <row r="1755" spans="1:12" x14ac:dyDescent="0.25">
      <c r="A1755" s="5" t="s">
        <v>781</v>
      </c>
      <c r="B1755" s="12"/>
      <c r="C1755" s="5"/>
      <c r="D1755" s="4"/>
      <c r="E1755" s="13"/>
      <c r="F1755" s="10"/>
      <c r="G1755" s="13"/>
      <c r="H1755" s="13"/>
      <c r="I1755" s="12"/>
      <c r="J1755" s="13"/>
      <c r="K1755" s="13"/>
      <c r="L1755" s="12"/>
    </row>
    <row r="1756" spans="1:12" x14ac:dyDescent="0.25">
      <c r="A1756" s="5" t="s">
        <v>781</v>
      </c>
      <c r="B1756" s="12"/>
      <c r="C1756" s="5"/>
      <c r="D1756" s="4"/>
      <c r="E1756" s="13"/>
      <c r="F1756" s="10"/>
      <c r="G1756" s="13"/>
      <c r="H1756" s="13"/>
      <c r="I1756" s="12"/>
      <c r="J1756" s="13"/>
      <c r="K1756" s="13"/>
      <c r="L1756" s="12"/>
    </row>
    <row r="1757" spans="1:12" x14ac:dyDescent="0.25">
      <c r="A1757" s="5" t="s">
        <v>740</v>
      </c>
      <c r="B1757" s="12"/>
      <c r="C1757" s="5"/>
      <c r="D1757" s="4"/>
      <c r="E1757" s="13"/>
      <c r="F1757" s="10"/>
      <c r="G1757" s="13"/>
      <c r="H1757" s="13"/>
      <c r="I1757" s="12"/>
      <c r="J1757" s="13"/>
      <c r="K1757" s="13"/>
      <c r="L1757" s="12"/>
    </row>
    <row r="1758" spans="1:12" x14ac:dyDescent="0.25">
      <c r="A1758" s="5" t="s">
        <v>740</v>
      </c>
      <c r="B1758" s="12"/>
      <c r="C1758" s="5"/>
      <c r="D1758" s="4"/>
      <c r="E1758" s="13"/>
      <c r="F1758" s="10"/>
      <c r="G1758" s="13"/>
      <c r="H1758" s="13"/>
      <c r="I1758" s="12"/>
      <c r="J1758" s="13"/>
      <c r="K1758" s="13"/>
      <c r="L1758" s="12"/>
    </row>
    <row r="1759" spans="1:12" x14ac:dyDescent="0.25">
      <c r="A1759" s="5" t="s">
        <v>834</v>
      </c>
      <c r="B1759" s="12"/>
      <c r="C1759" s="5"/>
      <c r="D1759" s="4"/>
      <c r="E1759" s="13"/>
      <c r="F1759" s="10"/>
      <c r="G1759" s="13"/>
      <c r="H1759" s="13"/>
      <c r="I1759" s="12"/>
      <c r="J1759" s="13"/>
      <c r="K1759" s="13"/>
      <c r="L1759" s="12"/>
    </row>
    <row r="1760" spans="1:12" x14ac:dyDescent="0.25">
      <c r="A1760" s="5" t="s">
        <v>835</v>
      </c>
      <c r="B1760" s="12"/>
      <c r="C1760" s="5"/>
      <c r="D1760" s="4"/>
      <c r="E1760" s="13"/>
      <c r="F1760" s="10"/>
      <c r="G1760" s="13"/>
      <c r="H1760" s="13"/>
      <c r="I1760" s="12"/>
      <c r="J1760" s="13"/>
      <c r="K1760" s="13"/>
      <c r="L1760" s="12"/>
    </row>
    <row r="1761" spans="1:12" x14ac:dyDescent="0.25">
      <c r="A1761" s="5" t="s">
        <v>194</v>
      </c>
      <c r="B1761" s="12"/>
      <c r="C1761" s="5"/>
      <c r="D1761" s="4"/>
      <c r="E1761" s="13"/>
      <c r="F1761" s="10"/>
      <c r="G1761" s="13"/>
      <c r="H1761" s="13"/>
      <c r="I1761" s="12"/>
      <c r="J1761" s="13"/>
      <c r="K1761" s="13"/>
      <c r="L1761" s="12"/>
    </row>
    <row r="1762" spans="1:12" x14ac:dyDescent="0.25">
      <c r="A1762" s="5" t="s">
        <v>194</v>
      </c>
      <c r="B1762" s="12"/>
      <c r="C1762" s="5"/>
      <c r="D1762" s="4"/>
      <c r="E1762" s="13"/>
      <c r="F1762" s="10"/>
      <c r="G1762" s="13"/>
      <c r="H1762" s="13"/>
      <c r="I1762" s="12"/>
      <c r="J1762" s="13"/>
      <c r="K1762" s="13"/>
      <c r="L1762" s="12"/>
    </row>
    <row r="1763" spans="1:12" x14ac:dyDescent="0.25">
      <c r="A1763" s="5" t="s">
        <v>178</v>
      </c>
      <c r="B1763" s="12"/>
      <c r="C1763" s="5"/>
      <c r="D1763" s="4"/>
      <c r="E1763" s="13"/>
      <c r="F1763" s="10"/>
      <c r="G1763" s="13"/>
      <c r="H1763" s="13"/>
      <c r="I1763" s="12"/>
      <c r="J1763" s="13"/>
      <c r="K1763" s="13"/>
      <c r="L1763" s="12"/>
    </row>
    <row r="1764" spans="1:12" x14ac:dyDescent="0.25">
      <c r="A1764" s="5" t="s">
        <v>473</v>
      </c>
      <c r="B1764" s="12"/>
      <c r="C1764" s="5"/>
      <c r="D1764" s="4"/>
      <c r="E1764" s="13"/>
      <c r="F1764" s="10"/>
      <c r="G1764" s="13"/>
      <c r="H1764" s="13"/>
      <c r="I1764" s="12"/>
      <c r="J1764" s="13"/>
      <c r="K1764" s="13"/>
      <c r="L1764" s="12"/>
    </row>
    <row r="1765" spans="1:12" x14ac:dyDescent="0.25">
      <c r="A1765" s="5" t="s">
        <v>362</v>
      </c>
      <c r="B1765" s="12"/>
      <c r="C1765" s="5"/>
      <c r="D1765" s="4"/>
      <c r="E1765" s="13"/>
      <c r="F1765" s="10"/>
      <c r="G1765" s="13"/>
      <c r="H1765" s="13"/>
      <c r="I1765" s="12"/>
      <c r="J1765" s="13"/>
      <c r="K1765" s="13"/>
      <c r="L1765" s="12"/>
    </row>
    <row r="1766" spans="1:12" x14ac:dyDescent="0.25">
      <c r="A1766" s="5" t="s">
        <v>362</v>
      </c>
      <c r="B1766" s="12"/>
      <c r="C1766" s="5"/>
      <c r="D1766" s="4"/>
      <c r="E1766" s="13"/>
      <c r="F1766" s="10"/>
      <c r="G1766" s="13"/>
      <c r="H1766" s="13"/>
      <c r="I1766" s="12"/>
      <c r="J1766" s="13"/>
      <c r="K1766" s="13"/>
      <c r="L1766" s="12"/>
    </row>
    <row r="1767" spans="1:12" x14ac:dyDescent="0.25">
      <c r="A1767" s="5" t="s">
        <v>362</v>
      </c>
      <c r="B1767" s="12"/>
      <c r="C1767" s="5"/>
      <c r="D1767" s="4"/>
      <c r="E1767" s="13"/>
      <c r="F1767" s="10"/>
      <c r="G1767" s="13"/>
      <c r="H1767" s="13"/>
      <c r="I1767" s="12"/>
      <c r="J1767" s="13"/>
      <c r="K1767" s="13"/>
      <c r="L1767" s="12"/>
    </row>
    <row r="1768" spans="1:12" x14ac:dyDescent="0.25">
      <c r="A1768" s="5" t="s">
        <v>836</v>
      </c>
      <c r="B1768" s="12"/>
      <c r="C1768" s="5"/>
      <c r="D1768" s="4"/>
      <c r="E1768" s="13"/>
      <c r="F1768" s="10"/>
      <c r="G1768" s="13"/>
      <c r="H1768" s="13"/>
      <c r="I1768" s="12"/>
      <c r="J1768" s="13"/>
      <c r="K1768" s="13"/>
      <c r="L1768" s="12"/>
    </row>
    <row r="1769" spans="1:12" x14ac:dyDescent="0.25">
      <c r="A1769" s="5" t="s">
        <v>663</v>
      </c>
      <c r="B1769" s="12"/>
      <c r="C1769" s="5"/>
      <c r="D1769" s="4"/>
      <c r="E1769" s="13"/>
      <c r="F1769" s="10"/>
      <c r="G1769" s="13"/>
      <c r="H1769" s="13"/>
      <c r="I1769" s="12"/>
      <c r="J1769" s="13"/>
      <c r="K1769" s="13"/>
      <c r="L1769" s="12"/>
    </row>
    <row r="1770" spans="1:12" x14ac:dyDescent="0.25">
      <c r="A1770" s="5" t="s">
        <v>663</v>
      </c>
      <c r="B1770" s="12"/>
      <c r="C1770" s="5"/>
      <c r="D1770" s="4"/>
      <c r="E1770" s="13"/>
      <c r="F1770" s="10"/>
      <c r="G1770" s="13"/>
      <c r="H1770" s="13"/>
      <c r="I1770" s="12"/>
      <c r="J1770" s="13"/>
      <c r="K1770" s="13"/>
      <c r="L1770" s="12"/>
    </row>
    <row r="1771" spans="1:12" x14ac:dyDescent="0.25">
      <c r="A1771" s="5" t="s">
        <v>663</v>
      </c>
      <c r="B1771" s="12"/>
      <c r="C1771" s="5"/>
      <c r="D1771" s="4"/>
      <c r="E1771" s="13"/>
      <c r="F1771" s="10"/>
      <c r="G1771" s="13"/>
      <c r="H1771" s="13"/>
      <c r="I1771" s="12"/>
      <c r="J1771" s="13"/>
      <c r="K1771" s="13"/>
      <c r="L1771" s="12"/>
    </row>
    <row r="1772" spans="1:12" x14ac:dyDescent="0.25">
      <c r="A1772" s="5" t="s">
        <v>183</v>
      </c>
      <c r="B1772" s="12"/>
      <c r="C1772" s="5"/>
      <c r="D1772" s="4"/>
      <c r="E1772" s="13"/>
      <c r="F1772" s="10"/>
      <c r="G1772" s="13"/>
      <c r="H1772" s="13"/>
      <c r="I1772" s="12"/>
      <c r="J1772" s="13"/>
      <c r="K1772" s="13"/>
      <c r="L1772" s="12"/>
    </row>
    <row r="1773" spans="1:12" x14ac:dyDescent="0.25">
      <c r="A1773" s="5" t="s">
        <v>183</v>
      </c>
      <c r="B1773" s="12"/>
      <c r="C1773" s="5"/>
      <c r="D1773" s="4"/>
      <c r="E1773" s="13"/>
      <c r="F1773" s="10"/>
      <c r="G1773" s="13"/>
      <c r="H1773" s="13"/>
      <c r="I1773" s="12"/>
      <c r="J1773" s="13"/>
      <c r="K1773" s="13"/>
      <c r="L1773" s="12"/>
    </row>
    <row r="1774" spans="1:12" x14ac:dyDescent="0.25">
      <c r="A1774" s="5" t="s">
        <v>91</v>
      </c>
      <c r="B1774" s="12"/>
      <c r="C1774" s="5"/>
      <c r="D1774" s="4"/>
      <c r="E1774" s="13"/>
      <c r="F1774" s="10"/>
      <c r="G1774" s="13"/>
      <c r="H1774" s="13"/>
      <c r="I1774" s="12"/>
      <c r="J1774" s="13"/>
      <c r="K1774" s="13"/>
      <c r="L1774" s="12"/>
    </row>
    <row r="1775" spans="1:12" x14ac:dyDescent="0.25">
      <c r="A1775" s="5" t="s">
        <v>767</v>
      </c>
      <c r="B1775" s="12"/>
      <c r="C1775" s="5"/>
      <c r="D1775" s="4"/>
      <c r="E1775" s="13"/>
      <c r="F1775" s="10"/>
      <c r="G1775" s="13"/>
      <c r="H1775" s="13"/>
      <c r="I1775" s="12"/>
      <c r="J1775" s="13"/>
      <c r="K1775" s="13"/>
      <c r="L1775" s="12"/>
    </row>
    <row r="1776" spans="1:12" x14ac:dyDescent="0.25">
      <c r="A1776" s="5" t="s">
        <v>837</v>
      </c>
      <c r="B1776" s="12"/>
      <c r="C1776" s="5"/>
      <c r="D1776" s="4"/>
      <c r="E1776" s="13"/>
      <c r="F1776" s="10"/>
      <c r="G1776" s="13"/>
      <c r="H1776" s="13"/>
      <c r="I1776" s="12"/>
      <c r="J1776" s="13"/>
      <c r="K1776" s="13"/>
      <c r="L1776" s="12"/>
    </row>
    <row r="1777" spans="1:12" x14ac:dyDescent="0.25">
      <c r="A1777" s="5" t="s">
        <v>838</v>
      </c>
      <c r="B1777" s="12"/>
      <c r="C1777" s="5"/>
      <c r="D1777" s="4"/>
      <c r="E1777" s="13"/>
      <c r="F1777" s="10"/>
      <c r="G1777" s="13"/>
      <c r="H1777" s="13"/>
      <c r="I1777" s="12"/>
      <c r="J1777" s="13"/>
      <c r="K1777" s="13"/>
      <c r="L1777" s="12"/>
    </row>
    <row r="1778" spans="1:12" x14ac:dyDescent="0.25">
      <c r="A1778" s="5" t="s">
        <v>746</v>
      </c>
      <c r="B1778" s="12"/>
      <c r="C1778" s="5"/>
      <c r="D1778" s="4"/>
      <c r="E1778" s="13"/>
      <c r="F1778" s="10"/>
      <c r="G1778" s="13"/>
      <c r="H1778" s="13"/>
      <c r="I1778" s="12"/>
      <c r="J1778" s="13"/>
      <c r="K1778" s="13"/>
      <c r="L1778" s="12"/>
    </row>
    <row r="1779" spans="1:12" x14ac:dyDescent="0.25">
      <c r="A1779" s="5" t="s">
        <v>839</v>
      </c>
      <c r="B1779" s="12"/>
      <c r="C1779" s="5"/>
      <c r="D1779" s="4"/>
      <c r="E1779" s="13"/>
      <c r="F1779" s="10"/>
      <c r="G1779" s="13"/>
      <c r="H1779" s="13"/>
      <c r="I1779" s="12"/>
      <c r="J1779" s="13"/>
      <c r="K1779" s="13"/>
      <c r="L1779" s="12"/>
    </row>
    <row r="1780" spans="1:12" x14ac:dyDescent="0.25">
      <c r="A1780" s="5" t="s">
        <v>840</v>
      </c>
      <c r="B1780" s="12"/>
      <c r="C1780" s="5"/>
      <c r="D1780" s="4"/>
      <c r="E1780" s="13"/>
      <c r="F1780" s="10"/>
      <c r="G1780" s="13"/>
      <c r="H1780" s="13"/>
      <c r="I1780" s="12"/>
      <c r="J1780" s="13"/>
      <c r="K1780" s="13"/>
      <c r="L1780" s="12"/>
    </row>
    <row r="1781" spans="1:12" x14ac:dyDescent="0.25">
      <c r="A1781" s="5" t="s">
        <v>841</v>
      </c>
      <c r="B1781" s="12"/>
      <c r="C1781" s="5"/>
      <c r="D1781" s="4"/>
      <c r="E1781" s="13"/>
      <c r="F1781" s="10"/>
      <c r="G1781" s="13"/>
      <c r="H1781" s="13"/>
      <c r="I1781" s="12"/>
      <c r="J1781" s="13"/>
      <c r="K1781" s="13"/>
      <c r="L1781" s="12"/>
    </row>
    <row r="1782" spans="1:12" x14ac:dyDescent="0.25">
      <c r="A1782" s="5" t="s">
        <v>680</v>
      </c>
      <c r="B1782" s="12"/>
      <c r="C1782" s="5"/>
      <c r="D1782" s="4"/>
      <c r="E1782" s="13"/>
      <c r="F1782" s="10"/>
      <c r="G1782" s="13"/>
      <c r="H1782" s="13"/>
      <c r="I1782" s="12"/>
      <c r="J1782" s="13"/>
      <c r="K1782" s="13"/>
      <c r="L1782" s="12"/>
    </row>
    <row r="1783" spans="1:12" x14ac:dyDescent="0.25">
      <c r="A1783" s="5" t="s">
        <v>680</v>
      </c>
      <c r="B1783" s="12"/>
      <c r="C1783" s="5"/>
      <c r="D1783" s="4"/>
      <c r="E1783" s="13"/>
      <c r="F1783" s="10"/>
      <c r="G1783" s="13"/>
      <c r="H1783" s="13"/>
      <c r="I1783" s="12"/>
      <c r="J1783" s="13"/>
      <c r="K1783" s="13"/>
      <c r="L1783" s="12"/>
    </row>
    <row r="1784" spans="1:12" x14ac:dyDescent="0.25">
      <c r="A1784" s="5" t="s">
        <v>680</v>
      </c>
      <c r="B1784" s="12"/>
      <c r="C1784" s="5"/>
      <c r="D1784" s="4"/>
      <c r="E1784" s="13"/>
      <c r="F1784" s="10"/>
      <c r="G1784" s="13"/>
      <c r="H1784" s="13"/>
      <c r="I1784" s="12"/>
      <c r="J1784" s="13"/>
      <c r="K1784" s="13"/>
      <c r="L1784" s="12"/>
    </row>
    <row r="1785" spans="1:12" x14ac:dyDescent="0.25">
      <c r="A1785" s="5" t="s">
        <v>783</v>
      </c>
      <c r="B1785" s="12"/>
      <c r="C1785" s="5"/>
      <c r="D1785" s="4"/>
      <c r="E1785" s="13"/>
      <c r="F1785" s="10"/>
      <c r="G1785" s="13"/>
      <c r="H1785" s="13"/>
      <c r="I1785" s="12"/>
      <c r="J1785" s="13"/>
      <c r="K1785" s="13"/>
      <c r="L1785" s="12"/>
    </row>
    <row r="1786" spans="1:12" x14ac:dyDescent="0.25">
      <c r="A1786" s="5" t="s">
        <v>783</v>
      </c>
      <c r="B1786" s="12"/>
      <c r="C1786" s="5"/>
      <c r="D1786" s="4"/>
      <c r="E1786" s="13"/>
      <c r="F1786" s="10"/>
      <c r="G1786" s="13"/>
      <c r="H1786" s="13"/>
      <c r="I1786" s="12"/>
      <c r="J1786" s="13"/>
      <c r="K1786" s="13"/>
      <c r="L1786" s="12"/>
    </row>
    <row r="1787" spans="1:12" x14ac:dyDescent="0.25">
      <c r="A1787" s="5" t="s">
        <v>366</v>
      </c>
      <c r="B1787" s="12"/>
      <c r="C1787" s="5"/>
      <c r="D1787" s="4"/>
      <c r="E1787" s="13"/>
      <c r="F1787" s="10"/>
      <c r="G1787" s="13"/>
      <c r="H1787" s="13"/>
      <c r="I1787" s="12"/>
      <c r="J1787" s="13"/>
      <c r="K1787" s="13"/>
      <c r="L1787" s="12"/>
    </row>
    <row r="1788" spans="1:12" x14ac:dyDescent="0.25">
      <c r="A1788" s="5" t="s">
        <v>366</v>
      </c>
      <c r="B1788" s="12"/>
      <c r="C1788" s="5"/>
      <c r="D1788" s="4"/>
      <c r="E1788" s="13"/>
      <c r="F1788" s="10"/>
      <c r="G1788" s="13"/>
      <c r="H1788" s="13"/>
      <c r="I1788" s="12"/>
      <c r="J1788" s="13"/>
      <c r="K1788" s="13"/>
      <c r="L1788" s="12"/>
    </row>
    <row r="1789" spans="1:12" x14ac:dyDescent="0.25">
      <c r="A1789" s="5" t="s">
        <v>366</v>
      </c>
      <c r="B1789" s="12"/>
      <c r="C1789" s="5"/>
      <c r="D1789" s="4"/>
      <c r="E1789" s="13"/>
      <c r="F1789" s="10"/>
      <c r="G1789" s="13"/>
      <c r="H1789" s="13"/>
      <c r="I1789" s="12"/>
      <c r="J1789" s="13"/>
      <c r="K1789" s="13"/>
      <c r="L1789" s="12"/>
    </row>
    <row r="1790" spans="1:12" x14ac:dyDescent="0.25">
      <c r="A1790" s="5" t="s">
        <v>445</v>
      </c>
      <c r="B1790" s="12"/>
      <c r="C1790" s="5"/>
      <c r="D1790" s="4"/>
      <c r="E1790" s="13"/>
      <c r="F1790" s="10"/>
      <c r="G1790" s="13"/>
      <c r="H1790" s="13"/>
      <c r="I1790" s="12"/>
      <c r="J1790" s="13"/>
      <c r="K1790" s="13"/>
      <c r="L1790" s="12"/>
    </row>
    <row r="1791" spans="1:12" x14ac:dyDescent="0.25">
      <c r="A1791" s="5" t="s">
        <v>445</v>
      </c>
      <c r="B1791" s="12"/>
      <c r="C1791" s="5"/>
      <c r="D1791" s="4"/>
      <c r="E1791" s="13"/>
      <c r="F1791" s="10"/>
      <c r="G1791" s="13"/>
      <c r="H1791" s="13"/>
      <c r="I1791" s="12"/>
      <c r="J1791" s="13"/>
      <c r="K1791" s="13"/>
      <c r="L1791" s="12"/>
    </row>
    <row r="1792" spans="1:12" x14ac:dyDescent="0.25">
      <c r="A1792" s="5" t="s">
        <v>445</v>
      </c>
      <c r="B1792" s="12"/>
      <c r="C1792" s="5"/>
      <c r="D1792" s="4"/>
      <c r="E1792" s="13"/>
      <c r="F1792" s="10"/>
      <c r="G1792" s="13"/>
      <c r="H1792" s="13"/>
      <c r="I1792" s="12"/>
      <c r="J1792" s="13"/>
      <c r="K1792" s="13"/>
      <c r="L1792" s="12"/>
    </row>
    <row r="1793" spans="1:12" x14ac:dyDescent="0.25">
      <c r="A1793" s="5" t="s">
        <v>237</v>
      </c>
      <c r="B1793" s="12"/>
      <c r="C1793" s="5"/>
      <c r="D1793" s="4"/>
      <c r="E1793" s="13"/>
      <c r="F1793" s="10"/>
      <c r="G1793" s="13"/>
      <c r="H1793" s="13"/>
      <c r="I1793" s="12"/>
      <c r="J1793" s="13"/>
      <c r="K1793" s="13"/>
      <c r="L1793" s="12"/>
    </row>
    <row r="1794" spans="1:12" x14ac:dyDescent="0.25">
      <c r="A1794" s="5" t="s">
        <v>237</v>
      </c>
      <c r="B1794" s="12"/>
      <c r="C1794" s="5"/>
      <c r="D1794" s="4"/>
      <c r="E1794" s="13"/>
      <c r="F1794" s="10"/>
      <c r="G1794" s="13"/>
      <c r="H1794" s="13"/>
      <c r="I1794" s="12"/>
      <c r="J1794" s="13"/>
      <c r="K1794" s="13"/>
      <c r="L1794" s="12"/>
    </row>
    <row r="1795" spans="1:12" x14ac:dyDescent="0.25">
      <c r="A1795" s="5" t="s">
        <v>237</v>
      </c>
      <c r="B1795" s="12"/>
      <c r="C1795" s="5"/>
      <c r="D1795" s="4"/>
      <c r="E1795" s="13"/>
      <c r="F1795" s="10"/>
      <c r="G1795" s="13"/>
      <c r="H1795" s="13"/>
      <c r="I1795" s="12"/>
      <c r="J1795" s="13"/>
      <c r="K1795" s="13"/>
      <c r="L1795" s="12"/>
    </row>
    <row r="1796" spans="1:12" x14ac:dyDescent="0.25">
      <c r="A1796" s="5" t="s">
        <v>111</v>
      </c>
      <c r="B1796" s="12"/>
      <c r="C1796" s="5"/>
      <c r="D1796" s="4"/>
      <c r="E1796" s="13"/>
      <c r="F1796" s="10"/>
      <c r="G1796" s="13"/>
      <c r="H1796" s="13"/>
      <c r="I1796" s="12"/>
      <c r="J1796" s="13"/>
      <c r="K1796" s="13"/>
      <c r="L1796" s="12"/>
    </row>
    <row r="1797" spans="1:12" x14ac:dyDescent="0.25">
      <c r="A1797" s="5" t="s">
        <v>111</v>
      </c>
      <c r="B1797" s="12"/>
      <c r="C1797" s="5"/>
      <c r="D1797" s="4"/>
      <c r="E1797" s="13"/>
      <c r="F1797" s="10"/>
      <c r="G1797" s="13"/>
      <c r="H1797" s="13"/>
      <c r="I1797" s="12"/>
      <c r="J1797" s="13"/>
      <c r="K1797" s="13"/>
      <c r="L1797" s="12"/>
    </row>
    <row r="1798" spans="1:12" x14ac:dyDescent="0.25">
      <c r="A1798" s="5" t="s">
        <v>111</v>
      </c>
      <c r="B1798" s="12"/>
      <c r="C1798" s="5"/>
      <c r="D1798" s="4"/>
      <c r="E1798" s="13"/>
      <c r="F1798" s="10"/>
      <c r="G1798" s="13"/>
      <c r="H1798" s="13"/>
      <c r="I1798" s="12"/>
      <c r="J1798" s="13"/>
      <c r="K1798" s="13"/>
      <c r="L1798" s="12"/>
    </row>
    <row r="1799" spans="1:12" x14ac:dyDescent="0.25">
      <c r="A1799" s="5" t="s">
        <v>585</v>
      </c>
      <c r="B1799" s="12"/>
      <c r="C1799" s="5"/>
      <c r="D1799" s="4"/>
      <c r="E1799" s="13"/>
      <c r="F1799" s="10"/>
      <c r="G1799" s="13"/>
      <c r="H1799" s="13"/>
      <c r="I1799" s="12"/>
      <c r="J1799" s="13"/>
      <c r="K1799" s="13"/>
      <c r="L1799" s="12"/>
    </row>
    <row r="1800" spans="1:12" x14ac:dyDescent="0.25">
      <c r="A1800" s="5" t="s">
        <v>585</v>
      </c>
      <c r="B1800" s="12"/>
      <c r="C1800" s="5"/>
      <c r="D1800" s="4"/>
      <c r="E1800" s="13"/>
      <c r="F1800" s="10"/>
      <c r="G1800" s="13"/>
      <c r="H1800" s="13"/>
      <c r="I1800" s="12"/>
      <c r="J1800" s="13"/>
      <c r="K1800" s="13"/>
      <c r="L1800" s="12"/>
    </row>
    <row r="1801" spans="1:12" x14ac:dyDescent="0.25">
      <c r="A1801" s="5" t="s">
        <v>585</v>
      </c>
      <c r="B1801" s="12"/>
      <c r="C1801" s="5"/>
      <c r="D1801" s="4"/>
      <c r="E1801" s="13"/>
      <c r="F1801" s="10"/>
      <c r="G1801" s="13"/>
      <c r="H1801" s="13"/>
      <c r="I1801" s="12"/>
      <c r="J1801" s="13"/>
      <c r="K1801" s="13"/>
      <c r="L1801" s="12"/>
    </row>
    <row r="1802" spans="1:12" x14ac:dyDescent="0.25">
      <c r="A1802" s="5" t="s">
        <v>635</v>
      </c>
      <c r="B1802" s="12"/>
      <c r="C1802" s="5"/>
      <c r="D1802" s="4"/>
      <c r="E1802" s="13"/>
      <c r="F1802" s="10"/>
      <c r="G1802" s="13"/>
      <c r="H1802" s="13"/>
      <c r="I1802" s="12"/>
      <c r="J1802" s="13"/>
      <c r="K1802" s="13"/>
      <c r="L1802" s="12"/>
    </row>
    <row r="1803" spans="1:12" x14ac:dyDescent="0.25">
      <c r="A1803" s="5" t="s">
        <v>635</v>
      </c>
      <c r="B1803" s="12"/>
      <c r="C1803" s="5"/>
      <c r="D1803" s="4"/>
      <c r="E1803" s="13"/>
      <c r="F1803" s="10"/>
      <c r="G1803" s="13"/>
      <c r="H1803" s="13"/>
      <c r="I1803" s="12"/>
      <c r="J1803" s="13"/>
      <c r="K1803" s="13"/>
      <c r="L1803" s="12"/>
    </row>
    <row r="1804" spans="1:12" x14ac:dyDescent="0.25">
      <c r="A1804" s="5" t="s">
        <v>635</v>
      </c>
      <c r="B1804" s="12"/>
      <c r="C1804" s="5"/>
      <c r="D1804" s="4"/>
      <c r="E1804" s="13"/>
      <c r="F1804" s="10"/>
      <c r="G1804" s="13"/>
      <c r="H1804" s="13"/>
      <c r="I1804" s="12"/>
      <c r="J1804" s="13"/>
      <c r="K1804" s="13"/>
      <c r="L1804" s="12"/>
    </row>
    <row r="1805" spans="1:12" x14ac:dyDescent="0.25">
      <c r="A1805" s="5" t="s">
        <v>213</v>
      </c>
      <c r="B1805" s="12"/>
      <c r="C1805" s="5"/>
      <c r="D1805" s="4"/>
      <c r="E1805" s="13"/>
      <c r="F1805" s="10"/>
      <c r="G1805" s="13"/>
      <c r="H1805" s="13"/>
      <c r="I1805" s="12"/>
      <c r="J1805" s="13"/>
      <c r="K1805" s="13"/>
      <c r="L1805" s="12"/>
    </row>
    <row r="1806" spans="1:12" x14ac:dyDescent="0.25">
      <c r="A1806" s="5" t="s">
        <v>213</v>
      </c>
      <c r="B1806" s="12"/>
      <c r="C1806" s="5"/>
      <c r="D1806" s="4"/>
      <c r="E1806" s="13"/>
      <c r="F1806" s="10"/>
      <c r="G1806" s="13"/>
      <c r="H1806" s="13"/>
      <c r="I1806" s="12"/>
      <c r="J1806" s="13"/>
      <c r="K1806" s="13"/>
      <c r="L1806" s="12"/>
    </row>
    <row r="1807" spans="1:12" x14ac:dyDescent="0.25">
      <c r="A1807" s="5" t="s">
        <v>213</v>
      </c>
      <c r="B1807" s="12"/>
      <c r="C1807" s="5"/>
      <c r="D1807" s="4"/>
      <c r="E1807" s="13"/>
      <c r="F1807" s="10"/>
      <c r="G1807" s="13"/>
      <c r="H1807" s="13"/>
      <c r="I1807" s="12"/>
      <c r="J1807" s="13"/>
      <c r="K1807" s="13"/>
      <c r="L1807" s="12"/>
    </row>
    <row r="1808" spans="1:12" x14ac:dyDescent="0.25">
      <c r="A1808" s="5" t="s">
        <v>634</v>
      </c>
      <c r="B1808" s="12"/>
      <c r="C1808" s="5"/>
      <c r="D1808" s="4"/>
      <c r="E1808" s="13"/>
      <c r="F1808" s="10"/>
      <c r="G1808" s="13"/>
      <c r="H1808" s="13"/>
      <c r="I1808" s="12"/>
      <c r="J1808" s="13"/>
      <c r="K1808" s="13"/>
      <c r="L1808" s="12"/>
    </row>
    <row r="1809" spans="1:12" x14ac:dyDescent="0.25">
      <c r="A1809" s="5" t="s">
        <v>634</v>
      </c>
      <c r="B1809" s="12"/>
      <c r="C1809" s="5"/>
      <c r="D1809" s="4"/>
      <c r="E1809" s="13"/>
      <c r="F1809" s="10"/>
      <c r="G1809" s="13"/>
      <c r="H1809" s="13"/>
      <c r="I1809" s="12"/>
      <c r="J1809" s="13"/>
      <c r="K1809" s="13"/>
      <c r="L1809" s="12"/>
    </row>
    <row r="1810" spans="1:12" x14ac:dyDescent="0.25">
      <c r="A1810" s="5" t="s">
        <v>634</v>
      </c>
      <c r="B1810" s="12"/>
      <c r="C1810" s="5"/>
      <c r="D1810" s="4"/>
      <c r="E1810" s="13"/>
      <c r="F1810" s="10"/>
      <c r="G1810" s="13"/>
      <c r="H1810" s="13"/>
      <c r="I1810" s="12"/>
      <c r="J1810" s="13"/>
      <c r="K1810" s="13"/>
      <c r="L1810" s="12"/>
    </row>
    <row r="1811" spans="1:12" x14ac:dyDescent="0.25">
      <c r="A1811" s="5" t="s">
        <v>459</v>
      </c>
      <c r="B1811" s="12"/>
      <c r="C1811" s="5"/>
      <c r="D1811" s="4"/>
      <c r="E1811" s="13"/>
      <c r="F1811" s="10"/>
      <c r="G1811" s="13"/>
      <c r="H1811" s="13"/>
      <c r="I1811" s="12"/>
      <c r="J1811" s="13"/>
      <c r="K1811" s="13"/>
      <c r="L1811" s="12"/>
    </row>
    <row r="1812" spans="1:12" x14ac:dyDescent="0.25">
      <c r="A1812" s="5" t="s">
        <v>459</v>
      </c>
      <c r="B1812" s="12"/>
      <c r="C1812" s="5"/>
      <c r="D1812" s="4"/>
      <c r="E1812" s="13"/>
      <c r="F1812" s="10"/>
      <c r="G1812" s="13"/>
      <c r="H1812" s="13"/>
      <c r="I1812" s="12"/>
      <c r="J1812" s="13"/>
      <c r="K1812" s="13"/>
      <c r="L1812" s="12"/>
    </row>
    <row r="1813" spans="1:12" x14ac:dyDescent="0.25">
      <c r="A1813" s="5" t="s">
        <v>459</v>
      </c>
      <c r="B1813" s="12"/>
      <c r="C1813" s="5"/>
      <c r="D1813" s="4"/>
      <c r="E1813" s="13"/>
      <c r="F1813" s="10"/>
      <c r="G1813" s="13"/>
      <c r="H1813" s="13"/>
      <c r="I1813" s="12"/>
      <c r="J1813" s="13"/>
      <c r="K1813" s="13"/>
      <c r="L1813" s="12"/>
    </row>
    <row r="1814" spans="1:12" x14ac:dyDescent="0.25">
      <c r="A1814" s="5" t="s">
        <v>720</v>
      </c>
      <c r="B1814" s="12"/>
      <c r="C1814" s="5"/>
      <c r="D1814" s="4"/>
      <c r="E1814" s="13"/>
      <c r="F1814" s="10"/>
      <c r="G1814" s="13"/>
      <c r="H1814" s="13"/>
      <c r="I1814" s="12"/>
      <c r="J1814" s="13"/>
      <c r="K1814" s="13"/>
      <c r="L1814" s="12"/>
    </row>
    <row r="1815" spans="1:12" x14ac:dyDescent="0.25">
      <c r="A1815" s="5" t="s">
        <v>720</v>
      </c>
      <c r="B1815" s="12"/>
      <c r="C1815" s="5"/>
      <c r="D1815" s="4"/>
      <c r="E1815" s="13"/>
      <c r="F1815" s="10"/>
      <c r="G1815" s="13"/>
      <c r="H1815" s="13"/>
      <c r="I1815" s="12"/>
      <c r="J1815" s="13"/>
      <c r="K1815" s="13"/>
      <c r="L1815" s="12"/>
    </row>
    <row r="1816" spans="1:12" x14ac:dyDescent="0.25">
      <c r="A1816" s="5" t="s">
        <v>720</v>
      </c>
      <c r="B1816" s="12"/>
      <c r="C1816" s="5"/>
      <c r="D1816" s="4"/>
      <c r="E1816" s="13"/>
      <c r="F1816" s="10"/>
      <c r="G1816" s="13"/>
      <c r="H1816" s="13"/>
      <c r="I1816" s="12"/>
      <c r="J1816" s="13"/>
      <c r="K1816" s="13"/>
      <c r="L1816" s="12"/>
    </row>
    <row r="1817" spans="1:12" x14ac:dyDescent="0.25">
      <c r="A1817" s="5" t="s">
        <v>224</v>
      </c>
      <c r="B1817" s="12"/>
      <c r="C1817" s="5"/>
      <c r="D1817" s="4"/>
      <c r="E1817" s="13"/>
      <c r="F1817" s="10"/>
      <c r="G1817" s="13"/>
      <c r="H1817" s="13"/>
      <c r="I1817" s="12"/>
      <c r="J1817" s="13"/>
      <c r="K1817" s="13"/>
      <c r="L1817" s="12"/>
    </row>
    <row r="1818" spans="1:12" x14ac:dyDescent="0.25">
      <c r="A1818" s="5" t="s">
        <v>224</v>
      </c>
      <c r="B1818" s="12"/>
      <c r="C1818" s="5"/>
      <c r="D1818" s="4"/>
      <c r="E1818" s="13"/>
      <c r="F1818" s="10"/>
      <c r="G1818" s="13"/>
      <c r="H1818" s="13"/>
      <c r="I1818" s="12"/>
      <c r="J1818" s="13"/>
      <c r="K1818" s="13"/>
      <c r="L1818" s="12"/>
    </row>
    <row r="1819" spans="1:12" x14ac:dyDescent="0.25">
      <c r="A1819" s="5" t="s">
        <v>224</v>
      </c>
      <c r="B1819" s="12"/>
      <c r="C1819" s="5"/>
      <c r="D1819" s="4"/>
      <c r="E1819" s="13"/>
      <c r="F1819" s="10"/>
      <c r="G1819" s="13"/>
      <c r="H1819" s="13"/>
      <c r="I1819" s="12"/>
      <c r="J1819" s="13"/>
      <c r="K1819" s="13"/>
      <c r="L1819" s="12"/>
    </row>
    <row r="1820" spans="1:12" x14ac:dyDescent="0.25">
      <c r="A1820" s="5" t="s">
        <v>176</v>
      </c>
      <c r="B1820" s="12"/>
      <c r="C1820" s="5"/>
      <c r="D1820" s="4"/>
      <c r="E1820" s="13"/>
      <c r="F1820" s="10"/>
      <c r="G1820" s="13"/>
      <c r="H1820" s="13"/>
      <c r="I1820" s="12"/>
      <c r="J1820" s="13"/>
      <c r="K1820" s="13"/>
      <c r="L1820" s="12"/>
    </row>
    <row r="1821" spans="1:12" x14ac:dyDescent="0.25">
      <c r="A1821" s="5" t="s">
        <v>176</v>
      </c>
      <c r="B1821" s="12"/>
      <c r="C1821" s="5"/>
      <c r="D1821" s="4"/>
      <c r="E1821" s="13"/>
      <c r="F1821" s="10"/>
      <c r="G1821" s="13"/>
      <c r="H1821" s="13"/>
      <c r="I1821" s="12"/>
      <c r="J1821" s="13"/>
      <c r="K1821" s="13"/>
      <c r="L1821" s="12"/>
    </row>
    <row r="1822" spans="1:12" x14ac:dyDescent="0.25">
      <c r="A1822" s="5" t="s">
        <v>176</v>
      </c>
      <c r="B1822" s="12"/>
      <c r="C1822" s="5"/>
      <c r="D1822" s="4"/>
      <c r="E1822" s="13"/>
      <c r="F1822" s="10"/>
      <c r="G1822" s="13"/>
      <c r="H1822" s="13"/>
      <c r="I1822" s="12"/>
      <c r="J1822" s="13"/>
      <c r="K1822" s="13"/>
      <c r="L1822" s="12"/>
    </row>
    <row r="1823" spans="1:12" x14ac:dyDescent="0.25">
      <c r="A1823" s="5" t="s">
        <v>149</v>
      </c>
      <c r="B1823" s="12"/>
      <c r="C1823" s="5"/>
      <c r="D1823" s="4"/>
      <c r="E1823" s="13"/>
      <c r="F1823" s="10"/>
      <c r="G1823" s="13"/>
      <c r="H1823" s="13"/>
      <c r="I1823" s="12"/>
      <c r="J1823" s="13"/>
      <c r="K1823" s="13"/>
      <c r="L1823" s="12"/>
    </row>
    <row r="1824" spans="1:12" x14ac:dyDescent="0.25">
      <c r="A1824" s="5" t="s">
        <v>149</v>
      </c>
      <c r="B1824" s="12"/>
      <c r="C1824" s="5"/>
      <c r="D1824" s="4"/>
      <c r="E1824" s="13"/>
      <c r="F1824" s="10"/>
      <c r="G1824" s="13"/>
      <c r="H1824" s="13"/>
      <c r="I1824" s="12"/>
      <c r="J1824" s="13"/>
      <c r="K1824" s="13"/>
      <c r="L1824" s="12"/>
    </row>
    <row r="1825" spans="1:12" x14ac:dyDescent="0.25">
      <c r="A1825" s="5" t="s">
        <v>149</v>
      </c>
      <c r="B1825" s="12"/>
      <c r="C1825" s="5"/>
      <c r="D1825" s="4"/>
      <c r="E1825" s="13"/>
      <c r="F1825" s="10"/>
      <c r="G1825" s="13"/>
      <c r="H1825" s="13"/>
      <c r="I1825" s="12"/>
      <c r="J1825" s="13"/>
      <c r="K1825" s="13"/>
      <c r="L1825" s="12"/>
    </row>
    <row r="1826" spans="1:12" x14ac:dyDescent="0.25">
      <c r="A1826" s="5" t="s">
        <v>645</v>
      </c>
      <c r="B1826" s="12"/>
      <c r="C1826" s="5"/>
      <c r="D1826" s="4"/>
      <c r="E1826" s="13"/>
      <c r="F1826" s="10"/>
      <c r="G1826" s="13"/>
      <c r="H1826" s="13"/>
      <c r="I1826" s="12"/>
      <c r="J1826" s="13"/>
      <c r="K1826" s="13"/>
      <c r="L1826" s="12"/>
    </row>
    <row r="1827" spans="1:12" x14ac:dyDescent="0.25">
      <c r="A1827" s="5" t="s">
        <v>645</v>
      </c>
      <c r="B1827" s="12"/>
      <c r="C1827" s="5"/>
      <c r="D1827" s="4"/>
      <c r="E1827" s="13"/>
      <c r="F1827" s="10"/>
      <c r="G1827" s="13"/>
      <c r="H1827" s="13"/>
      <c r="I1827" s="12"/>
      <c r="J1827" s="13"/>
      <c r="K1827" s="13"/>
      <c r="L1827" s="12"/>
    </row>
    <row r="1828" spans="1:12" x14ac:dyDescent="0.25">
      <c r="A1828" s="5" t="s">
        <v>645</v>
      </c>
      <c r="B1828" s="12"/>
      <c r="C1828" s="5"/>
      <c r="D1828" s="4"/>
      <c r="E1828" s="13"/>
      <c r="F1828" s="10"/>
      <c r="G1828" s="13"/>
      <c r="H1828" s="13"/>
      <c r="I1828" s="12"/>
      <c r="J1828" s="13"/>
      <c r="K1828" s="13"/>
      <c r="L1828" s="12"/>
    </row>
    <row r="1829" spans="1:12" x14ac:dyDescent="0.25">
      <c r="A1829" s="5" t="s">
        <v>518</v>
      </c>
      <c r="B1829" s="12"/>
      <c r="C1829" s="5"/>
      <c r="D1829" s="4"/>
      <c r="E1829" s="13"/>
      <c r="F1829" s="10"/>
      <c r="G1829" s="13"/>
      <c r="H1829" s="13"/>
      <c r="I1829" s="12"/>
      <c r="J1829" s="13"/>
      <c r="K1829" s="13"/>
      <c r="L1829" s="12"/>
    </row>
    <row r="1830" spans="1:12" x14ac:dyDescent="0.25">
      <c r="A1830" s="5" t="s">
        <v>518</v>
      </c>
      <c r="B1830" s="12"/>
      <c r="C1830" s="5"/>
      <c r="D1830" s="4"/>
      <c r="E1830" s="13"/>
      <c r="F1830" s="10"/>
      <c r="G1830" s="13"/>
      <c r="H1830" s="13"/>
      <c r="I1830" s="12"/>
      <c r="J1830" s="13"/>
      <c r="K1830" s="13"/>
      <c r="L1830" s="12"/>
    </row>
    <row r="1831" spans="1:12" x14ac:dyDescent="0.25">
      <c r="A1831" s="5" t="s">
        <v>518</v>
      </c>
      <c r="B1831" s="12"/>
      <c r="C1831" s="5"/>
      <c r="D1831" s="4"/>
      <c r="E1831" s="13"/>
      <c r="F1831" s="10"/>
      <c r="G1831" s="13"/>
      <c r="H1831" s="13"/>
      <c r="I1831" s="12"/>
      <c r="J1831" s="13"/>
      <c r="K1831" s="13"/>
      <c r="L1831" s="12"/>
    </row>
    <row r="1832" spans="1:12" x14ac:dyDescent="0.25">
      <c r="A1832" s="5" t="s">
        <v>770</v>
      </c>
      <c r="B1832" s="12"/>
      <c r="C1832" s="5"/>
      <c r="D1832" s="4"/>
      <c r="E1832" s="13"/>
      <c r="F1832" s="10"/>
      <c r="G1832" s="13"/>
      <c r="H1832" s="13"/>
      <c r="I1832" s="12"/>
      <c r="J1832" s="13"/>
      <c r="K1832" s="13"/>
      <c r="L1832" s="12"/>
    </row>
    <row r="1833" spans="1:12" x14ac:dyDescent="0.25">
      <c r="A1833" s="5" t="s">
        <v>770</v>
      </c>
      <c r="B1833" s="12"/>
      <c r="C1833" s="5"/>
      <c r="D1833" s="4"/>
      <c r="E1833" s="13"/>
      <c r="F1833" s="10"/>
      <c r="G1833" s="13"/>
      <c r="H1833" s="13"/>
      <c r="I1833" s="12"/>
      <c r="J1833" s="13"/>
      <c r="K1833" s="13"/>
      <c r="L1833" s="12"/>
    </row>
    <row r="1834" spans="1:12" x14ac:dyDescent="0.25">
      <c r="A1834" s="5" t="s">
        <v>64</v>
      </c>
      <c r="B1834" s="12"/>
      <c r="C1834" s="5"/>
      <c r="D1834" s="4"/>
      <c r="E1834" s="13"/>
      <c r="F1834" s="10"/>
      <c r="G1834" s="13"/>
      <c r="H1834" s="13"/>
      <c r="I1834" s="12"/>
      <c r="J1834" s="13"/>
      <c r="K1834" s="13"/>
      <c r="L1834" s="12"/>
    </row>
    <row r="1835" spans="1:12" x14ac:dyDescent="0.25">
      <c r="A1835" s="5" t="s">
        <v>64</v>
      </c>
      <c r="B1835" s="12"/>
      <c r="C1835" s="5"/>
      <c r="D1835" s="4"/>
      <c r="E1835" s="13"/>
      <c r="F1835" s="10"/>
      <c r="G1835" s="13"/>
      <c r="H1835" s="13"/>
      <c r="I1835" s="12"/>
      <c r="J1835" s="13"/>
      <c r="K1835" s="13"/>
      <c r="L1835" s="12"/>
    </row>
    <row r="1836" spans="1:12" x14ac:dyDescent="0.25">
      <c r="A1836" s="5" t="s">
        <v>64</v>
      </c>
      <c r="B1836" s="12"/>
      <c r="C1836" s="5"/>
      <c r="D1836" s="4"/>
      <c r="E1836" s="13"/>
      <c r="F1836" s="10"/>
      <c r="G1836" s="13"/>
      <c r="H1836" s="13"/>
      <c r="I1836" s="12"/>
      <c r="J1836" s="13"/>
      <c r="K1836" s="13"/>
      <c r="L1836" s="12"/>
    </row>
    <row r="1837" spans="1:12" x14ac:dyDescent="0.25">
      <c r="A1837" s="5" t="s">
        <v>466</v>
      </c>
      <c r="B1837" s="12"/>
      <c r="C1837" s="5"/>
      <c r="D1837" s="4"/>
      <c r="E1837" s="13"/>
      <c r="F1837" s="10"/>
      <c r="G1837" s="13"/>
      <c r="H1837" s="13"/>
      <c r="I1837" s="12"/>
      <c r="J1837" s="13"/>
      <c r="K1837" s="13"/>
      <c r="L1837" s="12"/>
    </row>
    <row r="1838" spans="1:12" x14ac:dyDescent="0.25">
      <c r="A1838" s="5" t="s">
        <v>466</v>
      </c>
      <c r="B1838" s="12"/>
      <c r="C1838" s="5"/>
      <c r="D1838" s="4"/>
      <c r="E1838" s="13"/>
      <c r="F1838" s="10"/>
      <c r="G1838" s="13"/>
      <c r="H1838" s="13"/>
      <c r="I1838" s="12"/>
      <c r="J1838" s="13"/>
      <c r="K1838" s="13"/>
      <c r="L1838" s="12"/>
    </row>
    <row r="1839" spans="1:12" x14ac:dyDescent="0.25">
      <c r="A1839" s="5" t="s">
        <v>466</v>
      </c>
      <c r="B1839" s="12"/>
      <c r="C1839" s="5"/>
      <c r="D1839" s="4"/>
      <c r="E1839" s="13"/>
      <c r="F1839" s="10"/>
      <c r="G1839" s="13"/>
      <c r="H1839" s="13"/>
      <c r="I1839" s="12"/>
      <c r="J1839" s="13"/>
      <c r="K1839" s="13"/>
      <c r="L1839" s="12"/>
    </row>
    <row r="1840" spans="1:12" x14ac:dyDescent="0.25">
      <c r="A1840" s="5" t="s">
        <v>476</v>
      </c>
      <c r="B1840" s="12"/>
      <c r="C1840" s="5"/>
      <c r="D1840" s="4"/>
      <c r="E1840" s="13"/>
      <c r="F1840" s="10"/>
      <c r="G1840" s="13"/>
      <c r="H1840" s="13"/>
      <c r="I1840" s="12"/>
      <c r="J1840" s="13"/>
      <c r="K1840" s="13"/>
      <c r="L1840" s="12"/>
    </row>
    <row r="1841" spans="1:12" x14ac:dyDescent="0.25">
      <c r="A1841" s="5" t="s">
        <v>476</v>
      </c>
      <c r="B1841" s="12"/>
      <c r="C1841" s="5"/>
      <c r="D1841" s="4"/>
      <c r="E1841" s="13"/>
      <c r="F1841" s="10"/>
      <c r="G1841" s="13"/>
      <c r="H1841" s="13"/>
      <c r="I1841" s="12"/>
      <c r="J1841" s="13"/>
      <c r="K1841" s="13"/>
      <c r="L1841" s="12"/>
    </row>
    <row r="1842" spans="1:12" x14ac:dyDescent="0.25">
      <c r="A1842" s="5" t="s">
        <v>476</v>
      </c>
      <c r="B1842" s="12"/>
      <c r="C1842" s="5"/>
      <c r="D1842" s="4"/>
      <c r="E1842" s="13"/>
      <c r="F1842" s="10"/>
      <c r="G1842" s="13"/>
      <c r="H1842" s="13"/>
      <c r="I1842" s="12"/>
      <c r="J1842" s="13"/>
      <c r="K1842" s="13"/>
      <c r="L1842" s="12"/>
    </row>
    <row r="1843" spans="1:12" x14ac:dyDescent="0.25">
      <c r="A1843" s="5" t="s">
        <v>632</v>
      </c>
      <c r="B1843" s="12"/>
      <c r="C1843" s="5"/>
      <c r="D1843" s="4"/>
      <c r="E1843" s="13"/>
      <c r="F1843" s="10"/>
      <c r="G1843" s="13"/>
      <c r="H1843" s="13"/>
      <c r="I1843" s="12"/>
      <c r="J1843" s="13"/>
      <c r="K1843" s="13"/>
      <c r="L1843" s="12"/>
    </row>
    <row r="1844" spans="1:12" x14ac:dyDescent="0.25">
      <c r="A1844" s="5" t="s">
        <v>632</v>
      </c>
      <c r="B1844" s="12"/>
      <c r="C1844" s="5"/>
      <c r="D1844" s="4"/>
      <c r="E1844" s="13"/>
      <c r="F1844" s="10"/>
      <c r="G1844" s="13"/>
      <c r="H1844" s="13"/>
      <c r="I1844" s="12"/>
      <c r="J1844" s="13"/>
      <c r="K1844" s="13"/>
      <c r="L1844" s="12"/>
    </row>
    <row r="1845" spans="1:12" x14ac:dyDescent="0.25">
      <c r="A1845" s="5" t="s">
        <v>632</v>
      </c>
      <c r="B1845" s="12"/>
      <c r="C1845" s="5"/>
      <c r="D1845" s="4"/>
      <c r="E1845" s="13"/>
      <c r="F1845" s="10"/>
      <c r="G1845" s="13"/>
      <c r="H1845" s="13"/>
      <c r="I1845" s="12"/>
      <c r="J1845" s="13"/>
      <c r="K1845" s="13"/>
      <c r="L1845" s="12"/>
    </row>
    <row r="1846" spans="1:12" x14ac:dyDescent="0.25">
      <c r="A1846" s="5" t="s">
        <v>525</v>
      </c>
      <c r="B1846" s="12"/>
      <c r="C1846" s="5"/>
      <c r="D1846" s="4"/>
      <c r="E1846" s="13"/>
      <c r="F1846" s="10"/>
      <c r="G1846" s="13"/>
      <c r="H1846" s="13"/>
      <c r="I1846" s="12"/>
      <c r="J1846" s="13"/>
      <c r="K1846" s="13"/>
      <c r="L1846" s="12"/>
    </row>
    <row r="1847" spans="1:12" x14ac:dyDescent="0.25">
      <c r="A1847" s="5" t="s">
        <v>525</v>
      </c>
      <c r="B1847" s="12"/>
      <c r="C1847" s="5"/>
      <c r="D1847" s="4"/>
      <c r="E1847" s="13"/>
      <c r="F1847" s="10"/>
      <c r="G1847" s="13"/>
      <c r="H1847" s="13"/>
      <c r="I1847" s="12"/>
      <c r="J1847" s="13"/>
      <c r="K1847" s="13"/>
      <c r="L1847" s="12"/>
    </row>
    <row r="1848" spans="1:12" x14ac:dyDescent="0.25">
      <c r="A1848" s="5" t="s">
        <v>525</v>
      </c>
      <c r="B1848" s="12"/>
      <c r="C1848" s="5"/>
      <c r="D1848" s="4"/>
      <c r="E1848" s="13"/>
      <c r="F1848" s="10"/>
      <c r="G1848" s="13"/>
      <c r="H1848" s="13"/>
      <c r="I1848" s="12"/>
      <c r="J1848" s="13"/>
      <c r="K1848" s="13"/>
      <c r="L1848" s="12"/>
    </row>
    <row r="1849" spans="1:12" x14ac:dyDescent="0.25">
      <c r="A1849" s="5" t="s">
        <v>514</v>
      </c>
      <c r="B1849" s="12"/>
      <c r="C1849" s="5"/>
      <c r="D1849" s="4"/>
      <c r="E1849" s="13"/>
      <c r="F1849" s="10"/>
      <c r="G1849" s="13"/>
      <c r="H1849" s="13"/>
      <c r="I1849" s="12"/>
      <c r="J1849" s="13"/>
      <c r="K1849" s="13"/>
      <c r="L1849" s="12"/>
    </row>
    <row r="1850" spans="1:12" x14ac:dyDescent="0.25">
      <c r="A1850" s="5" t="s">
        <v>514</v>
      </c>
      <c r="B1850" s="12"/>
      <c r="C1850" s="5"/>
      <c r="D1850" s="4"/>
      <c r="E1850" s="13"/>
      <c r="F1850" s="10"/>
      <c r="G1850" s="13"/>
      <c r="H1850" s="13"/>
      <c r="I1850" s="12"/>
      <c r="J1850" s="13"/>
      <c r="K1850" s="13"/>
      <c r="L1850" s="12"/>
    </row>
    <row r="1851" spans="1:12" x14ac:dyDescent="0.25">
      <c r="A1851" s="5" t="s">
        <v>514</v>
      </c>
      <c r="B1851" s="12"/>
      <c r="C1851" s="5"/>
      <c r="D1851" s="4"/>
      <c r="E1851" s="13"/>
      <c r="F1851" s="10"/>
      <c r="G1851" s="13"/>
      <c r="H1851" s="13"/>
      <c r="I1851" s="12"/>
      <c r="J1851" s="13"/>
      <c r="K1851" s="13"/>
      <c r="L1851" s="12"/>
    </row>
    <row r="1852" spans="1:12" x14ac:dyDescent="0.25">
      <c r="A1852" s="5" t="s">
        <v>509</v>
      </c>
      <c r="B1852" s="12"/>
      <c r="C1852" s="5"/>
      <c r="D1852" s="4"/>
      <c r="E1852" s="13"/>
      <c r="F1852" s="10"/>
      <c r="G1852" s="13"/>
      <c r="H1852" s="13"/>
      <c r="I1852" s="12"/>
      <c r="J1852" s="13"/>
      <c r="K1852" s="13"/>
      <c r="L1852" s="12"/>
    </row>
    <row r="1853" spans="1:12" x14ac:dyDescent="0.25">
      <c r="A1853" s="5" t="s">
        <v>509</v>
      </c>
      <c r="B1853" s="12"/>
      <c r="C1853" s="5"/>
      <c r="D1853" s="4"/>
      <c r="E1853" s="13"/>
      <c r="F1853" s="10"/>
      <c r="G1853" s="13"/>
      <c r="H1853" s="13"/>
      <c r="I1853" s="12"/>
      <c r="J1853" s="13"/>
      <c r="K1853" s="13"/>
      <c r="L1853" s="12"/>
    </row>
    <row r="1854" spans="1:12" x14ac:dyDescent="0.25">
      <c r="A1854" s="5" t="s">
        <v>509</v>
      </c>
      <c r="B1854" s="12"/>
      <c r="C1854" s="5"/>
      <c r="D1854" s="4"/>
      <c r="E1854" s="13"/>
      <c r="F1854" s="10"/>
      <c r="G1854" s="13"/>
      <c r="H1854" s="13"/>
      <c r="I1854" s="12"/>
      <c r="J1854" s="13"/>
      <c r="K1854" s="13"/>
      <c r="L1854" s="12"/>
    </row>
    <row r="1855" spans="1:12" x14ac:dyDescent="0.25">
      <c r="A1855" s="5" t="s">
        <v>222</v>
      </c>
      <c r="B1855" s="12"/>
      <c r="C1855" s="5"/>
      <c r="D1855" s="4"/>
      <c r="E1855" s="13"/>
      <c r="F1855" s="10"/>
      <c r="G1855" s="13"/>
      <c r="H1855" s="13"/>
      <c r="I1855" s="12"/>
      <c r="J1855" s="13"/>
      <c r="K1855" s="13"/>
      <c r="L1855" s="12"/>
    </row>
    <row r="1856" spans="1:12" x14ac:dyDescent="0.25">
      <c r="A1856" s="5" t="s">
        <v>222</v>
      </c>
      <c r="B1856" s="12"/>
      <c r="C1856" s="5"/>
      <c r="D1856" s="4"/>
      <c r="E1856" s="13"/>
      <c r="F1856" s="10"/>
      <c r="G1856" s="13"/>
      <c r="H1856" s="13"/>
      <c r="I1856" s="12"/>
      <c r="J1856" s="13"/>
      <c r="K1856" s="13"/>
      <c r="L1856" s="12"/>
    </row>
    <row r="1857" spans="1:12" x14ac:dyDescent="0.25">
      <c r="A1857" s="5" t="s">
        <v>20</v>
      </c>
      <c r="B1857" s="12"/>
      <c r="C1857" s="5"/>
      <c r="D1857" s="4"/>
      <c r="E1857" s="13"/>
      <c r="F1857" s="10"/>
      <c r="G1857" s="13"/>
      <c r="H1857" s="13"/>
      <c r="I1857" s="12"/>
      <c r="J1857" s="13"/>
      <c r="K1857" s="13"/>
      <c r="L1857" s="12"/>
    </row>
    <row r="1858" spans="1:12" x14ac:dyDescent="0.25">
      <c r="A1858" s="5" t="s">
        <v>20</v>
      </c>
      <c r="B1858" s="12"/>
      <c r="C1858" s="5"/>
      <c r="D1858" s="4"/>
      <c r="E1858" s="13"/>
      <c r="F1858" s="10"/>
      <c r="G1858" s="13"/>
      <c r="H1858" s="13"/>
      <c r="I1858" s="12"/>
      <c r="J1858" s="13"/>
      <c r="K1858" s="13"/>
      <c r="L1858" s="12"/>
    </row>
    <row r="1859" spans="1:12" x14ac:dyDescent="0.25">
      <c r="A1859" s="5" t="s">
        <v>20</v>
      </c>
      <c r="B1859" s="12"/>
      <c r="C1859" s="5"/>
      <c r="D1859" s="4"/>
      <c r="E1859" s="13"/>
      <c r="F1859" s="10"/>
      <c r="G1859" s="13"/>
      <c r="H1859" s="13"/>
      <c r="I1859" s="12"/>
      <c r="J1859" s="13"/>
      <c r="K1859" s="13"/>
      <c r="L1859" s="12"/>
    </row>
    <row r="1860" spans="1:12" x14ac:dyDescent="0.25">
      <c r="A1860" s="5" t="s">
        <v>467</v>
      </c>
      <c r="B1860" s="12"/>
      <c r="C1860" s="5"/>
      <c r="D1860" s="4"/>
      <c r="E1860" s="13"/>
      <c r="F1860" s="10"/>
      <c r="G1860" s="13"/>
      <c r="H1860" s="13"/>
      <c r="I1860" s="12"/>
      <c r="J1860" s="13"/>
      <c r="K1860" s="13"/>
      <c r="L1860" s="12"/>
    </row>
    <row r="1861" spans="1:12" x14ac:dyDescent="0.25">
      <c r="A1861" s="5" t="s">
        <v>467</v>
      </c>
      <c r="B1861" s="12"/>
      <c r="C1861" s="5"/>
      <c r="D1861" s="4"/>
      <c r="E1861" s="13"/>
      <c r="F1861" s="10"/>
      <c r="G1861" s="13"/>
      <c r="H1861" s="13"/>
      <c r="I1861" s="12"/>
      <c r="J1861" s="13"/>
      <c r="K1861" s="13"/>
      <c r="L1861" s="12"/>
    </row>
    <row r="1862" spans="1:12" x14ac:dyDescent="0.25">
      <c r="A1862" s="5" t="s">
        <v>467</v>
      </c>
      <c r="B1862" s="12"/>
      <c r="C1862" s="5"/>
      <c r="D1862" s="4"/>
      <c r="E1862" s="13"/>
      <c r="F1862" s="10"/>
      <c r="G1862" s="13"/>
      <c r="H1862" s="13"/>
      <c r="I1862" s="12"/>
      <c r="J1862" s="13"/>
      <c r="K1862" s="13"/>
      <c r="L1862" s="12"/>
    </row>
    <row r="1863" spans="1:12" x14ac:dyDescent="0.25">
      <c r="A1863" s="5" t="s">
        <v>625</v>
      </c>
      <c r="B1863" s="12"/>
      <c r="C1863" s="5"/>
      <c r="D1863" s="4"/>
      <c r="E1863" s="13"/>
      <c r="F1863" s="10"/>
      <c r="G1863" s="13"/>
      <c r="H1863" s="13"/>
      <c r="I1863" s="12"/>
      <c r="J1863" s="13"/>
      <c r="K1863" s="13"/>
      <c r="L1863" s="12"/>
    </row>
    <row r="1864" spans="1:12" x14ac:dyDescent="0.25">
      <c r="A1864" s="5" t="s">
        <v>625</v>
      </c>
      <c r="B1864" s="12"/>
      <c r="C1864" s="5"/>
      <c r="D1864" s="4"/>
      <c r="E1864" s="13"/>
      <c r="F1864" s="10"/>
      <c r="G1864" s="13"/>
      <c r="H1864" s="13"/>
      <c r="I1864" s="12"/>
      <c r="J1864" s="13"/>
      <c r="K1864" s="13"/>
      <c r="L1864" s="12"/>
    </row>
    <row r="1865" spans="1:12" x14ac:dyDescent="0.25">
      <c r="A1865" s="5" t="s">
        <v>625</v>
      </c>
      <c r="B1865" s="12"/>
      <c r="C1865" s="5"/>
      <c r="D1865" s="4"/>
      <c r="E1865" s="13"/>
      <c r="F1865" s="10"/>
      <c r="G1865" s="13"/>
      <c r="H1865" s="13"/>
      <c r="I1865" s="12"/>
      <c r="J1865" s="13"/>
      <c r="K1865" s="13"/>
      <c r="L1865" s="12"/>
    </row>
    <row r="1866" spans="1:12" x14ac:dyDescent="0.25">
      <c r="A1866" s="5" t="s">
        <v>508</v>
      </c>
      <c r="B1866" s="12"/>
      <c r="C1866" s="5"/>
      <c r="D1866" s="4"/>
      <c r="E1866" s="13"/>
      <c r="F1866" s="10"/>
      <c r="G1866" s="13"/>
      <c r="H1866" s="13"/>
      <c r="I1866" s="12"/>
      <c r="J1866" s="13"/>
      <c r="K1866" s="13"/>
      <c r="L1866" s="12"/>
    </row>
    <row r="1867" spans="1:12" x14ac:dyDescent="0.25">
      <c r="A1867" s="5" t="s">
        <v>508</v>
      </c>
      <c r="B1867" s="12"/>
      <c r="C1867" s="5"/>
      <c r="D1867" s="4"/>
      <c r="E1867" s="13"/>
      <c r="F1867" s="10"/>
      <c r="G1867" s="13"/>
      <c r="H1867" s="13"/>
      <c r="I1867" s="12"/>
      <c r="J1867" s="13"/>
      <c r="K1867" s="13"/>
      <c r="L1867" s="12"/>
    </row>
    <row r="1868" spans="1:12" x14ac:dyDescent="0.25">
      <c r="A1868" s="5" t="s">
        <v>508</v>
      </c>
      <c r="B1868" s="12"/>
      <c r="C1868" s="5"/>
      <c r="D1868" s="4"/>
      <c r="E1868" s="13"/>
      <c r="F1868" s="10"/>
      <c r="G1868" s="13"/>
      <c r="H1868" s="13"/>
      <c r="I1868" s="12"/>
      <c r="J1868" s="13"/>
      <c r="K1868" s="13"/>
      <c r="L1868" s="12"/>
    </row>
    <row r="1869" spans="1:12" x14ac:dyDescent="0.25">
      <c r="A1869" s="5" t="s">
        <v>14</v>
      </c>
      <c r="B1869" s="12"/>
      <c r="C1869" s="5"/>
      <c r="D1869" s="4"/>
      <c r="E1869" s="13"/>
      <c r="F1869" s="10"/>
      <c r="G1869" s="13"/>
      <c r="H1869" s="13"/>
      <c r="I1869" s="12"/>
      <c r="J1869" s="13"/>
      <c r="K1869" s="13"/>
      <c r="L1869" s="12"/>
    </row>
    <row r="1870" spans="1:12" x14ac:dyDescent="0.25">
      <c r="A1870" s="5" t="s">
        <v>14</v>
      </c>
      <c r="B1870" s="12"/>
      <c r="C1870" s="5"/>
      <c r="D1870" s="4"/>
      <c r="E1870" s="13"/>
      <c r="F1870" s="10"/>
      <c r="G1870" s="13"/>
      <c r="H1870" s="13"/>
      <c r="I1870" s="12"/>
      <c r="J1870" s="13"/>
      <c r="K1870" s="13"/>
      <c r="L1870" s="12"/>
    </row>
    <row r="1871" spans="1:12" x14ac:dyDescent="0.25">
      <c r="A1871" s="5" t="s">
        <v>14</v>
      </c>
      <c r="B1871" s="12"/>
      <c r="C1871" s="5"/>
      <c r="D1871" s="4"/>
      <c r="E1871" s="13"/>
      <c r="F1871" s="10"/>
      <c r="G1871" s="13"/>
      <c r="H1871" s="13"/>
      <c r="I1871" s="12"/>
      <c r="J1871" s="13"/>
      <c r="K1871" s="13"/>
      <c r="L1871" s="12"/>
    </row>
    <row r="1872" spans="1:12" x14ac:dyDescent="0.25">
      <c r="A1872" s="5" t="s">
        <v>117</v>
      </c>
      <c r="B1872" s="12"/>
      <c r="C1872" s="5"/>
      <c r="D1872" s="4"/>
      <c r="E1872" s="13"/>
      <c r="F1872" s="10"/>
      <c r="G1872" s="13"/>
      <c r="H1872" s="13"/>
      <c r="I1872" s="12"/>
      <c r="J1872" s="13"/>
      <c r="K1872" s="13"/>
      <c r="L1872" s="12"/>
    </row>
    <row r="1873" spans="1:12" x14ac:dyDescent="0.25">
      <c r="A1873" s="5" t="s">
        <v>117</v>
      </c>
      <c r="B1873" s="12"/>
      <c r="C1873" s="5"/>
      <c r="D1873" s="4"/>
      <c r="E1873" s="13"/>
      <c r="F1873" s="10"/>
      <c r="G1873" s="13"/>
      <c r="H1873" s="13"/>
      <c r="I1873" s="12"/>
      <c r="J1873" s="13"/>
      <c r="K1873" s="13"/>
      <c r="L1873" s="12"/>
    </row>
    <row r="1874" spans="1:12" x14ac:dyDescent="0.25">
      <c r="A1874" s="5" t="s">
        <v>117</v>
      </c>
      <c r="B1874" s="12"/>
      <c r="C1874" s="5"/>
      <c r="D1874" s="4"/>
      <c r="E1874" s="13"/>
      <c r="F1874" s="10"/>
      <c r="G1874" s="13"/>
      <c r="H1874" s="13"/>
      <c r="I1874" s="12"/>
      <c r="J1874" s="13"/>
      <c r="K1874" s="13"/>
      <c r="L1874" s="12"/>
    </row>
    <row r="1875" spans="1:12" x14ac:dyDescent="0.25">
      <c r="A1875" s="5" t="s">
        <v>561</v>
      </c>
      <c r="B1875" s="12"/>
      <c r="C1875" s="5"/>
      <c r="D1875" s="4"/>
      <c r="E1875" s="13"/>
      <c r="F1875" s="10"/>
      <c r="G1875" s="13"/>
      <c r="H1875" s="13"/>
      <c r="I1875" s="12"/>
      <c r="J1875" s="13"/>
      <c r="K1875" s="13"/>
      <c r="L1875" s="12"/>
    </row>
    <row r="1876" spans="1:12" x14ac:dyDescent="0.25">
      <c r="A1876" s="5" t="s">
        <v>561</v>
      </c>
      <c r="B1876" s="12"/>
      <c r="C1876" s="5"/>
      <c r="D1876" s="4"/>
      <c r="E1876" s="13"/>
      <c r="F1876" s="10"/>
      <c r="G1876" s="13"/>
      <c r="H1876" s="13"/>
      <c r="I1876" s="12"/>
      <c r="J1876" s="13"/>
      <c r="K1876" s="13"/>
      <c r="L1876" s="12"/>
    </row>
    <row r="1877" spans="1:12" x14ac:dyDescent="0.25">
      <c r="A1877" s="5" t="s">
        <v>561</v>
      </c>
      <c r="B1877" s="12"/>
      <c r="C1877" s="5"/>
      <c r="D1877" s="4"/>
      <c r="E1877" s="13"/>
      <c r="F1877" s="10"/>
      <c r="G1877" s="13"/>
      <c r="H1877" s="13"/>
      <c r="I1877" s="12"/>
      <c r="J1877" s="13"/>
      <c r="K1877" s="13"/>
      <c r="L1877" s="12"/>
    </row>
    <row r="1878" spans="1:12" x14ac:dyDescent="0.25">
      <c r="A1878" s="5" t="s">
        <v>5</v>
      </c>
      <c r="B1878" s="12"/>
      <c r="C1878" s="5"/>
      <c r="D1878" s="4"/>
      <c r="E1878" s="13"/>
      <c r="F1878" s="10"/>
      <c r="G1878" s="13"/>
      <c r="H1878" s="13"/>
      <c r="I1878" s="12"/>
      <c r="J1878" s="13"/>
      <c r="K1878" s="13"/>
      <c r="L1878" s="12"/>
    </row>
    <row r="1879" spans="1:12" x14ac:dyDescent="0.25">
      <c r="A1879" s="5" t="s">
        <v>5</v>
      </c>
      <c r="B1879" s="12"/>
      <c r="C1879" s="5"/>
      <c r="D1879" s="4"/>
      <c r="E1879" s="13"/>
      <c r="F1879" s="10"/>
      <c r="G1879" s="13"/>
      <c r="H1879" s="13"/>
      <c r="I1879" s="12"/>
      <c r="J1879" s="13"/>
      <c r="K1879" s="13"/>
      <c r="L1879" s="12"/>
    </row>
    <row r="1880" spans="1:12" x14ac:dyDescent="0.25">
      <c r="A1880" s="5" t="s">
        <v>5</v>
      </c>
      <c r="B1880" s="12"/>
      <c r="C1880" s="5"/>
      <c r="D1880" s="4"/>
      <c r="E1880" s="13"/>
      <c r="F1880" s="10"/>
      <c r="G1880" s="13"/>
      <c r="H1880" s="13"/>
      <c r="I1880" s="12"/>
      <c r="J1880" s="13"/>
      <c r="K1880" s="13"/>
      <c r="L1880" s="12"/>
    </row>
    <row r="1881" spans="1:12" x14ac:dyDescent="0.25">
      <c r="A1881" s="5" t="s">
        <v>239</v>
      </c>
      <c r="B1881" s="12"/>
      <c r="C1881" s="5"/>
      <c r="D1881" s="4"/>
      <c r="E1881" s="13"/>
      <c r="F1881" s="10"/>
      <c r="G1881" s="13"/>
      <c r="H1881" s="13"/>
      <c r="I1881" s="12"/>
      <c r="J1881" s="13"/>
      <c r="K1881" s="13"/>
      <c r="L1881" s="12"/>
    </row>
    <row r="1882" spans="1:12" x14ac:dyDescent="0.25">
      <c r="A1882" s="5" t="s">
        <v>239</v>
      </c>
      <c r="B1882" s="12"/>
      <c r="C1882" s="5"/>
      <c r="D1882" s="4"/>
      <c r="E1882" s="13"/>
      <c r="F1882" s="10"/>
      <c r="G1882" s="13"/>
      <c r="H1882" s="13"/>
      <c r="I1882" s="12"/>
      <c r="J1882" s="13"/>
      <c r="K1882" s="13"/>
      <c r="L1882" s="12"/>
    </row>
    <row r="1883" spans="1:12" x14ac:dyDescent="0.25">
      <c r="A1883" s="5" t="s">
        <v>239</v>
      </c>
      <c r="B1883" s="12"/>
      <c r="C1883" s="5"/>
      <c r="D1883" s="4"/>
      <c r="E1883" s="13"/>
      <c r="F1883" s="10"/>
      <c r="G1883" s="13"/>
      <c r="H1883" s="13"/>
      <c r="I1883" s="12"/>
      <c r="J1883" s="13"/>
      <c r="K1883" s="13"/>
      <c r="L1883" s="12"/>
    </row>
    <row r="1884" spans="1:12" x14ac:dyDescent="0.25">
      <c r="A1884" s="5" t="s">
        <v>528</v>
      </c>
      <c r="B1884" s="12"/>
      <c r="C1884" s="5"/>
      <c r="D1884" s="4"/>
      <c r="E1884" s="13"/>
      <c r="F1884" s="10"/>
      <c r="G1884" s="13"/>
      <c r="H1884" s="13"/>
      <c r="I1884" s="12"/>
      <c r="J1884" s="13"/>
      <c r="K1884" s="13"/>
      <c r="L1884" s="12"/>
    </row>
    <row r="1885" spans="1:12" x14ac:dyDescent="0.25">
      <c r="A1885" s="5" t="s">
        <v>528</v>
      </c>
      <c r="B1885" s="12"/>
      <c r="C1885" s="5"/>
      <c r="D1885" s="4"/>
      <c r="E1885" s="13"/>
      <c r="F1885" s="10"/>
      <c r="G1885" s="13"/>
      <c r="H1885" s="13"/>
      <c r="I1885" s="12"/>
      <c r="J1885" s="13"/>
      <c r="K1885" s="13"/>
      <c r="L1885" s="12"/>
    </row>
    <row r="1886" spans="1:12" x14ac:dyDescent="0.25">
      <c r="A1886" s="5" t="s">
        <v>528</v>
      </c>
      <c r="B1886" s="12"/>
      <c r="C1886" s="5"/>
      <c r="D1886" s="4"/>
      <c r="E1886" s="13"/>
      <c r="F1886" s="10"/>
      <c r="G1886" s="13"/>
      <c r="H1886" s="13"/>
      <c r="I1886" s="12"/>
      <c r="J1886" s="13"/>
      <c r="K1886" s="13"/>
      <c r="L1886" s="12"/>
    </row>
    <row r="1887" spans="1:12" x14ac:dyDescent="0.25">
      <c r="A1887" s="5" t="s">
        <v>559</v>
      </c>
      <c r="B1887" s="12"/>
      <c r="C1887" s="5"/>
      <c r="D1887" s="4"/>
      <c r="E1887" s="13"/>
      <c r="F1887" s="10"/>
      <c r="G1887" s="13"/>
      <c r="H1887" s="13"/>
      <c r="I1887" s="12"/>
      <c r="J1887" s="13"/>
      <c r="K1887" s="13"/>
      <c r="L1887" s="12"/>
    </row>
    <row r="1888" spans="1:12" x14ac:dyDescent="0.25">
      <c r="A1888" s="5" t="s">
        <v>559</v>
      </c>
      <c r="B1888" s="12"/>
      <c r="C1888" s="5"/>
      <c r="D1888" s="4"/>
      <c r="E1888" s="13"/>
      <c r="F1888" s="10"/>
      <c r="G1888" s="13"/>
      <c r="H1888" s="13"/>
      <c r="I1888" s="12"/>
      <c r="J1888" s="13"/>
      <c r="K1888" s="13"/>
      <c r="L1888" s="12"/>
    </row>
    <row r="1889" spans="1:12" x14ac:dyDescent="0.25">
      <c r="A1889" s="5" t="s">
        <v>559</v>
      </c>
      <c r="B1889" s="12"/>
      <c r="C1889" s="5"/>
      <c r="D1889" s="4"/>
      <c r="E1889" s="13"/>
      <c r="F1889" s="10"/>
      <c r="G1889" s="13"/>
      <c r="H1889" s="13"/>
      <c r="I1889" s="12"/>
      <c r="J1889" s="13"/>
      <c r="K1889" s="13"/>
      <c r="L1889" s="12"/>
    </row>
    <row r="1890" spans="1:12" x14ac:dyDescent="0.25">
      <c r="A1890" s="5" t="s">
        <v>291</v>
      </c>
      <c r="B1890" s="12"/>
      <c r="C1890" s="5"/>
      <c r="D1890" s="4"/>
      <c r="E1890" s="13"/>
      <c r="F1890" s="10"/>
      <c r="G1890" s="13"/>
      <c r="H1890" s="13"/>
      <c r="I1890" s="12"/>
      <c r="J1890" s="13"/>
      <c r="K1890" s="13"/>
      <c r="L1890" s="12"/>
    </row>
    <row r="1891" spans="1:12" x14ac:dyDescent="0.25">
      <c r="A1891" s="5" t="s">
        <v>291</v>
      </c>
      <c r="B1891" s="12"/>
      <c r="C1891" s="5"/>
      <c r="D1891" s="4"/>
      <c r="E1891" s="13"/>
      <c r="F1891" s="10"/>
      <c r="G1891" s="13"/>
      <c r="H1891" s="13"/>
      <c r="I1891" s="12"/>
      <c r="J1891" s="13"/>
      <c r="K1891" s="13"/>
      <c r="L1891" s="12"/>
    </row>
    <row r="1892" spans="1:12" x14ac:dyDescent="0.25">
      <c r="A1892" s="5" t="s">
        <v>291</v>
      </c>
      <c r="B1892" s="12"/>
      <c r="C1892" s="5"/>
      <c r="D1892" s="4"/>
      <c r="E1892" s="13"/>
      <c r="F1892" s="10"/>
      <c r="G1892" s="13"/>
      <c r="H1892" s="13"/>
      <c r="I1892" s="12"/>
      <c r="J1892" s="13"/>
      <c r="K1892" s="13"/>
      <c r="L1892" s="12"/>
    </row>
    <row r="1893" spans="1:12" x14ac:dyDescent="0.25">
      <c r="A1893" s="5" t="s">
        <v>291</v>
      </c>
      <c r="B1893" s="12"/>
      <c r="C1893" s="5"/>
      <c r="D1893" s="4"/>
      <c r="E1893" s="13"/>
      <c r="F1893" s="10"/>
      <c r="G1893" s="13"/>
      <c r="H1893" s="13"/>
      <c r="I1893" s="12"/>
      <c r="J1893" s="13"/>
      <c r="K1893" s="13"/>
      <c r="L1893" s="12"/>
    </row>
    <row r="1894" spans="1:12" x14ac:dyDescent="0.25">
      <c r="A1894" s="5" t="s">
        <v>291</v>
      </c>
      <c r="B1894" s="12"/>
      <c r="C1894" s="5"/>
      <c r="D1894" s="4"/>
      <c r="E1894" s="13"/>
      <c r="F1894" s="10"/>
      <c r="G1894" s="13"/>
      <c r="H1894" s="13"/>
      <c r="I1894" s="12"/>
      <c r="J1894" s="13"/>
      <c r="K1894" s="13"/>
      <c r="L1894" s="12"/>
    </row>
    <row r="1895" spans="1:12" x14ac:dyDescent="0.25">
      <c r="A1895" s="5" t="s">
        <v>291</v>
      </c>
      <c r="B1895" s="12"/>
      <c r="C1895" s="5"/>
      <c r="D1895" s="4"/>
      <c r="E1895" s="13"/>
      <c r="F1895" s="10"/>
      <c r="G1895" s="13"/>
      <c r="H1895" s="13"/>
      <c r="I1895" s="12"/>
      <c r="J1895" s="13"/>
      <c r="K1895" s="13"/>
      <c r="L1895" s="12"/>
    </row>
    <row r="1896" spans="1:12" x14ac:dyDescent="0.25">
      <c r="A1896" s="5" t="s">
        <v>93</v>
      </c>
      <c r="B1896" s="12"/>
      <c r="C1896" s="5"/>
      <c r="D1896" s="4"/>
      <c r="E1896" s="13"/>
      <c r="F1896" s="10"/>
      <c r="G1896" s="13"/>
      <c r="H1896" s="13"/>
      <c r="I1896" s="12"/>
      <c r="J1896" s="13"/>
      <c r="K1896" s="13"/>
      <c r="L1896" s="12"/>
    </row>
    <row r="1897" spans="1:12" x14ac:dyDescent="0.25">
      <c r="A1897" s="5" t="s">
        <v>93</v>
      </c>
      <c r="B1897" s="12"/>
      <c r="C1897" s="5"/>
      <c r="D1897" s="4"/>
      <c r="E1897" s="13"/>
      <c r="F1897" s="10"/>
      <c r="G1897" s="13"/>
      <c r="H1897" s="13"/>
      <c r="I1897" s="12"/>
      <c r="J1897" s="13"/>
      <c r="K1897" s="13"/>
      <c r="L1897" s="12"/>
    </row>
    <row r="1898" spans="1:12" x14ac:dyDescent="0.25">
      <c r="A1898" s="5" t="s">
        <v>93</v>
      </c>
      <c r="B1898" s="12"/>
      <c r="C1898" s="5"/>
      <c r="D1898" s="4"/>
      <c r="E1898" s="13"/>
      <c r="F1898" s="10"/>
      <c r="G1898" s="13"/>
      <c r="H1898" s="13"/>
      <c r="I1898" s="12"/>
      <c r="J1898" s="13"/>
      <c r="K1898" s="13"/>
      <c r="L1898" s="12"/>
    </row>
    <row r="1899" spans="1:12" x14ac:dyDescent="0.25">
      <c r="A1899" s="5" t="s">
        <v>93</v>
      </c>
      <c r="B1899" s="12"/>
      <c r="C1899" s="5"/>
      <c r="D1899" s="4"/>
      <c r="E1899" s="13"/>
      <c r="F1899" s="10"/>
      <c r="G1899" s="13"/>
      <c r="H1899" s="13"/>
      <c r="I1899" s="12"/>
      <c r="J1899" s="13"/>
      <c r="K1899" s="13"/>
      <c r="L1899" s="12"/>
    </row>
    <row r="1900" spans="1:12" x14ac:dyDescent="0.25">
      <c r="A1900" s="5" t="s">
        <v>35</v>
      </c>
      <c r="B1900" s="12"/>
      <c r="C1900" s="5"/>
      <c r="D1900" s="4"/>
      <c r="E1900" s="13"/>
      <c r="F1900" s="10"/>
      <c r="G1900" s="13"/>
      <c r="H1900" s="13"/>
      <c r="I1900" s="12"/>
      <c r="J1900" s="13"/>
      <c r="K1900" s="13"/>
      <c r="L1900" s="12"/>
    </row>
    <row r="1901" spans="1:12" x14ac:dyDescent="0.25">
      <c r="A1901" s="5" t="s">
        <v>35</v>
      </c>
      <c r="B1901" s="12"/>
      <c r="C1901" s="5"/>
      <c r="D1901" s="4"/>
      <c r="E1901" s="13"/>
      <c r="F1901" s="10"/>
      <c r="G1901" s="13"/>
      <c r="H1901" s="13"/>
      <c r="I1901" s="12"/>
      <c r="J1901" s="13"/>
      <c r="K1901" s="13"/>
      <c r="L1901" s="12"/>
    </row>
    <row r="1902" spans="1:12" x14ac:dyDescent="0.25">
      <c r="A1902" s="5" t="s">
        <v>35</v>
      </c>
      <c r="B1902" s="12"/>
      <c r="C1902" s="5"/>
      <c r="D1902" s="4"/>
      <c r="E1902" s="13"/>
      <c r="F1902" s="10"/>
      <c r="G1902" s="13"/>
      <c r="H1902" s="13"/>
      <c r="I1902" s="12"/>
      <c r="J1902" s="13"/>
      <c r="K1902" s="13"/>
      <c r="L1902" s="12"/>
    </row>
    <row r="1903" spans="1:12" x14ac:dyDescent="0.25">
      <c r="A1903" s="5" t="s">
        <v>105</v>
      </c>
      <c r="B1903" s="12"/>
      <c r="C1903" s="5"/>
      <c r="D1903" s="4"/>
      <c r="E1903" s="13"/>
      <c r="F1903" s="10"/>
      <c r="G1903" s="13"/>
      <c r="H1903" s="13"/>
      <c r="I1903" s="12"/>
      <c r="J1903" s="13"/>
      <c r="K1903" s="13"/>
      <c r="L1903" s="12"/>
    </row>
    <row r="1904" spans="1:12" x14ac:dyDescent="0.25">
      <c r="A1904" s="5" t="s">
        <v>105</v>
      </c>
      <c r="B1904" s="12"/>
      <c r="C1904" s="5"/>
      <c r="D1904" s="4"/>
      <c r="E1904" s="13"/>
      <c r="F1904" s="10"/>
      <c r="G1904" s="13"/>
      <c r="H1904" s="13"/>
      <c r="I1904" s="12"/>
      <c r="J1904" s="13"/>
      <c r="K1904" s="13"/>
      <c r="L1904" s="12"/>
    </row>
    <row r="1905" spans="1:12" x14ac:dyDescent="0.25">
      <c r="A1905" s="5" t="s">
        <v>105</v>
      </c>
      <c r="B1905" s="12"/>
      <c r="C1905" s="5"/>
      <c r="D1905" s="4"/>
      <c r="E1905" s="13"/>
      <c r="F1905" s="10"/>
      <c r="G1905" s="13"/>
      <c r="H1905" s="13"/>
      <c r="I1905" s="12"/>
      <c r="J1905" s="13"/>
      <c r="K1905" s="13"/>
      <c r="L1905" s="12"/>
    </row>
    <row r="1906" spans="1:12" x14ac:dyDescent="0.25">
      <c r="A1906" s="5" t="s">
        <v>444</v>
      </c>
      <c r="B1906" s="12"/>
      <c r="C1906" s="5"/>
      <c r="D1906" s="4"/>
      <c r="E1906" s="13"/>
      <c r="F1906" s="10"/>
      <c r="G1906" s="13"/>
      <c r="H1906" s="13"/>
      <c r="I1906" s="12"/>
      <c r="J1906" s="13"/>
      <c r="K1906" s="13"/>
      <c r="L1906" s="12"/>
    </row>
    <row r="1907" spans="1:12" x14ac:dyDescent="0.25">
      <c r="A1907" s="5" t="s">
        <v>444</v>
      </c>
      <c r="B1907" s="12"/>
      <c r="C1907" s="5"/>
      <c r="D1907" s="4"/>
      <c r="E1907" s="13"/>
      <c r="F1907" s="10"/>
      <c r="G1907" s="13"/>
      <c r="H1907" s="13"/>
      <c r="I1907" s="12"/>
      <c r="J1907" s="13"/>
      <c r="K1907" s="13"/>
      <c r="L1907" s="12"/>
    </row>
    <row r="1908" spans="1:12" x14ac:dyDescent="0.25">
      <c r="A1908" s="5" t="s">
        <v>444</v>
      </c>
      <c r="B1908" s="12"/>
      <c r="C1908" s="5"/>
      <c r="D1908" s="4"/>
      <c r="E1908" s="13"/>
      <c r="F1908" s="10"/>
      <c r="G1908" s="13"/>
      <c r="H1908" s="13"/>
      <c r="I1908" s="12"/>
      <c r="J1908" s="13"/>
      <c r="K1908" s="13"/>
      <c r="L1908" s="12"/>
    </row>
    <row r="1909" spans="1:12" x14ac:dyDescent="0.25">
      <c r="A1909" s="5" t="s">
        <v>294</v>
      </c>
      <c r="B1909" s="12"/>
      <c r="C1909" s="5"/>
      <c r="D1909" s="4"/>
      <c r="E1909" s="13"/>
      <c r="F1909" s="10"/>
      <c r="G1909" s="13"/>
      <c r="H1909" s="13"/>
      <c r="I1909" s="12"/>
      <c r="J1909" s="13"/>
      <c r="K1909" s="13"/>
      <c r="L1909" s="12"/>
    </row>
    <row r="1910" spans="1:12" x14ac:dyDescent="0.25">
      <c r="A1910" s="5" t="s">
        <v>294</v>
      </c>
      <c r="B1910" s="12"/>
      <c r="C1910" s="5"/>
      <c r="D1910" s="4"/>
      <c r="E1910" s="13"/>
      <c r="F1910" s="10"/>
      <c r="G1910" s="13"/>
      <c r="H1910" s="13"/>
      <c r="I1910" s="12"/>
      <c r="J1910" s="13"/>
      <c r="K1910" s="13"/>
      <c r="L1910" s="12"/>
    </row>
    <row r="1911" spans="1:12" x14ac:dyDescent="0.25">
      <c r="A1911" s="5" t="s">
        <v>294</v>
      </c>
      <c r="B1911" s="12"/>
      <c r="C1911" s="5"/>
      <c r="D1911" s="4"/>
      <c r="E1911" s="13"/>
      <c r="F1911" s="10"/>
      <c r="G1911" s="13"/>
      <c r="H1911" s="13"/>
      <c r="I1911" s="12"/>
      <c r="J1911" s="13"/>
      <c r="K1911" s="13"/>
      <c r="L1911" s="12"/>
    </row>
    <row r="1912" spans="1:12" x14ac:dyDescent="0.25">
      <c r="A1912" s="5" t="s">
        <v>623</v>
      </c>
      <c r="B1912" s="12"/>
      <c r="C1912" s="5"/>
      <c r="D1912" s="4"/>
      <c r="E1912" s="13"/>
      <c r="F1912" s="10"/>
      <c r="G1912" s="13"/>
      <c r="H1912" s="13"/>
      <c r="I1912" s="12"/>
      <c r="J1912" s="13"/>
      <c r="K1912" s="13"/>
      <c r="L1912" s="12"/>
    </row>
    <row r="1913" spans="1:12" x14ac:dyDescent="0.25">
      <c r="A1913" s="5" t="s">
        <v>623</v>
      </c>
      <c r="B1913" s="12"/>
      <c r="C1913" s="5"/>
      <c r="D1913" s="4"/>
      <c r="E1913" s="13"/>
      <c r="F1913" s="10"/>
      <c r="G1913" s="13"/>
      <c r="H1913" s="13"/>
      <c r="I1913" s="12"/>
      <c r="J1913" s="13"/>
      <c r="K1913" s="13"/>
      <c r="L1913" s="12"/>
    </row>
    <row r="1914" spans="1:12" x14ac:dyDescent="0.25">
      <c r="A1914" s="5" t="s">
        <v>623</v>
      </c>
      <c r="B1914" s="12"/>
      <c r="C1914" s="5"/>
      <c r="D1914" s="4"/>
      <c r="E1914" s="13"/>
      <c r="F1914" s="10"/>
      <c r="G1914" s="13"/>
      <c r="H1914" s="13"/>
      <c r="I1914" s="12"/>
      <c r="J1914" s="13"/>
      <c r="K1914" s="13"/>
      <c r="L1914" s="12"/>
    </row>
    <row r="1915" spans="1:12" x14ac:dyDescent="0.25">
      <c r="A1915" s="5" t="s">
        <v>95</v>
      </c>
      <c r="B1915" s="12"/>
      <c r="C1915" s="5"/>
      <c r="D1915" s="4"/>
      <c r="E1915" s="13"/>
      <c r="F1915" s="10"/>
      <c r="G1915" s="13"/>
      <c r="H1915" s="13"/>
      <c r="I1915" s="12"/>
      <c r="J1915" s="13"/>
      <c r="K1915" s="13"/>
      <c r="L1915" s="12"/>
    </row>
    <row r="1916" spans="1:12" x14ac:dyDescent="0.25">
      <c r="A1916" s="5" t="s">
        <v>95</v>
      </c>
      <c r="B1916" s="12"/>
      <c r="C1916" s="5"/>
      <c r="D1916" s="4"/>
      <c r="E1916" s="13"/>
      <c r="F1916" s="10"/>
      <c r="G1916" s="13"/>
      <c r="H1916" s="13"/>
      <c r="I1916" s="12"/>
      <c r="J1916" s="13"/>
      <c r="K1916" s="13"/>
      <c r="L1916" s="12"/>
    </row>
    <row r="1917" spans="1:12" x14ac:dyDescent="0.25">
      <c r="A1917" s="5" t="s">
        <v>95</v>
      </c>
      <c r="B1917" s="12"/>
      <c r="C1917" s="5"/>
      <c r="D1917" s="4"/>
      <c r="E1917" s="13"/>
      <c r="F1917" s="10"/>
      <c r="G1917" s="13"/>
      <c r="H1917" s="13"/>
      <c r="I1917" s="12"/>
      <c r="J1917" s="13"/>
      <c r="K1917" s="13"/>
      <c r="L1917" s="12"/>
    </row>
    <row r="1918" spans="1:12" x14ac:dyDescent="0.25">
      <c r="A1918" s="5" t="s">
        <v>708</v>
      </c>
      <c r="B1918" s="12"/>
      <c r="C1918" s="5"/>
      <c r="D1918" s="4"/>
      <c r="E1918" s="13"/>
      <c r="F1918" s="10"/>
      <c r="G1918" s="13"/>
      <c r="H1918" s="13"/>
      <c r="I1918" s="12"/>
      <c r="J1918" s="13"/>
      <c r="K1918" s="13"/>
      <c r="L1918" s="12"/>
    </row>
    <row r="1919" spans="1:12" x14ac:dyDescent="0.25">
      <c r="A1919" s="5" t="s">
        <v>708</v>
      </c>
      <c r="B1919" s="12"/>
      <c r="C1919" s="5"/>
      <c r="D1919" s="4"/>
      <c r="E1919" s="13"/>
      <c r="F1919" s="10"/>
      <c r="G1919" s="13"/>
      <c r="H1919" s="13"/>
      <c r="I1919" s="12"/>
      <c r="J1919" s="13"/>
      <c r="K1919" s="13"/>
      <c r="L1919" s="12"/>
    </row>
    <row r="1920" spans="1:12" x14ac:dyDescent="0.25">
      <c r="A1920" s="5" t="s">
        <v>708</v>
      </c>
      <c r="B1920" s="12"/>
      <c r="C1920" s="5"/>
      <c r="D1920" s="4"/>
      <c r="E1920" s="13"/>
      <c r="F1920" s="10"/>
      <c r="G1920" s="13"/>
      <c r="H1920" s="13"/>
      <c r="I1920" s="12"/>
      <c r="J1920" s="13"/>
      <c r="K1920" s="13"/>
      <c r="L1920" s="12"/>
    </row>
    <row r="1921" spans="1:12" x14ac:dyDescent="0.25">
      <c r="A1921" s="5" t="s">
        <v>593</v>
      </c>
      <c r="B1921" s="12"/>
      <c r="C1921" s="5"/>
      <c r="D1921" s="4"/>
      <c r="E1921" s="13"/>
      <c r="F1921" s="10"/>
      <c r="G1921" s="13"/>
      <c r="H1921" s="13"/>
      <c r="I1921" s="12"/>
      <c r="J1921" s="13"/>
      <c r="K1921" s="13"/>
      <c r="L1921" s="12"/>
    </row>
    <row r="1922" spans="1:12" x14ac:dyDescent="0.25">
      <c r="A1922" s="5" t="s">
        <v>593</v>
      </c>
      <c r="B1922" s="12"/>
      <c r="C1922" s="5"/>
      <c r="D1922" s="4"/>
      <c r="E1922" s="13"/>
      <c r="F1922" s="10"/>
      <c r="G1922" s="13"/>
      <c r="H1922" s="13"/>
      <c r="I1922" s="12"/>
      <c r="J1922" s="13"/>
      <c r="K1922" s="13"/>
      <c r="L1922" s="12"/>
    </row>
    <row r="1923" spans="1:12" x14ac:dyDescent="0.25">
      <c r="A1923" s="5" t="s">
        <v>593</v>
      </c>
      <c r="B1923" s="12"/>
      <c r="C1923" s="5"/>
      <c r="D1923" s="4"/>
      <c r="E1923" s="13"/>
      <c r="F1923" s="10"/>
      <c r="G1923" s="13"/>
      <c r="H1923" s="13"/>
      <c r="I1923" s="12"/>
      <c r="J1923" s="13"/>
      <c r="K1923" s="13"/>
      <c r="L1923" s="12"/>
    </row>
    <row r="1924" spans="1:12" x14ac:dyDescent="0.25">
      <c r="A1924" s="5" t="s">
        <v>482</v>
      </c>
      <c r="B1924" s="12"/>
      <c r="C1924" s="5"/>
      <c r="D1924" s="4"/>
      <c r="E1924" s="13"/>
      <c r="F1924" s="10"/>
      <c r="G1924" s="13"/>
      <c r="H1924" s="13"/>
      <c r="I1924" s="12"/>
      <c r="J1924" s="13"/>
      <c r="K1924" s="13"/>
      <c r="L1924" s="12"/>
    </row>
    <row r="1925" spans="1:12" x14ac:dyDescent="0.25">
      <c r="A1925" s="5" t="s">
        <v>482</v>
      </c>
      <c r="B1925" s="12"/>
      <c r="C1925" s="5"/>
      <c r="D1925" s="4"/>
      <c r="E1925" s="13"/>
      <c r="F1925" s="10"/>
      <c r="G1925" s="13"/>
      <c r="H1925" s="13"/>
      <c r="I1925" s="12"/>
      <c r="J1925" s="13"/>
      <c r="K1925" s="13"/>
      <c r="L1925" s="12"/>
    </row>
    <row r="1926" spans="1:12" x14ac:dyDescent="0.25">
      <c r="A1926" s="5" t="s">
        <v>482</v>
      </c>
      <c r="B1926" s="12"/>
      <c r="C1926" s="5"/>
      <c r="D1926" s="4"/>
      <c r="E1926" s="13"/>
      <c r="F1926" s="10"/>
      <c r="G1926" s="13"/>
      <c r="H1926" s="13"/>
      <c r="I1926" s="12"/>
      <c r="J1926" s="13"/>
      <c r="K1926" s="13"/>
      <c r="L1926" s="12"/>
    </row>
    <row r="1927" spans="1:12" x14ac:dyDescent="0.25">
      <c r="A1927" s="5" t="s">
        <v>10</v>
      </c>
      <c r="B1927" s="12"/>
      <c r="C1927" s="5"/>
      <c r="D1927" s="4"/>
      <c r="E1927" s="13"/>
      <c r="F1927" s="10"/>
      <c r="G1927" s="13"/>
      <c r="H1927" s="13"/>
      <c r="I1927" s="12"/>
      <c r="J1927" s="13"/>
      <c r="K1927" s="13"/>
      <c r="L1927" s="12"/>
    </row>
    <row r="1928" spans="1:12" x14ac:dyDescent="0.25">
      <c r="A1928" s="5" t="s">
        <v>10</v>
      </c>
      <c r="B1928" s="12"/>
      <c r="C1928" s="5"/>
      <c r="D1928" s="4"/>
      <c r="E1928" s="13"/>
      <c r="F1928" s="10"/>
      <c r="G1928" s="13"/>
      <c r="H1928" s="13"/>
      <c r="I1928" s="12"/>
      <c r="J1928" s="13"/>
      <c r="K1928" s="13"/>
      <c r="L1928" s="12"/>
    </row>
    <row r="1929" spans="1:12" x14ac:dyDescent="0.25">
      <c r="A1929" s="5" t="s">
        <v>10</v>
      </c>
      <c r="B1929" s="12"/>
      <c r="C1929" s="5"/>
      <c r="D1929" s="4"/>
      <c r="E1929" s="13"/>
      <c r="F1929" s="10"/>
      <c r="G1929" s="13"/>
      <c r="H1929" s="13"/>
      <c r="I1929" s="12"/>
      <c r="J1929" s="13"/>
      <c r="K1929" s="13"/>
      <c r="L1929" s="12"/>
    </row>
    <row r="1930" spans="1:12" x14ac:dyDescent="0.25">
      <c r="A1930" s="5" t="s">
        <v>678</v>
      </c>
      <c r="B1930" s="12"/>
      <c r="C1930" s="5"/>
      <c r="D1930" s="4"/>
      <c r="E1930" s="13"/>
      <c r="F1930" s="10"/>
      <c r="G1930" s="13"/>
      <c r="H1930" s="13"/>
      <c r="I1930" s="12"/>
      <c r="J1930" s="13"/>
      <c r="K1930" s="13"/>
      <c r="L1930" s="12"/>
    </row>
    <row r="1931" spans="1:12" x14ac:dyDescent="0.25">
      <c r="A1931" s="5" t="s">
        <v>678</v>
      </c>
      <c r="B1931" s="12"/>
      <c r="C1931" s="5"/>
      <c r="D1931" s="4"/>
      <c r="E1931" s="13"/>
      <c r="F1931" s="10"/>
      <c r="G1931" s="13"/>
      <c r="H1931" s="13"/>
      <c r="I1931" s="12"/>
      <c r="J1931" s="13"/>
      <c r="K1931" s="13"/>
      <c r="L1931" s="12"/>
    </row>
    <row r="1932" spans="1:12" x14ac:dyDescent="0.25">
      <c r="A1932" s="5" t="s">
        <v>678</v>
      </c>
      <c r="B1932" s="12"/>
      <c r="C1932" s="5"/>
      <c r="D1932" s="4"/>
      <c r="E1932" s="13"/>
      <c r="F1932" s="10"/>
      <c r="G1932" s="13"/>
      <c r="H1932" s="13"/>
      <c r="I1932" s="12"/>
      <c r="J1932" s="13"/>
      <c r="K1932" s="13"/>
      <c r="L1932" s="12"/>
    </row>
    <row r="1933" spans="1:12" x14ac:dyDescent="0.25">
      <c r="A1933" s="5" t="s">
        <v>604</v>
      </c>
      <c r="B1933" s="12"/>
      <c r="C1933" s="5"/>
      <c r="D1933" s="4"/>
      <c r="E1933" s="13"/>
      <c r="F1933" s="10"/>
      <c r="G1933" s="13"/>
      <c r="H1933" s="13"/>
      <c r="I1933" s="12"/>
      <c r="J1933" s="13"/>
      <c r="K1933" s="13"/>
      <c r="L1933" s="12"/>
    </row>
    <row r="1934" spans="1:12" x14ac:dyDescent="0.25">
      <c r="A1934" s="5" t="s">
        <v>604</v>
      </c>
      <c r="B1934" s="12"/>
      <c r="C1934" s="5"/>
      <c r="D1934" s="4"/>
      <c r="E1934" s="13"/>
      <c r="F1934" s="10"/>
      <c r="G1934" s="13"/>
      <c r="H1934" s="13"/>
      <c r="I1934" s="12"/>
      <c r="J1934" s="13"/>
      <c r="K1934" s="13"/>
      <c r="L1934" s="12"/>
    </row>
    <row r="1935" spans="1:12" x14ac:dyDescent="0.25">
      <c r="A1935" s="5" t="s">
        <v>604</v>
      </c>
      <c r="B1935" s="12"/>
      <c r="C1935" s="5"/>
      <c r="D1935" s="4"/>
      <c r="E1935" s="13"/>
      <c r="F1935" s="10"/>
      <c r="G1935" s="13"/>
      <c r="H1935" s="13"/>
      <c r="I1935" s="12"/>
      <c r="J1935" s="13"/>
      <c r="K1935" s="13"/>
      <c r="L1935" s="12"/>
    </row>
    <row r="1936" spans="1:12" x14ac:dyDescent="0.25">
      <c r="A1936" s="5" t="s">
        <v>560</v>
      </c>
      <c r="B1936" s="12"/>
      <c r="C1936" s="5"/>
      <c r="D1936" s="4"/>
      <c r="E1936" s="13"/>
      <c r="F1936" s="10"/>
      <c r="G1936" s="13"/>
      <c r="H1936" s="13"/>
      <c r="I1936" s="12"/>
      <c r="J1936" s="13"/>
      <c r="K1936" s="13"/>
      <c r="L1936" s="12"/>
    </row>
    <row r="1937" spans="1:12" x14ac:dyDescent="0.25">
      <c r="A1937" s="5" t="s">
        <v>560</v>
      </c>
      <c r="B1937" s="12"/>
      <c r="C1937" s="5"/>
      <c r="D1937" s="4"/>
      <c r="E1937" s="13"/>
      <c r="F1937" s="10"/>
      <c r="G1937" s="13"/>
      <c r="H1937" s="13"/>
      <c r="I1937" s="12"/>
      <c r="J1937" s="13"/>
      <c r="K1937" s="13"/>
      <c r="L1937" s="12"/>
    </row>
    <row r="1938" spans="1:12" x14ac:dyDescent="0.25">
      <c r="A1938" s="5" t="s">
        <v>560</v>
      </c>
      <c r="B1938" s="12"/>
      <c r="C1938" s="5"/>
      <c r="D1938" s="4"/>
      <c r="E1938" s="13"/>
      <c r="F1938" s="10"/>
      <c r="G1938" s="13"/>
      <c r="H1938" s="13"/>
      <c r="I1938" s="12"/>
      <c r="J1938" s="13"/>
      <c r="K1938" s="13"/>
      <c r="L1938" s="12"/>
    </row>
    <row r="1939" spans="1:12" x14ac:dyDescent="0.25">
      <c r="A1939" s="5" t="s">
        <v>431</v>
      </c>
      <c r="B1939" s="12"/>
      <c r="C1939" s="5"/>
      <c r="D1939" s="4"/>
      <c r="E1939" s="13"/>
      <c r="F1939" s="10"/>
      <c r="G1939" s="13"/>
      <c r="H1939" s="13"/>
      <c r="I1939" s="12"/>
      <c r="J1939" s="13"/>
      <c r="K1939" s="13"/>
      <c r="L1939" s="12"/>
    </row>
    <row r="1940" spans="1:12" x14ac:dyDescent="0.25">
      <c r="A1940" s="5" t="s">
        <v>431</v>
      </c>
      <c r="B1940" s="12"/>
      <c r="C1940" s="5"/>
      <c r="D1940" s="4"/>
      <c r="E1940" s="13"/>
      <c r="F1940" s="10"/>
      <c r="G1940" s="13"/>
      <c r="H1940" s="13"/>
      <c r="I1940" s="12"/>
      <c r="J1940" s="13"/>
      <c r="K1940" s="13"/>
      <c r="L1940" s="12"/>
    </row>
    <row r="1941" spans="1:12" x14ac:dyDescent="0.25">
      <c r="A1941" s="5" t="s">
        <v>431</v>
      </c>
      <c r="B1941" s="12"/>
      <c r="C1941" s="5"/>
      <c r="D1941" s="4"/>
      <c r="E1941" s="13"/>
      <c r="F1941" s="10"/>
      <c r="G1941" s="13"/>
      <c r="H1941" s="13"/>
      <c r="I1941" s="12"/>
      <c r="J1941" s="13"/>
      <c r="K1941" s="13"/>
      <c r="L1941" s="12"/>
    </row>
    <row r="1942" spans="1:12" x14ac:dyDescent="0.25">
      <c r="A1942" s="5" t="s">
        <v>181</v>
      </c>
      <c r="B1942" s="12"/>
      <c r="C1942" s="5"/>
      <c r="D1942" s="4"/>
      <c r="E1942" s="13"/>
      <c r="F1942" s="10"/>
      <c r="G1942" s="13"/>
      <c r="H1942" s="13"/>
      <c r="I1942" s="12"/>
      <c r="J1942" s="13"/>
      <c r="K1942" s="13"/>
      <c r="L1942" s="12"/>
    </row>
    <row r="1943" spans="1:12" x14ac:dyDescent="0.25">
      <c r="A1943" s="5" t="s">
        <v>181</v>
      </c>
      <c r="B1943" s="12"/>
      <c r="C1943" s="5"/>
      <c r="D1943" s="4"/>
      <c r="E1943" s="13"/>
      <c r="F1943" s="10"/>
      <c r="G1943" s="13"/>
      <c r="H1943" s="13"/>
      <c r="I1943" s="12"/>
      <c r="J1943" s="13"/>
      <c r="K1943" s="13"/>
      <c r="L1943" s="12"/>
    </row>
    <row r="1944" spans="1:12" x14ac:dyDescent="0.25">
      <c r="A1944" s="5" t="s">
        <v>181</v>
      </c>
      <c r="B1944" s="12"/>
      <c r="C1944" s="5"/>
      <c r="D1944" s="4"/>
      <c r="E1944" s="13"/>
      <c r="F1944" s="10"/>
      <c r="G1944" s="13"/>
      <c r="H1944" s="13"/>
      <c r="I1944" s="12"/>
      <c r="J1944" s="13"/>
      <c r="K1944" s="13"/>
      <c r="L1944" s="12"/>
    </row>
    <row r="1945" spans="1:12" x14ac:dyDescent="0.25">
      <c r="A1945" s="5" t="s">
        <v>458</v>
      </c>
      <c r="B1945" s="12"/>
      <c r="C1945" s="5"/>
      <c r="D1945" s="4"/>
      <c r="E1945" s="13"/>
      <c r="F1945" s="10"/>
      <c r="G1945" s="13"/>
      <c r="H1945" s="13"/>
      <c r="I1945" s="12"/>
      <c r="J1945" s="13"/>
      <c r="K1945" s="13"/>
      <c r="L1945" s="12"/>
    </row>
    <row r="1946" spans="1:12" x14ac:dyDescent="0.25">
      <c r="A1946" s="5" t="s">
        <v>458</v>
      </c>
      <c r="B1946" s="12"/>
      <c r="C1946" s="5"/>
      <c r="D1946" s="4"/>
      <c r="E1946" s="13"/>
      <c r="F1946" s="10"/>
      <c r="G1946" s="13"/>
      <c r="H1946" s="13"/>
      <c r="I1946" s="12"/>
      <c r="J1946" s="13"/>
      <c r="K1946" s="13"/>
      <c r="L1946" s="12"/>
    </row>
    <row r="1947" spans="1:12" x14ac:dyDescent="0.25">
      <c r="A1947" s="5" t="s">
        <v>458</v>
      </c>
      <c r="B1947" s="12"/>
      <c r="C1947" s="5"/>
      <c r="D1947" s="4"/>
      <c r="E1947" s="13"/>
      <c r="F1947" s="10"/>
      <c r="G1947" s="13"/>
      <c r="H1947" s="13"/>
      <c r="I1947" s="12"/>
      <c r="J1947" s="13"/>
      <c r="K1947" s="13"/>
      <c r="L1947" s="12"/>
    </row>
    <row r="1948" spans="1:12" x14ac:dyDescent="0.25">
      <c r="A1948" s="5" t="s">
        <v>562</v>
      </c>
      <c r="B1948" s="12"/>
      <c r="C1948" s="5"/>
      <c r="D1948" s="4"/>
      <c r="E1948" s="13"/>
      <c r="F1948" s="10"/>
      <c r="G1948" s="13"/>
      <c r="H1948" s="13"/>
      <c r="I1948" s="12"/>
      <c r="J1948" s="13"/>
      <c r="K1948" s="13"/>
      <c r="L1948" s="12"/>
    </row>
    <row r="1949" spans="1:12" x14ac:dyDescent="0.25">
      <c r="A1949" s="5" t="s">
        <v>562</v>
      </c>
      <c r="B1949" s="12"/>
      <c r="C1949" s="5"/>
      <c r="D1949" s="4"/>
      <c r="E1949" s="13"/>
      <c r="F1949" s="10"/>
      <c r="G1949" s="13"/>
      <c r="H1949" s="13"/>
      <c r="I1949" s="12"/>
      <c r="J1949" s="13"/>
      <c r="K1949" s="13"/>
      <c r="L1949" s="12"/>
    </row>
    <row r="1950" spans="1:12" x14ac:dyDescent="0.25">
      <c r="A1950" s="5" t="s">
        <v>562</v>
      </c>
      <c r="B1950" s="12"/>
      <c r="C1950" s="5"/>
      <c r="D1950" s="4"/>
      <c r="E1950" s="13"/>
      <c r="F1950" s="10"/>
      <c r="G1950" s="13"/>
      <c r="H1950" s="13"/>
      <c r="I1950" s="12"/>
      <c r="J1950" s="13"/>
      <c r="K1950" s="13"/>
      <c r="L1950" s="12"/>
    </row>
    <row r="1951" spans="1:12" x14ac:dyDescent="0.25">
      <c r="A1951" s="5" t="s">
        <v>626</v>
      </c>
      <c r="B1951" s="12"/>
      <c r="C1951" s="5"/>
      <c r="D1951" s="4"/>
      <c r="E1951" s="13"/>
      <c r="F1951" s="10"/>
      <c r="G1951" s="13"/>
      <c r="H1951" s="13"/>
      <c r="I1951" s="12"/>
      <c r="J1951" s="13"/>
      <c r="K1951" s="13"/>
      <c r="L1951" s="12"/>
    </row>
    <row r="1952" spans="1:12" x14ac:dyDescent="0.25">
      <c r="A1952" s="5" t="s">
        <v>626</v>
      </c>
      <c r="B1952" s="12"/>
      <c r="C1952" s="5"/>
      <c r="D1952" s="4"/>
      <c r="E1952" s="13"/>
      <c r="F1952" s="10"/>
      <c r="G1952" s="13"/>
      <c r="H1952" s="13"/>
      <c r="I1952" s="12"/>
      <c r="J1952" s="13"/>
      <c r="K1952" s="13"/>
      <c r="L1952" s="12"/>
    </row>
    <row r="1953" spans="1:12" x14ac:dyDescent="0.25">
      <c r="A1953" s="5" t="s">
        <v>626</v>
      </c>
      <c r="B1953" s="12"/>
      <c r="C1953" s="5"/>
      <c r="D1953" s="4"/>
      <c r="E1953" s="13"/>
      <c r="F1953" s="10"/>
      <c r="G1953" s="13"/>
      <c r="H1953" s="13"/>
      <c r="I1953" s="12"/>
      <c r="J1953" s="13"/>
      <c r="K1953" s="13"/>
      <c r="L1953" s="12"/>
    </row>
    <row r="1954" spans="1:12" x14ac:dyDescent="0.25">
      <c r="A1954" s="5" t="s">
        <v>694</v>
      </c>
      <c r="B1954" s="12"/>
      <c r="C1954" s="5"/>
      <c r="D1954" s="4"/>
      <c r="E1954" s="13"/>
      <c r="F1954" s="10"/>
      <c r="G1954" s="13"/>
      <c r="H1954" s="13"/>
      <c r="I1954" s="12"/>
      <c r="J1954" s="13"/>
      <c r="K1954" s="13"/>
      <c r="L1954" s="12"/>
    </row>
    <row r="1955" spans="1:12" x14ac:dyDescent="0.25">
      <c r="A1955" s="5" t="s">
        <v>694</v>
      </c>
      <c r="B1955" s="12"/>
      <c r="C1955" s="5"/>
      <c r="D1955" s="4"/>
      <c r="E1955" s="13"/>
      <c r="F1955" s="10"/>
      <c r="G1955" s="13"/>
      <c r="H1955" s="13"/>
      <c r="I1955" s="12"/>
      <c r="J1955" s="13"/>
      <c r="K1955" s="13"/>
      <c r="L1955" s="12"/>
    </row>
    <row r="1956" spans="1:12" x14ac:dyDescent="0.25">
      <c r="A1956" s="5" t="s">
        <v>694</v>
      </c>
      <c r="B1956" s="12"/>
      <c r="C1956" s="5"/>
      <c r="D1956" s="4"/>
      <c r="E1956" s="13"/>
      <c r="F1956" s="10"/>
      <c r="G1956" s="13"/>
      <c r="H1956" s="13"/>
      <c r="I1956" s="12"/>
      <c r="J1956" s="13"/>
      <c r="K1956" s="13"/>
      <c r="L1956" s="12"/>
    </row>
    <row r="1957" spans="1:12" x14ac:dyDescent="0.25">
      <c r="A1957" s="5" t="s">
        <v>23</v>
      </c>
      <c r="B1957" s="12"/>
      <c r="C1957" s="5"/>
      <c r="D1957" s="4"/>
      <c r="E1957" s="13"/>
      <c r="F1957" s="10"/>
      <c r="G1957" s="13"/>
      <c r="H1957" s="13"/>
      <c r="I1957" s="12"/>
      <c r="J1957" s="13"/>
      <c r="K1957" s="13"/>
      <c r="L1957" s="12"/>
    </row>
    <row r="1958" spans="1:12" x14ac:dyDescent="0.25">
      <c r="A1958" s="5" t="s">
        <v>23</v>
      </c>
      <c r="B1958" s="12"/>
      <c r="C1958" s="5"/>
      <c r="D1958" s="4"/>
      <c r="E1958" s="13"/>
      <c r="F1958" s="10"/>
      <c r="G1958" s="13"/>
      <c r="H1958" s="13"/>
      <c r="I1958" s="12"/>
      <c r="J1958" s="13"/>
      <c r="K1958" s="13"/>
      <c r="L1958" s="12"/>
    </row>
    <row r="1959" spans="1:12" x14ac:dyDescent="0.25">
      <c r="A1959" s="5" t="s">
        <v>23</v>
      </c>
      <c r="B1959" s="12"/>
      <c r="C1959" s="5"/>
      <c r="D1959" s="4"/>
      <c r="E1959" s="13"/>
      <c r="F1959" s="10"/>
      <c r="G1959" s="13"/>
      <c r="H1959" s="13"/>
      <c r="I1959" s="12"/>
      <c r="J1959" s="13"/>
      <c r="K1959" s="13"/>
      <c r="L1959" s="12"/>
    </row>
    <row r="1960" spans="1:12" x14ac:dyDescent="0.25">
      <c r="A1960" s="5" t="s">
        <v>661</v>
      </c>
      <c r="B1960" s="12"/>
      <c r="C1960" s="5"/>
      <c r="D1960" s="4"/>
      <c r="E1960" s="13"/>
      <c r="F1960" s="10"/>
      <c r="G1960" s="13"/>
      <c r="H1960" s="13"/>
      <c r="I1960" s="12"/>
      <c r="J1960" s="13"/>
      <c r="K1960" s="13"/>
      <c r="L1960" s="12"/>
    </row>
    <row r="1961" spans="1:12" x14ac:dyDescent="0.25">
      <c r="A1961" s="5" t="s">
        <v>661</v>
      </c>
      <c r="B1961" s="12"/>
      <c r="C1961" s="5"/>
      <c r="D1961" s="4"/>
      <c r="E1961" s="13"/>
      <c r="F1961" s="10"/>
      <c r="G1961" s="13"/>
      <c r="H1961" s="13"/>
      <c r="I1961" s="12"/>
      <c r="J1961" s="13"/>
      <c r="K1961" s="13"/>
      <c r="L1961" s="12"/>
    </row>
    <row r="1962" spans="1:12" x14ac:dyDescent="0.25">
      <c r="A1962" s="5" t="s">
        <v>661</v>
      </c>
      <c r="B1962" s="12"/>
      <c r="C1962" s="5"/>
      <c r="D1962" s="4"/>
      <c r="E1962" s="13"/>
      <c r="F1962" s="10"/>
      <c r="G1962" s="13"/>
      <c r="H1962" s="13"/>
      <c r="I1962" s="12"/>
      <c r="J1962" s="13"/>
      <c r="K1962" s="13"/>
      <c r="L1962" s="12"/>
    </row>
    <row r="1963" spans="1:12" x14ac:dyDescent="0.25">
      <c r="A1963" s="5" t="s">
        <v>227</v>
      </c>
      <c r="B1963" s="12"/>
      <c r="C1963" s="5"/>
      <c r="D1963" s="4"/>
      <c r="E1963" s="13"/>
      <c r="F1963" s="10"/>
      <c r="G1963" s="13"/>
      <c r="H1963" s="13"/>
      <c r="I1963" s="12"/>
      <c r="J1963" s="13"/>
      <c r="K1963" s="13"/>
      <c r="L1963" s="12"/>
    </row>
    <row r="1964" spans="1:12" x14ac:dyDescent="0.25">
      <c r="A1964" s="5" t="s">
        <v>227</v>
      </c>
      <c r="B1964" s="12"/>
      <c r="C1964" s="5"/>
      <c r="D1964" s="4"/>
      <c r="E1964" s="13"/>
      <c r="F1964" s="10"/>
      <c r="G1964" s="13"/>
      <c r="H1964" s="13"/>
      <c r="I1964" s="12"/>
      <c r="J1964" s="13"/>
      <c r="K1964" s="13"/>
      <c r="L1964" s="12"/>
    </row>
    <row r="1965" spans="1:12" x14ac:dyDescent="0.25">
      <c r="A1965" s="5" t="s">
        <v>227</v>
      </c>
      <c r="B1965" s="12"/>
      <c r="C1965" s="5"/>
      <c r="D1965" s="4"/>
      <c r="E1965" s="13"/>
      <c r="F1965" s="10"/>
      <c r="G1965" s="13"/>
      <c r="H1965" s="13"/>
      <c r="I1965" s="12"/>
      <c r="J1965" s="13"/>
      <c r="K1965" s="13"/>
      <c r="L1965" s="12"/>
    </row>
    <row r="1966" spans="1:12" x14ac:dyDescent="0.25">
      <c r="A1966" s="5" t="s">
        <v>658</v>
      </c>
      <c r="B1966" s="12"/>
      <c r="C1966" s="5"/>
      <c r="D1966" s="4"/>
      <c r="E1966" s="13"/>
      <c r="F1966" s="10"/>
      <c r="G1966" s="13"/>
      <c r="H1966" s="13"/>
      <c r="I1966" s="12"/>
      <c r="J1966" s="13"/>
      <c r="K1966" s="13"/>
      <c r="L1966" s="12"/>
    </row>
    <row r="1967" spans="1:12" x14ac:dyDescent="0.25">
      <c r="A1967" s="5" t="s">
        <v>658</v>
      </c>
      <c r="B1967" s="12"/>
      <c r="C1967" s="5"/>
      <c r="D1967" s="4"/>
      <c r="E1967" s="13"/>
      <c r="F1967" s="10"/>
      <c r="G1967" s="13"/>
      <c r="H1967" s="13"/>
      <c r="I1967" s="12"/>
      <c r="J1967" s="13"/>
      <c r="K1967" s="13"/>
      <c r="L1967" s="12"/>
    </row>
    <row r="1968" spans="1:12" x14ac:dyDescent="0.25">
      <c r="A1968" s="5" t="s">
        <v>658</v>
      </c>
      <c r="B1968" s="12"/>
      <c r="C1968" s="5"/>
      <c r="D1968" s="4"/>
      <c r="E1968" s="13"/>
      <c r="F1968" s="10"/>
      <c r="G1968" s="13"/>
      <c r="H1968" s="13"/>
      <c r="I1968" s="12"/>
      <c r="J1968" s="13"/>
      <c r="K1968" s="13"/>
      <c r="L1968" s="12"/>
    </row>
    <row r="1969" spans="1:12" x14ac:dyDescent="0.25">
      <c r="A1969" s="5" t="s">
        <v>624</v>
      </c>
      <c r="B1969" s="12"/>
      <c r="C1969" s="5"/>
      <c r="D1969" s="4"/>
      <c r="E1969" s="13"/>
      <c r="F1969" s="10"/>
      <c r="G1969" s="13"/>
      <c r="H1969" s="13"/>
      <c r="I1969" s="12"/>
      <c r="J1969" s="13"/>
      <c r="K1969" s="13"/>
      <c r="L1969" s="12"/>
    </row>
    <row r="1970" spans="1:12" x14ac:dyDescent="0.25">
      <c r="A1970" s="5" t="s">
        <v>624</v>
      </c>
      <c r="B1970" s="12"/>
      <c r="C1970" s="5"/>
      <c r="D1970" s="4"/>
      <c r="E1970" s="13"/>
      <c r="F1970" s="10"/>
      <c r="G1970" s="13"/>
      <c r="H1970" s="13"/>
      <c r="I1970" s="12"/>
      <c r="J1970" s="13"/>
      <c r="K1970" s="13"/>
      <c r="L1970" s="12"/>
    </row>
    <row r="1971" spans="1:12" x14ac:dyDescent="0.25">
      <c r="A1971" s="5" t="s">
        <v>624</v>
      </c>
      <c r="B1971" s="12"/>
      <c r="C1971" s="5"/>
      <c r="D1971" s="4"/>
      <c r="E1971" s="13"/>
      <c r="F1971" s="10"/>
      <c r="G1971" s="13"/>
      <c r="H1971" s="13"/>
      <c r="I1971" s="12"/>
      <c r="J1971" s="13"/>
      <c r="K1971" s="13"/>
      <c r="L1971" s="12"/>
    </row>
    <row r="1972" spans="1:12" x14ac:dyDescent="0.25">
      <c r="A1972" s="5" t="s">
        <v>367</v>
      </c>
      <c r="B1972" s="12"/>
      <c r="C1972" s="5"/>
      <c r="D1972" s="4"/>
      <c r="E1972" s="13"/>
      <c r="F1972" s="10"/>
      <c r="G1972" s="13"/>
      <c r="H1972" s="13"/>
      <c r="I1972" s="12"/>
      <c r="J1972" s="13"/>
      <c r="K1972" s="13"/>
      <c r="L1972" s="12"/>
    </row>
    <row r="1973" spans="1:12" x14ac:dyDescent="0.25">
      <c r="A1973" s="5" t="s">
        <v>367</v>
      </c>
      <c r="B1973" s="12"/>
      <c r="C1973" s="5"/>
      <c r="D1973" s="4"/>
      <c r="E1973" s="13"/>
      <c r="F1973" s="10"/>
      <c r="G1973" s="13"/>
      <c r="H1973" s="13"/>
      <c r="I1973" s="12"/>
      <c r="J1973" s="13"/>
      <c r="K1973" s="13"/>
      <c r="L1973" s="12"/>
    </row>
    <row r="1974" spans="1:12" x14ac:dyDescent="0.25">
      <c r="A1974" s="5" t="s">
        <v>367</v>
      </c>
      <c r="B1974" s="12"/>
      <c r="C1974" s="5"/>
      <c r="D1974" s="4"/>
      <c r="E1974" s="13"/>
      <c r="F1974" s="10"/>
      <c r="G1974" s="13"/>
      <c r="H1974" s="13"/>
      <c r="I1974" s="12"/>
      <c r="J1974" s="13"/>
      <c r="K1974" s="13"/>
      <c r="L1974" s="12"/>
    </row>
    <row r="1975" spans="1:12" x14ac:dyDescent="0.25">
      <c r="A1975" s="5" t="s">
        <v>464</v>
      </c>
      <c r="B1975" s="12"/>
      <c r="C1975" s="5"/>
      <c r="D1975" s="4"/>
      <c r="E1975" s="13"/>
      <c r="F1975" s="10"/>
      <c r="G1975" s="13"/>
      <c r="H1975" s="13"/>
      <c r="I1975" s="12"/>
      <c r="J1975" s="13"/>
      <c r="K1975" s="13"/>
      <c r="L1975" s="12"/>
    </row>
    <row r="1976" spans="1:12" x14ac:dyDescent="0.25">
      <c r="A1976" s="5" t="s">
        <v>464</v>
      </c>
      <c r="B1976" s="12"/>
      <c r="C1976" s="5"/>
      <c r="D1976" s="4"/>
      <c r="E1976" s="13"/>
      <c r="F1976" s="10"/>
      <c r="G1976" s="13"/>
      <c r="H1976" s="13"/>
      <c r="I1976" s="12"/>
      <c r="J1976" s="13"/>
      <c r="K1976" s="13"/>
      <c r="L1976" s="12"/>
    </row>
    <row r="1977" spans="1:12" x14ac:dyDescent="0.25">
      <c r="A1977" s="5" t="s">
        <v>464</v>
      </c>
      <c r="B1977" s="12"/>
      <c r="C1977" s="5"/>
      <c r="D1977" s="4"/>
      <c r="E1977" s="13"/>
      <c r="F1977" s="10"/>
      <c r="G1977" s="13"/>
      <c r="H1977" s="13"/>
      <c r="I1977" s="12"/>
      <c r="J1977" s="13"/>
      <c r="K1977" s="13"/>
      <c r="L1977" s="12"/>
    </row>
    <row r="1978" spans="1:12" x14ac:dyDescent="0.25">
      <c r="A1978" s="5" t="s">
        <v>592</v>
      </c>
      <c r="B1978" s="12"/>
      <c r="C1978" s="5"/>
      <c r="D1978" s="4"/>
      <c r="E1978" s="13"/>
      <c r="F1978" s="10"/>
      <c r="G1978" s="13"/>
      <c r="H1978" s="13"/>
      <c r="I1978" s="12"/>
      <c r="J1978" s="13"/>
      <c r="K1978" s="13"/>
      <c r="L1978" s="12"/>
    </row>
    <row r="1979" spans="1:12" x14ac:dyDescent="0.25">
      <c r="A1979" s="5" t="s">
        <v>592</v>
      </c>
      <c r="B1979" s="12"/>
      <c r="C1979" s="5"/>
      <c r="D1979" s="4"/>
      <c r="E1979" s="13"/>
      <c r="F1979" s="10"/>
      <c r="G1979" s="13"/>
      <c r="H1979" s="13"/>
      <c r="I1979" s="12"/>
      <c r="J1979" s="13"/>
      <c r="K1979" s="13"/>
      <c r="L1979" s="12"/>
    </row>
    <row r="1980" spans="1:12" x14ac:dyDescent="0.25">
      <c r="A1980" s="5" t="s">
        <v>592</v>
      </c>
      <c r="B1980" s="12"/>
      <c r="C1980" s="5"/>
      <c r="D1980" s="4"/>
      <c r="E1980" s="13"/>
      <c r="F1980" s="10"/>
      <c r="G1980" s="13"/>
      <c r="H1980" s="13"/>
      <c r="I1980" s="12"/>
      <c r="J1980" s="13"/>
      <c r="K1980" s="13"/>
      <c r="L1980" s="12"/>
    </row>
    <row r="1981" spans="1:12" x14ac:dyDescent="0.25">
      <c r="A1981" s="5" t="s">
        <v>687</v>
      </c>
      <c r="B1981" s="12"/>
      <c r="C1981" s="5"/>
      <c r="D1981" s="4"/>
      <c r="E1981" s="13"/>
      <c r="F1981" s="10"/>
      <c r="G1981" s="13"/>
      <c r="H1981" s="13"/>
      <c r="I1981" s="12"/>
      <c r="J1981" s="13"/>
      <c r="K1981" s="13"/>
      <c r="L1981" s="12"/>
    </row>
    <row r="1982" spans="1:12" x14ac:dyDescent="0.25">
      <c r="A1982" s="5" t="s">
        <v>687</v>
      </c>
      <c r="B1982" s="12"/>
      <c r="C1982" s="5"/>
      <c r="D1982" s="4"/>
      <c r="E1982" s="13"/>
      <c r="F1982" s="10"/>
      <c r="G1982" s="13"/>
      <c r="H1982" s="13"/>
      <c r="I1982" s="12"/>
      <c r="J1982" s="13"/>
      <c r="K1982" s="13"/>
      <c r="L1982" s="12"/>
    </row>
    <row r="1983" spans="1:12" x14ac:dyDescent="0.25">
      <c r="A1983" s="5" t="s">
        <v>687</v>
      </c>
      <c r="B1983" s="12"/>
      <c r="C1983" s="5"/>
      <c r="D1983" s="4"/>
      <c r="E1983" s="13"/>
      <c r="F1983" s="10"/>
      <c r="G1983" s="13"/>
      <c r="H1983" s="13"/>
      <c r="I1983" s="12"/>
      <c r="J1983" s="13"/>
      <c r="K1983" s="13"/>
      <c r="L1983" s="12"/>
    </row>
    <row r="1984" spans="1:12" x14ac:dyDescent="0.25">
      <c r="A1984" s="5" t="s">
        <v>264</v>
      </c>
      <c r="B1984" s="12"/>
      <c r="C1984" s="5"/>
      <c r="D1984" s="4"/>
      <c r="E1984" s="13"/>
      <c r="F1984" s="10"/>
      <c r="G1984" s="13"/>
      <c r="H1984" s="13"/>
      <c r="I1984" s="12"/>
      <c r="J1984" s="13"/>
      <c r="K1984" s="13"/>
      <c r="L1984" s="12"/>
    </row>
    <row r="1985" spans="1:12" x14ac:dyDescent="0.25">
      <c r="A1985" s="5" t="s">
        <v>264</v>
      </c>
      <c r="B1985" s="12"/>
      <c r="C1985" s="5"/>
      <c r="D1985" s="4"/>
      <c r="E1985" s="13"/>
      <c r="F1985" s="10"/>
      <c r="G1985" s="13"/>
      <c r="H1985" s="13"/>
      <c r="I1985" s="12"/>
      <c r="J1985" s="13"/>
      <c r="K1985" s="13"/>
      <c r="L1985" s="12"/>
    </row>
    <row r="1986" spans="1:12" x14ac:dyDescent="0.25">
      <c r="A1986" s="5" t="s">
        <v>264</v>
      </c>
      <c r="B1986" s="12"/>
      <c r="C1986" s="5"/>
      <c r="D1986" s="4"/>
      <c r="E1986" s="13"/>
      <c r="F1986" s="10"/>
      <c r="G1986" s="13"/>
      <c r="H1986" s="13"/>
      <c r="I1986" s="12"/>
      <c r="J1986" s="13"/>
      <c r="K1986" s="13"/>
      <c r="L1986" s="12"/>
    </row>
    <row r="1987" spans="1:12" x14ac:dyDescent="0.25">
      <c r="A1987" s="5" t="s">
        <v>370</v>
      </c>
      <c r="B1987" s="12"/>
      <c r="C1987" s="5"/>
      <c r="D1987" s="4"/>
      <c r="E1987" s="13"/>
      <c r="F1987" s="10"/>
      <c r="G1987" s="13"/>
      <c r="H1987" s="13"/>
      <c r="I1987" s="12"/>
      <c r="J1987" s="13"/>
      <c r="K1987" s="13"/>
      <c r="L1987" s="12"/>
    </row>
    <row r="1988" spans="1:12" x14ac:dyDescent="0.25">
      <c r="A1988" s="5" t="s">
        <v>370</v>
      </c>
      <c r="B1988" s="12"/>
      <c r="C1988" s="5"/>
      <c r="D1988" s="4"/>
      <c r="E1988" s="13"/>
      <c r="F1988" s="10"/>
      <c r="G1988" s="13"/>
      <c r="H1988" s="13"/>
      <c r="I1988" s="12"/>
      <c r="J1988" s="13"/>
      <c r="K1988" s="13"/>
      <c r="L1988" s="12"/>
    </row>
    <row r="1989" spans="1:12" x14ac:dyDescent="0.25">
      <c r="A1989" s="5" t="s">
        <v>370</v>
      </c>
      <c r="B1989" s="12"/>
      <c r="C1989" s="5"/>
      <c r="D1989" s="4"/>
      <c r="E1989" s="13"/>
      <c r="F1989" s="10"/>
      <c r="G1989" s="13"/>
      <c r="H1989" s="13"/>
      <c r="I1989" s="12"/>
      <c r="J1989" s="13"/>
      <c r="K1989" s="13"/>
      <c r="L1989" s="12"/>
    </row>
    <row r="1990" spans="1:12" x14ac:dyDescent="0.25">
      <c r="A1990" s="5" t="s">
        <v>39</v>
      </c>
      <c r="B1990" s="12"/>
      <c r="C1990" s="5"/>
      <c r="D1990" s="4"/>
      <c r="E1990" s="13"/>
      <c r="F1990" s="10"/>
      <c r="G1990" s="13"/>
      <c r="H1990" s="13"/>
      <c r="I1990" s="12"/>
      <c r="J1990" s="13"/>
      <c r="K1990" s="13"/>
      <c r="L1990" s="12"/>
    </row>
    <row r="1991" spans="1:12" x14ac:dyDescent="0.25">
      <c r="A1991" s="5" t="s">
        <v>39</v>
      </c>
      <c r="B1991" s="12"/>
      <c r="C1991" s="5"/>
      <c r="D1991" s="4"/>
      <c r="E1991" s="13"/>
      <c r="F1991" s="10"/>
      <c r="G1991" s="13"/>
      <c r="H1991" s="13"/>
      <c r="I1991" s="12"/>
      <c r="J1991" s="13"/>
      <c r="K1991" s="13"/>
      <c r="L1991" s="12"/>
    </row>
    <row r="1992" spans="1:12" x14ac:dyDescent="0.25">
      <c r="A1992" s="5" t="s">
        <v>39</v>
      </c>
      <c r="B1992" s="12"/>
      <c r="C1992" s="5"/>
      <c r="D1992" s="4"/>
      <c r="E1992" s="13"/>
      <c r="F1992" s="10"/>
      <c r="G1992" s="13"/>
      <c r="H1992" s="13"/>
      <c r="I1992" s="12"/>
      <c r="J1992" s="13"/>
      <c r="K1992" s="13"/>
      <c r="L1992" s="12"/>
    </row>
    <row r="1993" spans="1:12" x14ac:dyDescent="0.25">
      <c r="A1993" s="5" t="s">
        <v>642</v>
      </c>
      <c r="B1993" s="12"/>
      <c r="C1993" s="5"/>
      <c r="D1993" s="4"/>
      <c r="E1993" s="13"/>
      <c r="F1993" s="10"/>
      <c r="G1993" s="13"/>
      <c r="H1993" s="13"/>
      <c r="I1993" s="12"/>
      <c r="J1993" s="13"/>
      <c r="K1993" s="13"/>
      <c r="L1993" s="12"/>
    </row>
    <row r="1994" spans="1:12" x14ac:dyDescent="0.25">
      <c r="A1994" s="5" t="s">
        <v>642</v>
      </c>
      <c r="B1994" s="12"/>
      <c r="C1994" s="5"/>
      <c r="D1994" s="4"/>
      <c r="E1994" s="13"/>
      <c r="F1994" s="10"/>
      <c r="G1994" s="13"/>
      <c r="H1994" s="13"/>
      <c r="I1994" s="12"/>
      <c r="J1994" s="13"/>
      <c r="K1994" s="13"/>
      <c r="L1994" s="12"/>
    </row>
    <row r="1995" spans="1:12" x14ac:dyDescent="0.25">
      <c r="A1995" s="5" t="s">
        <v>642</v>
      </c>
      <c r="B1995" s="12"/>
      <c r="C1995" s="5"/>
      <c r="D1995" s="4"/>
      <c r="E1995" s="13"/>
      <c r="F1995" s="10"/>
      <c r="G1995" s="13"/>
      <c r="H1995" s="13"/>
      <c r="I1995" s="12"/>
      <c r="J1995" s="13"/>
      <c r="K1995" s="13"/>
      <c r="L1995" s="12"/>
    </row>
    <row r="1996" spans="1:12" x14ac:dyDescent="0.25">
      <c r="A1996" s="5" t="s">
        <v>168</v>
      </c>
      <c r="B1996" s="12"/>
      <c r="C1996" s="5"/>
      <c r="D1996" s="4"/>
      <c r="E1996" s="13"/>
      <c r="F1996" s="10"/>
      <c r="G1996" s="13"/>
      <c r="H1996" s="13"/>
      <c r="I1996" s="12"/>
      <c r="J1996" s="13"/>
      <c r="K1996" s="13"/>
      <c r="L1996" s="12"/>
    </row>
    <row r="1997" spans="1:12" x14ac:dyDescent="0.25">
      <c r="A1997" s="5" t="s">
        <v>168</v>
      </c>
      <c r="B1997" s="12"/>
      <c r="C1997" s="5"/>
      <c r="D1997" s="4"/>
      <c r="E1997" s="13"/>
      <c r="F1997" s="10"/>
      <c r="G1997" s="13"/>
      <c r="H1997" s="13"/>
      <c r="I1997" s="12"/>
      <c r="J1997" s="13"/>
      <c r="K1997" s="13"/>
      <c r="L1997" s="12"/>
    </row>
    <row r="1998" spans="1:12" x14ac:dyDescent="0.25">
      <c r="A1998" s="5" t="s">
        <v>168</v>
      </c>
      <c r="B1998" s="12"/>
      <c r="C1998" s="5"/>
      <c r="D1998" s="4"/>
      <c r="E1998" s="13"/>
      <c r="F1998" s="10"/>
      <c r="G1998" s="13"/>
      <c r="H1998" s="13"/>
      <c r="I1998" s="12"/>
      <c r="J1998" s="13"/>
      <c r="K1998" s="13"/>
      <c r="L1998" s="12"/>
    </row>
    <row r="1999" spans="1:12" x14ac:dyDescent="0.25">
      <c r="A1999" s="5" t="s">
        <v>700</v>
      </c>
      <c r="B1999" s="12"/>
      <c r="C1999" s="5"/>
      <c r="D1999" s="4"/>
      <c r="E1999" s="13"/>
      <c r="F1999" s="10"/>
      <c r="G1999" s="13"/>
      <c r="H1999" s="13"/>
      <c r="I1999" s="12"/>
      <c r="J1999" s="13"/>
      <c r="K1999" s="13"/>
      <c r="L1999" s="12"/>
    </row>
    <row r="2000" spans="1:12" x14ac:dyDescent="0.25">
      <c r="A2000" s="5" t="s">
        <v>700</v>
      </c>
      <c r="B2000" s="12"/>
      <c r="C2000" s="5"/>
      <c r="D2000" s="4"/>
      <c r="E2000" s="13"/>
      <c r="F2000" s="10"/>
      <c r="G2000" s="13"/>
      <c r="H2000" s="13"/>
      <c r="I2000" s="12"/>
      <c r="J2000" s="13"/>
      <c r="K2000" s="13"/>
      <c r="L2000" s="12"/>
    </row>
    <row r="2001" spans="1:12" x14ac:dyDescent="0.25">
      <c r="A2001" s="5" t="s">
        <v>700</v>
      </c>
      <c r="B2001" s="12"/>
      <c r="C2001" s="5"/>
      <c r="D2001" s="4"/>
      <c r="E2001" s="13"/>
      <c r="F2001" s="10"/>
      <c r="G2001" s="13"/>
      <c r="H2001" s="13"/>
      <c r="I2001" s="12"/>
      <c r="J2001" s="13"/>
      <c r="K2001" s="13"/>
      <c r="L2001" s="12"/>
    </row>
    <row r="2002" spans="1:12" x14ac:dyDescent="0.25">
      <c r="A2002" s="5" t="s">
        <v>534</v>
      </c>
      <c r="B2002" s="12"/>
      <c r="C2002" s="5"/>
      <c r="D2002" s="4"/>
      <c r="E2002" s="13"/>
      <c r="F2002" s="10"/>
      <c r="G2002" s="13"/>
      <c r="H2002" s="13"/>
      <c r="I2002" s="12"/>
      <c r="J2002" s="13"/>
      <c r="K2002" s="13"/>
      <c r="L2002" s="12"/>
    </row>
    <row r="2003" spans="1:12" x14ac:dyDescent="0.25">
      <c r="A2003" s="5" t="s">
        <v>534</v>
      </c>
      <c r="B2003" s="12"/>
      <c r="C2003" s="5"/>
      <c r="D2003" s="4"/>
      <c r="E2003" s="13"/>
      <c r="F2003" s="10"/>
      <c r="G2003" s="13"/>
      <c r="H2003" s="13"/>
      <c r="I2003" s="12"/>
      <c r="J2003" s="13"/>
      <c r="K2003" s="13"/>
      <c r="L2003" s="12"/>
    </row>
    <row r="2004" spans="1:12" x14ac:dyDescent="0.25">
      <c r="A2004" s="5" t="s">
        <v>534</v>
      </c>
      <c r="B2004" s="12"/>
      <c r="C2004" s="5"/>
      <c r="D2004" s="4"/>
      <c r="E2004" s="13"/>
      <c r="F2004" s="10"/>
      <c r="G2004" s="13"/>
      <c r="H2004" s="13"/>
      <c r="I2004" s="12"/>
      <c r="J2004" s="13"/>
      <c r="K2004" s="13"/>
      <c r="L2004" s="12"/>
    </row>
    <row r="2005" spans="1:12" x14ac:dyDescent="0.25">
      <c r="A2005" s="5" t="s">
        <v>460</v>
      </c>
      <c r="B2005" s="12"/>
      <c r="C2005" s="5"/>
      <c r="D2005" s="4"/>
      <c r="E2005" s="13"/>
      <c r="F2005" s="10"/>
      <c r="G2005" s="13"/>
      <c r="H2005" s="13"/>
      <c r="I2005" s="12"/>
      <c r="J2005" s="13"/>
      <c r="K2005" s="13"/>
      <c r="L2005" s="12"/>
    </row>
    <row r="2006" spans="1:12" x14ac:dyDescent="0.25">
      <c r="A2006" s="5" t="s">
        <v>460</v>
      </c>
      <c r="B2006" s="12"/>
      <c r="C2006" s="5"/>
      <c r="D2006" s="4"/>
      <c r="E2006" s="13"/>
      <c r="F2006" s="10"/>
      <c r="G2006" s="13"/>
      <c r="H2006" s="13"/>
      <c r="I2006" s="12"/>
      <c r="J2006" s="13"/>
      <c r="K2006" s="13"/>
      <c r="L2006" s="12"/>
    </row>
    <row r="2007" spans="1:12" x14ac:dyDescent="0.25">
      <c r="A2007" s="5" t="s">
        <v>460</v>
      </c>
      <c r="B2007" s="12"/>
      <c r="C2007" s="5"/>
      <c r="D2007" s="4"/>
      <c r="E2007" s="13"/>
      <c r="F2007" s="10"/>
      <c r="G2007" s="13"/>
      <c r="H2007" s="13"/>
      <c r="I2007" s="12"/>
      <c r="J2007" s="13"/>
      <c r="K2007" s="13"/>
      <c r="L2007" s="12"/>
    </row>
    <row r="2008" spans="1:12" x14ac:dyDescent="0.25">
      <c r="A2008" s="5" t="s">
        <v>259</v>
      </c>
      <c r="B2008" s="12"/>
      <c r="C2008" s="5"/>
      <c r="D2008" s="4"/>
      <c r="E2008" s="13"/>
      <c r="F2008" s="10"/>
      <c r="G2008" s="13"/>
      <c r="H2008" s="13"/>
      <c r="I2008" s="12"/>
      <c r="J2008" s="13"/>
      <c r="K2008" s="13"/>
      <c r="L2008" s="12"/>
    </row>
    <row r="2009" spans="1:12" x14ac:dyDescent="0.25">
      <c r="A2009" s="5" t="s">
        <v>259</v>
      </c>
      <c r="B2009" s="12"/>
      <c r="C2009" s="5"/>
      <c r="D2009" s="4"/>
      <c r="E2009" s="13"/>
      <c r="F2009" s="10"/>
      <c r="G2009" s="13"/>
      <c r="H2009" s="13"/>
      <c r="I2009" s="12"/>
      <c r="J2009" s="13"/>
      <c r="K2009" s="13"/>
      <c r="L2009" s="12"/>
    </row>
    <row r="2010" spans="1:12" x14ac:dyDescent="0.25">
      <c r="A2010" s="5" t="s">
        <v>259</v>
      </c>
      <c r="B2010" s="12"/>
      <c r="C2010" s="5"/>
      <c r="D2010" s="4"/>
      <c r="E2010" s="13"/>
      <c r="F2010" s="10"/>
      <c r="G2010" s="13"/>
      <c r="H2010" s="13"/>
      <c r="I2010" s="12"/>
      <c r="J2010" s="13"/>
      <c r="K2010" s="13"/>
      <c r="L2010" s="12"/>
    </row>
    <row r="2011" spans="1:12" x14ac:dyDescent="0.25">
      <c r="A2011" s="5" t="s">
        <v>715</v>
      </c>
      <c r="B2011" s="12"/>
      <c r="C2011" s="5"/>
      <c r="D2011" s="4"/>
      <c r="E2011" s="13"/>
      <c r="F2011" s="10"/>
      <c r="G2011" s="13"/>
      <c r="H2011" s="13"/>
      <c r="I2011" s="12"/>
      <c r="J2011" s="13"/>
      <c r="K2011" s="13"/>
      <c r="L2011" s="12"/>
    </row>
    <row r="2012" spans="1:12" x14ac:dyDescent="0.25">
      <c r="A2012" s="5" t="s">
        <v>715</v>
      </c>
      <c r="B2012" s="12"/>
      <c r="C2012" s="5"/>
      <c r="D2012" s="4"/>
      <c r="E2012" s="13"/>
      <c r="F2012" s="10"/>
      <c r="G2012" s="13"/>
      <c r="H2012" s="13"/>
      <c r="I2012" s="12"/>
      <c r="J2012" s="13"/>
      <c r="K2012" s="13"/>
      <c r="L2012" s="12"/>
    </row>
    <row r="2013" spans="1:12" x14ac:dyDescent="0.25">
      <c r="A2013" s="5" t="s">
        <v>715</v>
      </c>
      <c r="B2013" s="12"/>
      <c r="C2013" s="5"/>
      <c r="D2013" s="4"/>
      <c r="E2013" s="13"/>
      <c r="F2013" s="10"/>
      <c r="G2013" s="13"/>
      <c r="H2013" s="13"/>
      <c r="I2013" s="12"/>
      <c r="J2013" s="13"/>
      <c r="K2013" s="13"/>
      <c r="L2013" s="12"/>
    </row>
    <row r="2014" spans="1:12" x14ac:dyDescent="0.25">
      <c r="A2014" s="5" t="s">
        <v>718</v>
      </c>
      <c r="B2014" s="12"/>
      <c r="C2014" s="5"/>
      <c r="D2014" s="4"/>
      <c r="E2014" s="13"/>
      <c r="F2014" s="10"/>
      <c r="G2014" s="13"/>
      <c r="H2014" s="13"/>
      <c r="I2014" s="12"/>
      <c r="J2014" s="13"/>
      <c r="K2014" s="13"/>
      <c r="L2014" s="12"/>
    </row>
    <row r="2015" spans="1:12" x14ac:dyDescent="0.25">
      <c r="A2015" s="5" t="s">
        <v>718</v>
      </c>
      <c r="B2015" s="12"/>
      <c r="C2015" s="5"/>
      <c r="D2015" s="4"/>
      <c r="E2015" s="13"/>
      <c r="F2015" s="10"/>
      <c r="G2015" s="13"/>
      <c r="H2015" s="13"/>
      <c r="I2015" s="12"/>
      <c r="J2015" s="13"/>
      <c r="K2015" s="13"/>
      <c r="L2015" s="12"/>
    </row>
    <row r="2016" spans="1:12" x14ac:dyDescent="0.25">
      <c r="A2016" s="5" t="s">
        <v>718</v>
      </c>
      <c r="B2016" s="12"/>
      <c r="C2016" s="5"/>
      <c r="D2016" s="4"/>
      <c r="E2016" s="13"/>
      <c r="F2016" s="10"/>
      <c r="G2016" s="13"/>
      <c r="H2016" s="13"/>
      <c r="I2016" s="12"/>
      <c r="J2016" s="13"/>
      <c r="K2016" s="13"/>
      <c r="L2016" s="12"/>
    </row>
    <row r="2017" spans="1:12" x14ac:dyDescent="0.25">
      <c r="A2017" s="5" t="s">
        <v>667</v>
      </c>
      <c r="B2017" s="12"/>
      <c r="C2017" s="5"/>
      <c r="D2017" s="4"/>
      <c r="E2017" s="13"/>
      <c r="F2017" s="10"/>
      <c r="G2017" s="13"/>
      <c r="H2017" s="13"/>
      <c r="I2017" s="12"/>
      <c r="J2017" s="13"/>
      <c r="K2017" s="13"/>
      <c r="L2017" s="12"/>
    </row>
    <row r="2018" spans="1:12" x14ac:dyDescent="0.25">
      <c r="A2018" s="5" t="s">
        <v>667</v>
      </c>
      <c r="B2018" s="12"/>
      <c r="C2018" s="5"/>
      <c r="D2018" s="4"/>
      <c r="E2018" s="13"/>
      <c r="F2018" s="10"/>
      <c r="G2018" s="13"/>
      <c r="H2018" s="13"/>
      <c r="I2018" s="12"/>
      <c r="J2018" s="13"/>
      <c r="K2018" s="13"/>
      <c r="L2018" s="12"/>
    </row>
    <row r="2019" spans="1:12" x14ac:dyDescent="0.25">
      <c r="A2019" s="5" t="s">
        <v>667</v>
      </c>
      <c r="B2019" s="12"/>
      <c r="C2019" s="5"/>
      <c r="D2019" s="4"/>
      <c r="E2019" s="13"/>
      <c r="F2019" s="10"/>
      <c r="G2019" s="13"/>
      <c r="H2019" s="13"/>
      <c r="I2019" s="12"/>
      <c r="J2019" s="13"/>
      <c r="K2019" s="13"/>
      <c r="L2019" s="12"/>
    </row>
    <row r="2020" spans="1:12" x14ac:dyDescent="0.25">
      <c r="A2020" s="5" t="s">
        <v>218</v>
      </c>
      <c r="B2020" s="12"/>
      <c r="C2020" s="5"/>
      <c r="D2020" s="4"/>
      <c r="E2020" s="13"/>
      <c r="F2020" s="10"/>
      <c r="G2020" s="13"/>
      <c r="H2020" s="13"/>
      <c r="I2020" s="12"/>
      <c r="J2020" s="13"/>
      <c r="K2020" s="13"/>
      <c r="L2020" s="12"/>
    </row>
    <row r="2021" spans="1:12" x14ac:dyDescent="0.25">
      <c r="A2021" s="5" t="s">
        <v>218</v>
      </c>
      <c r="B2021" s="12"/>
      <c r="C2021" s="5"/>
      <c r="D2021" s="4"/>
      <c r="E2021" s="13"/>
      <c r="F2021" s="10"/>
      <c r="G2021" s="13"/>
      <c r="H2021" s="13"/>
      <c r="I2021" s="12"/>
      <c r="J2021" s="13"/>
      <c r="K2021" s="13"/>
      <c r="L2021" s="12"/>
    </row>
    <row r="2022" spans="1:12" x14ac:dyDescent="0.25">
      <c r="A2022" s="5" t="s">
        <v>218</v>
      </c>
      <c r="B2022" s="12"/>
      <c r="C2022" s="5"/>
      <c r="D2022" s="4"/>
      <c r="E2022" s="13"/>
      <c r="F2022" s="10"/>
      <c r="G2022" s="13"/>
      <c r="H2022" s="13"/>
      <c r="I2022" s="12"/>
      <c r="J2022" s="13"/>
      <c r="K2022" s="13"/>
      <c r="L2022" s="12"/>
    </row>
    <row r="2023" spans="1:12" x14ac:dyDescent="0.25">
      <c r="A2023" s="5" t="s">
        <v>80</v>
      </c>
      <c r="B2023" s="12"/>
      <c r="C2023" s="5"/>
      <c r="D2023" s="4"/>
      <c r="E2023" s="13"/>
      <c r="F2023" s="10"/>
      <c r="G2023" s="13"/>
      <c r="H2023" s="13"/>
      <c r="I2023" s="12"/>
      <c r="J2023" s="13"/>
      <c r="K2023" s="13"/>
      <c r="L2023" s="12"/>
    </row>
    <row r="2024" spans="1:12" x14ac:dyDescent="0.25">
      <c r="A2024" s="5" t="s">
        <v>80</v>
      </c>
      <c r="B2024" s="12"/>
      <c r="C2024" s="5"/>
      <c r="D2024" s="4"/>
      <c r="E2024" s="13"/>
      <c r="F2024" s="10"/>
      <c r="G2024" s="13"/>
      <c r="H2024" s="13"/>
      <c r="I2024" s="12"/>
      <c r="J2024" s="13"/>
      <c r="K2024" s="13"/>
      <c r="L2024" s="12"/>
    </row>
    <row r="2025" spans="1:12" x14ac:dyDescent="0.25">
      <c r="A2025" s="5" t="s">
        <v>80</v>
      </c>
      <c r="B2025" s="12"/>
      <c r="C2025" s="5"/>
      <c r="D2025" s="4"/>
      <c r="E2025" s="13"/>
      <c r="F2025" s="10"/>
      <c r="G2025" s="13"/>
      <c r="H2025" s="13"/>
      <c r="I2025" s="12"/>
      <c r="J2025" s="13"/>
      <c r="K2025" s="13"/>
      <c r="L2025" s="12"/>
    </row>
    <row r="2026" spans="1:12" x14ac:dyDescent="0.25">
      <c r="A2026" s="5" t="s">
        <v>556</v>
      </c>
      <c r="B2026" s="12"/>
      <c r="C2026" s="5"/>
      <c r="D2026" s="4"/>
      <c r="E2026" s="13"/>
      <c r="F2026" s="10"/>
      <c r="G2026" s="13"/>
      <c r="H2026" s="13"/>
      <c r="I2026" s="12"/>
      <c r="J2026" s="13"/>
      <c r="K2026" s="13"/>
      <c r="L2026" s="12"/>
    </row>
    <row r="2027" spans="1:12" x14ac:dyDescent="0.25">
      <c r="A2027" s="5" t="s">
        <v>556</v>
      </c>
      <c r="B2027" s="12"/>
      <c r="C2027" s="5"/>
      <c r="D2027" s="4"/>
      <c r="E2027" s="13"/>
      <c r="F2027" s="10"/>
      <c r="G2027" s="13"/>
      <c r="H2027" s="13"/>
      <c r="I2027" s="12"/>
      <c r="J2027" s="13"/>
      <c r="K2027" s="13"/>
      <c r="L2027" s="12"/>
    </row>
    <row r="2028" spans="1:12" x14ac:dyDescent="0.25">
      <c r="A2028" s="5" t="s">
        <v>556</v>
      </c>
      <c r="B2028" s="12"/>
      <c r="C2028" s="5"/>
      <c r="D2028" s="4"/>
      <c r="E2028" s="13"/>
      <c r="F2028" s="10"/>
      <c r="G2028" s="13"/>
      <c r="H2028" s="13"/>
      <c r="I2028" s="12"/>
      <c r="J2028" s="13"/>
      <c r="K2028" s="13"/>
      <c r="L2028" s="12"/>
    </row>
    <row r="2029" spans="1:12" x14ac:dyDescent="0.25">
      <c r="A2029" s="5" t="s">
        <v>331</v>
      </c>
      <c r="B2029" s="12"/>
      <c r="C2029" s="5"/>
      <c r="D2029" s="4"/>
      <c r="E2029" s="13"/>
      <c r="F2029" s="10"/>
      <c r="G2029" s="13"/>
      <c r="H2029" s="13"/>
      <c r="I2029" s="12"/>
      <c r="J2029" s="13"/>
      <c r="K2029" s="13"/>
      <c r="L2029" s="12"/>
    </row>
    <row r="2030" spans="1:12" x14ac:dyDescent="0.25">
      <c r="A2030" s="5" t="s">
        <v>331</v>
      </c>
      <c r="B2030" s="12"/>
      <c r="C2030" s="5"/>
      <c r="D2030" s="4"/>
      <c r="E2030" s="13"/>
      <c r="F2030" s="10"/>
      <c r="G2030" s="13"/>
      <c r="H2030" s="13"/>
      <c r="I2030" s="12"/>
      <c r="J2030" s="13"/>
      <c r="K2030" s="13"/>
      <c r="L2030" s="12"/>
    </row>
    <row r="2031" spans="1:12" x14ac:dyDescent="0.25">
      <c r="A2031" s="5" t="s">
        <v>331</v>
      </c>
      <c r="B2031" s="12"/>
      <c r="C2031" s="5"/>
      <c r="D2031" s="4"/>
      <c r="E2031" s="13"/>
      <c r="F2031" s="10"/>
      <c r="G2031" s="13"/>
      <c r="H2031" s="13"/>
      <c r="I2031" s="12"/>
      <c r="J2031" s="13"/>
      <c r="K2031" s="13"/>
      <c r="L2031" s="12"/>
    </row>
    <row r="2032" spans="1:12" x14ac:dyDescent="0.25">
      <c r="A2032" s="5" t="s">
        <v>202</v>
      </c>
      <c r="B2032" s="12"/>
      <c r="C2032" s="5"/>
      <c r="D2032" s="4"/>
      <c r="E2032" s="13"/>
      <c r="F2032" s="10"/>
      <c r="G2032" s="13"/>
      <c r="H2032" s="13"/>
      <c r="I2032" s="12"/>
      <c r="J2032" s="13"/>
      <c r="K2032" s="13"/>
      <c r="L2032" s="12"/>
    </row>
    <row r="2033" spans="1:12" x14ac:dyDescent="0.25">
      <c r="A2033" s="5" t="s">
        <v>202</v>
      </c>
      <c r="B2033" s="12"/>
      <c r="C2033" s="5"/>
      <c r="D2033" s="4"/>
      <c r="E2033" s="13"/>
      <c r="F2033" s="10"/>
      <c r="G2033" s="13"/>
      <c r="H2033" s="13"/>
      <c r="I2033" s="12"/>
      <c r="J2033" s="13"/>
      <c r="K2033" s="13"/>
      <c r="L2033" s="12"/>
    </row>
    <row r="2034" spans="1:12" x14ac:dyDescent="0.25">
      <c r="A2034" s="5" t="s">
        <v>202</v>
      </c>
      <c r="B2034" s="12"/>
      <c r="C2034" s="5"/>
      <c r="D2034" s="4"/>
      <c r="E2034" s="13"/>
      <c r="F2034" s="10"/>
      <c r="G2034" s="13"/>
      <c r="H2034" s="13"/>
      <c r="I2034" s="12"/>
      <c r="J2034" s="13"/>
      <c r="K2034" s="13"/>
      <c r="L2034" s="12"/>
    </row>
    <row r="2035" spans="1:12" x14ac:dyDescent="0.25">
      <c r="A2035" s="5" t="s">
        <v>541</v>
      </c>
      <c r="B2035" s="12"/>
      <c r="C2035" s="5"/>
      <c r="D2035" s="4"/>
      <c r="E2035" s="13"/>
      <c r="F2035" s="10"/>
      <c r="G2035" s="13"/>
      <c r="H2035" s="13"/>
      <c r="I2035" s="12"/>
      <c r="J2035" s="13"/>
      <c r="K2035" s="13"/>
      <c r="L2035" s="12"/>
    </row>
    <row r="2036" spans="1:12" x14ac:dyDescent="0.25">
      <c r="A2036" s="5" t="s">
        <v>541</v>
      </c>
      <c r="B2036" s="12"/>
      <c r="C2036" s="5"/>
      <c r="D2036" s="4"/>
      <c r="E2036" s="13"/>
      <c r="F2036" s="10"/>
      <c r="G2036" s="13"/>
      <c r="H2036" s="13"/>
      <c r="I2036" s="12"/>
      <c r="J2036" s="13"/>
      <c r="K2036" s="13"/>
      <c r="L2036" s="12"/>
    </row>
    <row r="2037" spans="1:12" x14ac:dyDescent="0.25">
      <c r="A2037" s="5" t="s">
        <v>541</v>
      </c>
      <c r="B2037" s="12"/>
      <c r="C2037" s="5"/>
      <c r="D2037" s="4"/>
      <c r="E2037" s="13"/>
      <c r="F2037" s="10"/>
      <c r="G2037" s="13"/>
      <c r="H2037" s="13"/>
      <c r="I2037" s="12"/>
      <c r="J2037" s="13"/>
      <c r="K2037" s="13"/>
      <c r="L2037" s="12"/>
    </row>
    <row r="2038" spans="1:12" x14ac:dyDescent="0.25">
      <c r="A2038" s="5" t="s">
        <v>533</v>
      </c>
      <c r="B2038" s="12"/>
      <c r="C2038" s="5"/>
      <c r="D2038" s="4"/>
      <c r="E2038" s="13"/>
      <c r="F2038" s="10"/>
      <c r="G2038" s="13"/>
      <c r="H2038" s="13"/>
      <c r="I2038" s="12"/>
      <c r="J2038" s="13"/>
      <c r="K2038" s="13"/>
      <c r="L2038" s="12"/>
    </row>
    <row r="2039" spans="1:12" x14ac:dyDescent="0.25">
      <c r="A2039" s="5" t="s">
        <v>533</v>
      </c>
      <c r="B2039" s="12"/>
      <c r="C2039" s="5"/>
      <c r="D2039" s="4"/>
      <c r="E2039" s="13"/>
      <c r="F2039" s="10"/>
      <c r="G2039" s="13"/>
      <c r="H2039" s="13"/>
      <c r="I2039" s="12"/>
      <c r="J2039" s="13"/>
      <c r="K2039" s="13"/>
      <c r="L2039" s="12"/>
    </row>
    <row r="2040" spans="1:12" x14ac:dyDescent="0.25">
      <c r="A2040" s="5" t="s">
        <v>533</v>
      </c>
      <c r="B2040" s="12"/>
      <c r="C2040" s="5"/>
      <c r="D2040" s="4"/>
      <c r="E2040" s="13"/>
      <c r="F2040" s="10"/>
      <c r="G2040" s="13"/>
      <c r="H2040" s="13"/>
      <c r="I2040" s="12"/>
      <c r="J2040" s="13"/>
      <c r="K2040" s="13"/>
      <c r="L2040" s="12"/>
    </row>
    <row r="2041" spans="1:12" x14ac:dyDescent="0.25">
      <c r="A2041" s="5" t="s">
        <v>539</v>
      </c>
      <c r="B2041" s="12"/>
      <c r="C2041" s="5"/>
      <c r="D2041" s="4"/>
      <c r="E2041" s="13"/>
      <c r="F2041" s="10"/>
      <c r="G2041" s="13"/>
      <c r="H2041" s="13"/>
      <c r="I2041" s="12"/>
      <c r="J2041" s="13"/>
      <c r="K2041" s="13"/>
      <c r="L2041" s="12"/>
    </row>
    <row r="2042" spans="1:12" x14ac:dyDescent="0.25">
      <c r="A2042" s="5" t="s">
        <v>539</v>
      </c>
      <c r="B2042" s="12"/>
      <c r="C2042" s="5"/>
      <c r="D2042" s="4"/>
      <c r="E2042" s="13"/>
      <c r="F2042" s="10"/>
      <c r="G2042" s="13"/>
      <c r="H2042" s="13"/>
      <c r="I2042" s="12"/>
      <c r="J2042" s="13"/>
      <c r="K2042" s="13"/>
      <c r="L2042" s="12"/>
    </row>
    <row r="2043" spans="1:12" x14ac:dyDescent="0.25">
      <c r="A2043" s="5" t="s">
        <v>539</v>
      </c>
      <c r="B2043" s="12"/>
      <c r="C2043" s="5"/>
      <c r="D2043" s="4"/>
      <c r="E2043" s="13"/>
      <c r="F2043" s="10"/>
      <c r="G2043" s="13"/>
      <c r="H2043" s="13"/>
      <c r="I2043" s="12"/>
      <c r="J2043" s="13"/>
      <c r="K2043" s="13"/>
      <c r="L2043" s="12"/>
    </row>
    <row r="2044" spans="1:12" x14ac:dyDescent="0.25">
      <c r="A2044" s="5" t="s">
        <v>118</v>
      </c>
      <c r="B2044" s="12"/>
      <c r="C2044" s="5"/>
      <c r="D2044" s="4"/>
      <c r="E2044" s="13"/>
      <c r="F2044" s="10"/>
      <c r="G2044" s="13"/>
      <c r="H2044" s="13"/>
      <c r="I2044" s="12"/>
      <c r="J2044" s="13"/>
      <c r="K2044" s="13"/>
      <c r="L2044" s="12"/>
    </row>
    <row r="2045" spans="1:12" x14ac:dyDescent="0.25">
      <c r="A2045" s="5" t="s">
        <v>118</v>
      </c>
      <c r="B2045" s="12"/>
      <c r="C2045" s="5"/>
      <c r="D2045" s="4"/>
      <c r="E2045" s="13"/>
      <c r="F2045" s="10"/>
      <c r="G2045" s="13"/>
      <c r="H2045" s="13"/>
      <c r="I2045" s="12"/>
      <c r="J2045" s="13"/>
      <c r="K2045" s="13"/>
      <c r="L2045" s="12"/>
    </row>
    <row r="2046" spans="1:12" x14ac:dyDescent="0.25">
      <c r="A2046" s="5" t="s">
        <v>118</v>
      </c>
      <c r="B2046" s="12"/>
      <c r="C2046" s="5"/>
      <c r="D2046" s="4"/>
      <c r="E2046" s="13"/>
      <c r="F2046" s="10"/>
      <c r="G2046" s="13"/>
      <c r="H2046" s="13"/>
      <c r="I2046" s="12"/>
      <c r="J2046" s="13"/>
      <c r="K2046" s="13"/>
      <c r="L2046" s="12"/>
    </row>
    <row r="2047" spans="1:12" x14ac:dyDescent="0.25">
      <c r="A2047" s="5" t="s">
        <v>415</v>
      </c>
      <c r="B2047" s="12"/>
      <c r="C2047" s="5"/>
      <c r="D2047" s="4"/>
      <c r="E2047" s="13"/>
      <c r="F2047" s="10"/>
      <c r="G2047" s="13"/>
      <c r="H2047" s="13"/>
      <c r="I2047" s="12"/>
      <c r="J2047" s="13"/>
      <c r="K2047" s="13"/>
      <c r="L2047" s="12"/>
    </row>
    <row r="2048" spans="1:12" x14ac:dyDescent="0.25">
      <c r="A2048" s="5" t="s">
        <v>415</v>
      </c>
      <c r="B2048" s="12"/>
      <c r="C2048" s="5"/>
      <c r="D2048" s="4"/>
      <c r="E2048" s="13"/>
      <c r="F2048" s="10"/>
      <c r="G2048" s="13"/>
      <c r="H2048" s="13"/>
      <c r="I2048" s="12"/>
      <c r="J2048" s="13"/>
      <c r="K2048" s="13"/>
      <c r="L2048" s="12"/>
    </row>
    <row r="2049" spans="1:12" x14ac:dyDescent="0.25">
      <c r="A2049" s="5" t="s">
        <v>415</v>
      </c>
      <c r="B2049" s="12"/>
      <c r="C2049" s="5"/>
      <c r="D2049" s="4"/>
      <c r="E2049" s="13"/>
      <c r="F2049" s="10"/>
      <c r="G2049" s="13"/>
      <c r="H2049" s="13"/>
      <c r="I2049" s="12"/>
      <c r="J2049" s="13"/>
      <c r="K2049" s="13"/>
      <c r="L2049" s="12"/>
    </row>
    <row r="2050" spans="1:12" x14ac:dyDescent="0.25">
      <c r="A2050" s="5" t="s">
        <v>11</v>
      </c>
      <c r="B2050" s="12"/>
      <c r="C2050" s="5"/>
      <c r="D2050" s="4"/>
      <c r="E2050" s="13"/>
      <c r="F2050" s="10"/>
      <c r="G2050" s="13"/>
      <c r="H2050" s="13"/>
      <c r="I2050" s="12"/>
      <c r="J2050" s="13"/>
      <c r="K2050" s="13"/>
      <c r="L2050" s="12"/>
    </row>
    <row r="2051" spans="1:12" x14ac:dyDescent="0.25">
      <c r="A2051" s="5" t="s">
        <v>11</v>
      </c>
      <c r="B2051" s="12"/>
      <c r="C2051" s="5"/>
      <c r="D2051" s="4"/>
      <c r="E2051" s="13"/>
      <c r="F2051" s="10"/>
      <c r="G2051" s="13"/>
      <c r="H2051" s="13"/>
      <c r="I2051" s="12"/>
      <c r="J2051" s="13"/>
      <c r="K2051" s="13"/>
      <c r="L2051" s="12"/>
    </row>
    <row r="2052" spans="1:12" x14ac:dyDescent="0.25">
      <c r="A2052" s="5" t="s">
        <v>11</v>
      </c>
      <c r="B2052" s="12"/>
      <c r="C2052" s="5"/>
      <c r="D2052" s="4"/>
      <c r="E2052" s="13"/>
      <c r="F2052" s="10"/>
      <c r="G2052" s="13"/>
      <c r="H2052" s="13"/>
      <c r="I2052" s="12"/>
      <c r="J2052" s="13"/>
      <c r="K2052" s="13"/>
      <c r="L2052" s="12"/>
    </row>
    <row r="2053" spans="1:12" x14ac:dyDescent="0.25">
      <c r="A2053" s="5" t="s">
        <v>248</v>
      </c>
      <c r="B2053" s="12"/>
      <c r="C2053" s="5"/>
      <c r="D2053" s="4"/>
      <c r="E2053" s="13"/>
      <c r="F2053" s="10"/>
      <c r="G2053" s="13"/>
      <c r="H2053" s="13"/>
      <c r="I2053" s="12"/>
      <c r="J2053" s="13"/>
      <c r="K2053" s="13"/>
      <c r="L2053" s="12"/>
    </row>
    <row r="2054" spans="1:12" x14ac:dyDescent="0.25">
      <c r="A2054" s="5" t="s">
        <v>248</v>
      </c>
      <c r="B2054" s="12"/>
      <c r="C2054" s="5"/>
      <c r="D2054" s="4"/>
      <c r="E2054" s="13"/>
      <c r="F2054" s="10"/>
      <c r="G2054" s="13"/>
      <c r="H2054" s="13"/>
      <c r="I2054" s="12"/>
      <c r="J2054" s="13"/>
      <c r="K2054" s="13"/>
      <c r="L2054" s="12"/>
    </row>
    <row r="2055" spans="1:12" x14ac:dyDescent="0.25">
      <c r="A2055" s="5" t="s">
        <v>248</v>
      </c>
      <c r="B2055" s="12"/>
      <c r="C2055" s="5"/>
      <c r="D2055" s="4"/>
      <c r="E2055" s="13"/>
      <c r="F2055" s="10"/>
      <c r="G2055" s="13"/>
      <c r="H2055" s="13"/>
      <c r="I2055" s="12"/>
      <c r="J2055" s="13"/>
      <c r="K2055" s="13"/>
      <c r="L2055" s="12"/>
    </row>
    <row r="2056" spans="1:12" x14ac:dyDescent="0.25">
      <c r="A2056" s="5" t="s">
        <v>321</v>
      </c>
      <c r="B2056" s="12"/>
      <c r="C2056" s="5"/>
      <c r="D2056" s="4"/>
      <c r="E2056" s="13"/>
      <c r="F2056" s="10"/>
      <c r="G2056" s="13"/>
      <c r="H2056" s="13"/>
      <c r="I2056" s="12"/>
      <c r="J2056" s="13"/>
      <c r="K2056" s="13"/>
      <c r="L2056" s="12"/>
    </row>
    <row r="2057" spans="1:12" x14ac:dyDescent="0.25">
      <c r="A2057" s="5" t="s">
        <v>321</v>
      </c>
      <c r="B2057" s="12"/>
      <c r="C2057" s="5"/>
      <c r="D2057" s="4"/>
      <c r="E2057" s="13"/>
      <c r="F2057" s="10"/>
      <c r="G2057" s="13"/>
      <c r="H2057" s="13"/>
      <c r="I2057" s="12"/>
      <c r="J2057" s="13"/>
      <c r="K2057" s="13"/>
      <c r="L2057" s="12"/>
    </row>
    <row r="2058" spans="1:12" x14ac:dyDescent="0.25">
      <c r="A2058" s="5" t="s">
        <v>321</v>
      </c>
      <c r="B2058" s="12"/>
      <c r="C2058" s="5"/>
      <c r="D2058" s="4"/>
      <c r="E2058" s="13"/>
      <c r="F2058" s="10"/>
      <c r="G2058" s="13"/>
      <c r="H2058" s="13"/>
      <c r="I2058" s="12"/>
      <c r="J2058" s="13"/>
      <c r="K2058" s="13"/>
      <c r="L2058" s="12"/>
    </row>
    <row r="2059" spans="1:12" x14ac:dyDescent="0.25">
      <c r="A2059" s="5" t="s">
        <v>62</v>
      </c>
      <c r="B2059" s="12"/>
      <c r="C2059" s="5"/>
      <c r="D2059" s="4"/>
      <c r="E2059" s="13"/>
      <c r="F2059" s="10"/>
      <c r="G2059" s="13"/>
      <c r="H2059" s="13"/>
      <c r="I2059" s="12"/>
      <c r="J2059" s="13"/>
      <c r="K2059" s="13"/>
      <c r="L2059" s="12"/>
    </row>
    <row r="2060" spans="1:12" x14ac:dyDescent="0.25">
      <c r="A2060" s="5" t="s">
        <v>62</v>
      </c>
      <c r="B2060" s="12"/>
      <c r="C2060" s="5"/>
      <c r="D2060" s="4"/>
      <c r="E2060" s="13"/>
      <c r="F2060" s="10"/>
      <c r="G2060" s="13"/>
      <c r="H2060" s="13"/>
      <c r="I2060" s="12"/>
      <c r="J2060" s="13"/>
      <c r="K2060" s="13"/>
      <c r="L2060" s="12"/>
    </row>
    <row r="2061" spans="1:12" x14ac:dyDescent="0.25">
      <c r="A2061" s="5" t="s">
        <v>62</v>
      </c>
      <c r="B2061" s="12"/>
      <c r="C2061" s="5"/>
      <c r="D2061" s="4"/>
      <c r="E2061" s="13"/>
      <c r="F2061" s="10"/>
      <c r="G2061" s="13"/>
      <c r="H2061" s="13"/>
      <c r="I2061" s="12"/>
      <c r="J2061" s="13"/>
      <c r="K2061" s="13"/>
      <c r="L2061" s="12"/>
    </row>
    <row r="2062" spans="1:12" x14ac:dyDescent="0.25">
      <c r="A2062" s="5" t="s">
        <v>201</v>
      </c>
      <c r="B2062" s="12"/>
      <c r="C2062" s="5"/>
      <c r="D2062" s="4"/>
      <c r="E2062" s="13"/>
      <c r="F2062" s="10"/>
      <c r="G2062" s="13"/>
      <c r="H2062" s="13"/>
      <c r="I2062" s="12"/>
      <c r="J2062" s="13"/>
      <c r="K2062" s="13"/>
      <c r="L2062" s="12"/>
    </row>
    <row r="2063" spans="1:12" x14ac:dyDescent="0.25">
      <c r="A2063" s="5" t="s">
        <v>201</v>
      </c>
      <c r="B2063" s="12"/>
      <c r="C2063" s="5"/>
      <c r="D2063" s="4"/>
      <c r="E2063" s="13"/>
      <c r="F2063" s="10"/>
      <c r="G2063" s="13"/>
      <c r="H2063" s="13"/>
      <c r="I2063" s="12"/>
      <c r="J2063" s="13"/>
      <c r="K2063" s="13"/>
      <c r="L2063" s="12"/>
    </row>
    <row r="2064" spans="1:12" x14ac:dyDescent="0.25">
      <c r="A2064" s="5" t="s">
        <v>201</v>
      </c>
      <c r="B2064" s="12"/>
      <c r="C2064" s="5"/>
      <c r="D2064" s="4"/>
      <c r="E2064" s="13"/>
      <c r="F2064" s="10"/>
      <c r="G2064" s="13"/>
      <c r="H2064" s="13"/>
      <c r="I2064" s="12"/>
      <c r="J2064" s="13"/>
      <c r="K2064" s="13"/>
      <c r="L2064" s="12"/>
    </row>
    <row r="2065" spans="1:12" x14ac:dyDescent="0.25">
      <c r="A2065" s="5" t="s">
        <v>450</v>
      </c>
      <c r="B2065" s="12"/>
      <c r="C2065" s="5"/>
      <c r="D2065" s="4"/>
      <c r="E2065" s="13"/>
      <c r="F2065" s="10"/>
      <c r="G2065" s="13"/>
      <c r="H2065" s="13"/>
      <c r="I2065" s="12"/>
      <c r="J2065" s="13"/>
      <c r="K2065" s="13"/>
      <c r="L2065" s="12"/>
    </row>
    <row r="2066" spans="1:12" x14ac:dyDescent="0.25">
      <c r="A2066" s="5" t="s">
        <v>450</v>
      </c>
      <c r="B2066" s="12"/>
      <c r="C2066" s="5"/>
      <c r="D2066" s="4"/>
      <c r="E2066" s="13"/>
      <c r="F2066" s="10"/>
      <c r="G2066" s="13"/>
      <c r="H2066" s="13"/>
      <c r="I2066" s="12"/>
      <c r="J2066" s="13"/>
      <c r="K2066" s="13"/>
      <c r="L2066" s="12"/>
    </row>
    <row r="2067" spans="1:12" x14ac:dyDescent="0.25">
      <c r="A2067" s="5" t="s">
        <v>450</v>
      </c>
      <c r="B2067" s="12"/>
      <c r="C2067" s="5"/>
      <c r="D2067" s="4"/>
      <c r="E2067" s="13"/>
      <c r="F2067" s="10"/>
      <c r="G2067" s="13"/>
      <c r="H2067" s="13"/>
      <c r="I2067" s="12"/>
      <c r="J2067" s="13"/>
      <c r="K2067" s="13"/>
      <c r="L2067" s="12"/>
    </row>
    <row r="2068" spans="1:12" x14ac:dyDescent="0.25">
      <c r="A2068" s="5" t="s">
        <v>119</v>
      </c>
      <c r="B2068" s="12"/>
      <c r="C2068" s="5"/>
      <c r="D2068" s="4"/>
      <c r="E2068" s="13"/>
      <c r="F2068" s="10"/>
      <c r="G2068" s="13"/>
      <c r="H2068" s="13"/>
      <c r="I2068" s="12"/>
      <c r="J2068" s="13"/>
      <c r="K2068" s="13"/>
      <c r="L2068" s="12"/>
    </row>
    <row r="2069" spans="1:12" x14ac:dyDescent="0.25">
      <c r="A2069" s="5" t="s">
        <v>119</v>
      </c>
      <c r="B2069" s="12"/>
      <c r="C2069" s="5"/>
      <c r="D2069" s="4"/>
      <c r="E2069" s="13"/>
      <c r="F2069" s="10"/>
      <c r="G2069" s="13"/>
      <c r="H2069" s="13"/>
      <c r="I2069" s="12"/>
      <c r="J2069" s="13"/>
      <c r="K2069" s="13"/>
      <c r="L2069" s="12"/>
    </row>
    <row r="2070" spans="1:12" x14ac:dyDescent="0.25">
      <c r="A2070" s="5" t="s">
        <v>119</v>
      </c>
      <c r="B2070" s="12"/>
      <c r="C2070" s="5"/>
      <c r="D2070" s="4"/>
      <c r="E2070" s="13"/>
      <c r="F2070" s="10"/>
      <c r="G2070" s="13"/>
      <c r="H2070" s="13"/>
      <c r="I2070" s="12"/>
      <c r="J2070" s="13"/>
      <c r="K2070" s="13"/>
      <c r="L2070" s="12"/>
    </row>
    <row r="2071" spans="1:12" x14ac:dyDescent="0.25">
      <c r="A2071" s="5" t="s">
        <v>565</v>
      </c>
      <c r="B2071" s="12"/>
      <c r="C2071" s="5"/>
      <c r="D2071" s="4"/>
      <c r="E2071" s="13"/>
      <c r="F2071" s="10"/>
      <c r="G2071" s="13"/>
      <c r="H2071" s="13"/>
      <c r="I2071" s="12"/>
      <c r="J2071" s="13"/>
      <c r="K2071" s="13"/>
      <c r="L2071" s="12"/>
    </row>
    <row r="2072" spans="1:12" x14ac:dyDescent="0.25">
      <c r="A2072" s="5" t="s">
        <v>565</v>
      </c>
      <c r="B2072" s="12"/>
      <c r="C2072" s="5"/>
      <c r="D2072" s="4"/>
      <c r="E2072" s="13"/>
      <c r="F2072" s="10"/>
      <c r="G2072" s="13"/>
      <c r="H2072" s="13"/>
      <c r="I2072" s="12"/>
      <c r="J2072" s="13"/>
      <c r="K2072" s="13"/>
      <c r="L2072" s="12"/>
    </row>
    <row r="2073" spans="1:12" x14ac:dyDescent="0.25">
      <c r="A2073" s="5" t="s">
        <v>565</v>
      </c>
      <c r="B2073" s="12"/>
      <c r="C2073" s="5"/>
      <c r="D2073" s="4"/>
      <c r="E2073" s="13"/>
      <c r="F2073" s="10"/>
      <c r="G2073" s="13"/>
      <c r="H2073" s="13"/>
      <c r="I2073" s="12"/>
      <c r="J2073" s="13"/>
      <c r="K2073" s="13"/>
      <c r="L2073" s="12"/>
    </row>
    <row r="2074" spans="1:12" x14ac:dyDescent="0.25">
      <c r="A2074" s="5" t="s">
        <v>338</v>
      </c>
      <c r="B2074" s="12"/>
      <c r="C2074" s="5"/>
      <c r="D2074" s="4"/>
      <c r="E2074" s="13"/>
      <c r="F2074" s="10"/>
      <c r="G2074" s="13"/>
      <c r="H2074" s="13"/>
      <c r="I2074" s="12"/>
      <c r="J2074" s="13"/>
      <c r="K2074" s="13"/>
      <c r="L2074" s="12"/>
    </row>
    <row r="2075" spans="1:12" x14ac:dyDescent="0.25">
      <c r="A2075" s="5" t="s">
        <v>338</v>
      </c>
      <c r="B2075" s="12"/>
      <c r="C2075" s="5"/>
      <c r="D2075" s="4"/>
      <c r="E2075" s="13"/>
      <c r="F2075" s="10"/>
      <c r="G2075" s="13"/>
      <c r="H2075" s="13"/>
      <c r="I2075" s="12"/>
      <c r="J2075" s="13"/>
      <c r="K2075" s="13"/>
      <c r="L2075" s="12"/>
    </row>
    <row r="2076" spans="1:12" x14ac:dyDescent="0.25">
      <c r="A2076" s="5" t="s">
        <v>338</v>
      </c>
      <c r="B2076" s="12"/>
      <c r="C2076" s="5"/>
      <c r="D2076" s="4"/>
      <c r="E2076" s="13"/>
      <c r="F2076" s="10"/>
      <c r="G2076" s="13"/>
      <c r="H2076" s="13"/>
      <c r="I2076" s="12"/>
      <c r="J2076" s="13"/>
      <c r="K2076" s="13"/>
      <c r="L2076" s="12"/>
    </row>
    <row r="2077" spans="1:12" x14ac:dyDescent="0.25">
      <c r="A2077" s="5" t="s">
        <v>672</v>
      </c>
      <c r="B2077" s="12"/>
      <c r="C2077" s="5"/>
      <c r="D2077" s="4"/>
      <c r="E2077" s="13"/>
      <c r="F2077" s="10"/>
      <c r="G2077" s="13"/>
      <c r="H2077" s="13"/>
      <c r="I2077" s="12"/>
      <c r="J2077" s="13"/>
      <c r="K2077" s="13"/>
      <c r="L2077" s="12"/>
    </row>
    <row r="2078" spans="1:12" x14ac:dyDescent="0.25">
      <c r="A2078" s="5" t="s">
        <v>672</v>
      </c>
      <c r="B2078" s="12"/>
      <c r="C2078" s="5"/>
      <c r="D2078" s="4"/>
      <c r="E2078" s="13"/>
      <c r="F2078" s="10"/>
      <c r="G2078" s="13"/>
      <c r="H2078" s="13"/>
      <c r="I2078" s="12"/>
      <c r="J2078" s="13"/>
      <c r="K2078" s="13"/>
      <c r="L2078" s="12"/>
    </row>
    <row r="2079" spans="1:12" x14ac:dyDescent="0.25">
      <c r="A2079" s="5" t="s">
        <v>672</v>
      </c>
      <c r="B2079" s="12"/>
      <c r="C2079" s="5"/>
      <c r="D2079" s="4"/>
      <c r="E2079" s="13"/>
      <c r="F2079" s="10"/>
      <c r="G2079" s="13"/>
      <c r="H2079" s="13"/>
      <c r="I2079" s="12"/>
      <c r="J2079" s="13"/>
      <c r="K2079" s="13"/>
      <c r="L2079" s="12"/>
    </row>
    <row r="2080" spans="1:12" x14ac:dyDescent="0.25">
      <c r="A2080" s="5" t="s">
        <v>86</v>
      </c>
      <c r="B2080" s="12"/>
      <c r="C2080" s="5"/>
      <c r="D2080" s="4"/>
      <c r="E2080" s="13"/>
      <c r="F2080" s="10"/>
      <c r="G2080" s="13"/>
      <c r="H2080" s="13"/>
      <c r="I2080" s="12"/>
      <c r="J2080" s="13"/>
      <c r="K2080" s="13"/>
      <c r="L2080" s="12"/>
    </row>
    <row r="2081" spans="1:12" x14ac:dyDescent="0.25">
      <c r="A2081" s="5" t="s">
        <v>86</v>
      </c>
      <c r="B2081" s="12"/>
      <c r="C2081" s="5"/>
      <c r="D2081" s="4"/>
      <c r="E2081" s="13"/>
      <c r="F2081" s="10"/>
      <c r="G2081" s="13"/>
      <c r="H2081" s="13"/>
      <c r="I2081" s="12"/>
      <c r="J2081" s="13"/>
      <c r="K2081" s="13"/>
      <c r="L2081" s="12"/>
    </row>
    <row r="2082" spans="1:12" x14ac:dyDescent="0.25">
      <c r="A2082" s="5" t="s">
        <v>86</v>
      </c>
      <c r="B2082" s="12"/>
      <c r="C2082" s="5"/>
      <c r="D2082" s="4"/>
      <c r="E2082" s="13"/>
      <c r="F2082" s="10"/>
      <c r="G2082" s="13"/>
      <c r="H2082" s="13"/>
      <c r="I2082" s="12"/>
      <c r="J2082" s="13"/>
      <c r="K2082" s="13"/>
      <c r="L2082" s="12"/>
    </row>
    <row r="2083" spans="1:12" x14ac:dyDescent="0.25">
      <c r="A2083" s="5" t="s">
        <v>655</v>
      </c>
      <c r="B2083" s="12"/>
      <c r="C2083" s="5"/>
      <c r="D2083" s="4"/>
      <c r="E2083" s="13"/>
      <c r="F2083" s="10"/>
      <c r="G2083" s="13"/>
      <c r="H2083" s="13"/>
      <c r="I2083" s="12"/>
      <c r="J2083" s="13"/>
      <c r="K2083" s="13"/>
      <c r="L2083" s="12"/>
    </row>
    <row r="2084" spans="1:12" x14ac:dyDescent="0.25">
      <c r="A2084" s="5" t="s">
        <v>655</v>
      </c>
      <c r="B2084" s="12"/>
      <c r="C2084" s="5"/>
      <c r="D2084" s="4"/>
      <c r="E2084" s="13"/>
      <c r="F2084" s="10"/>
      <c r="G2084" s="13"/>
      <c r="H2084" s="13"/>
      <c r="I2084" s="12"/>
      <c r="J2084" s="13"/>
      <c r="K2084" s="13"/>
      <c r="L2084" s="12"/>
    </row>
    <row r="2085" spans="1:12" x14ac:dyDescent="0.25">
      <c r="A2085" s="5" t="s">
        <v>655</v>
      </c>
      <c r="B2085" s="12"/>
      <c r="C2085" s="5"/>
      <c r="D2085" s="4"/>
      <c r="E2085" s="13"/>
      <c r="F2085" s="10"/>
      <c r="G2085" s="13"/>
      <c r="H2085" s="13"/>
      <c r="I2085" s="12"/>
      <c r="J2085" s="13"/>
      <c r="K2085" s="13"/>
      <c r="L2085" s="12"/>
    </row>
    <row r="2086" spans="1:12" x14ac:dyDescent="0.25">
      <c r="A2086" s="5" t="s">
        <v>584</v>
      </c>
      <c r="B2086" s="12"/>
      <c r="C2086" s="5"/>
      <c r="D2086" s="4"/>
      <c r="E2086" s="13"/>
      <c r="F2086" s="10"/>
      <c r="G2086" s="13"/>
      <c r="H2086" s="13"/>
      <c r="I2086" s="12"/>
      <c r="J2086" s="13"/>
      <c r="K2086" s="13"/>
      <c r="L2086" s="12"/>
    </row>
    <row r="2087" spans="1:12" x14ac:dyDescent="0.25">
      <c r="A2087" s="5" t="s">
        <v>584</v>
      </c>
      <c r="B2087" s="12"/>
      <c r="C2087" s="5"/>
      <c r="D2087" s="4"/>
      <c r="E2087" s="13"/>
      <c r="F2087" s="10"/>
      <c r="G2087" s="13"/>
      <c r="H2087" s="13"/>
      <c r="I2087" s="12"/>
      <c r="J2087" s="13"/>
      <c r="K2087" s="13"/>
      <c r="L2087" s="12"/>
    </row>
    <row r="2088" spans="1:12" x14ac:dyDescent="0.25">
      <c r="A2088" s="5" t="s">
        <v>584</v>
      </c>
      <c r="B2088" s="12"/>
      <c r="C2088" s="5"/>
      <c r="D2088" s="4"/>
      <c r="E2088" s="13"/>
      <c r="F2088" s="10"/>
      <c r="G2088" s="13"/>
      <c r="H2088" s="13"/>
      <c r="I2088" s="12"/>
      <c r="J2088" s="13"/>
      <c r="K2088" s="13"/>
      <c r="L2088" s="12"/>
    </row>
    <row r="2089" spans="1:12" x14ac:dyDescent="0.25">
      <c r="A2089" s="5" t="s">
        <v>27</v>
      </c>
      <c r="B2089" s="12"/>
      <c r="C2089" s="5"/>
      <c r="D2089" s="4"/>
      <c r="E2089" s="13"/>
      <c r="F2089" s="10"/>
      <c r="G2089" s="13"/>
      <c r="H2089" s="13"/>
      <c r="I2089" s="12"/>
      <c r="J2089" s="13"/>
      <c r="K2089" s="13"/>
      <c r="L2089" s="12"/>
    </row>
    <row r="2090" spans="1:12" x14ac:dyDescent="0.25">
      <c r="A2090" s="5" t="s">
        <v>27</v>
      </c>
      <c r="B2090" s="12"/>
      <c r="C2090" s="5"/>
      <c r="D2090" s="4"/>
      <c r="E2090" s="13"/>
      <c r="F2090" s="10"/>
      <c r="G2090" s="13"/>
      <c r="H2090" s="13"/>
      <c r="I2090" s="12"/>
      <c r="J2090" s="13"/>
      <c r="K2090" s="13"/>
      <c r="L2090" s="12"/>
    </row>
    <row r="2091" spans="1:12" x14ac:dyDescent="0.25">
      <c r="A2091" s="5" t="s">
        <v>27</v>
      </c>
      <c r="B2091" s="12"/>
      <c r="C2091" s="5"/>
      <c r="D2091" s="4"/>
      <c r="E2091" s="13"/>
      <c r="F2091" s="10"/>
      <c r="G2091" s="13"/>
      <c r="H2091" s="13"/>
      <c r="I2091" s="12"/>
      <c r="J2091" s="13"/>
      <c r="K2091" s="13"/>
      <c r="L2091" s="12"/>
    </row>
    <row r="2092" spans="1:12" x14ac:dyDescent="0.25">
      <c r="A2092" s="5" t="s">
        <v>519</v>
      </c>
      <c r="B2092" s="12"/>
      <c r="C2092" s="5"/>
      <c r="D2092" s="4"/>
      <c r="E2092" s="13"/>
      <c r="F2092" s="10"/>
      <c r="G2092" s="13"/>
      <c r="H2092" s="13"/>
      <c r="I2092" s="12"/>
      <c r="J2092" s="13"/>
      <c r="K2092" s="13"/>
      <c r="L2092" s="12"/>
    </row>
    <row r="2093" spans="1:12" x14ac:dyDescent="0.25">
      <c r="A2093" s="5" t="s">
        <v>519</v>
      </c>
      <c r="B2093" s="12"/>
      <c r="C2093" s="5"/>
      <c r="D2093" s="4"/>
      <c r="E2093" s="13"/>
      <c r="F2093" s="10"/>
      <c r="G2093" s="13"/>
      <c r="H2093" s="13"/>
      <c r="I2093" s="12"/>
      <c r="J2093" s="13"/>
      <c r="K2093" s="13"/>
      <c r="L2093" s="12"/>
    </row>
    <row r="2094" spans="1:12" x14ac:dyDescent="0.25">
      <c r="A2094" s="5" t="s">
        <v>519</v>
      </c>
      <c r="B2094" s="12"/>
      <c r="C2094" s="5"/>
      <c r="D2094" s="4"/>
      <c r="E2094" s="13"/>
      <c r="F2094" s="10"/>
      <c r="G2094" s="13"/>
      <c r="H2094" s="13"/>
      <c r="I2094" s="12"/>
      <c r="J2094" s="13"/>
      <c r="K2094" s="13"/>
      <c r="L2094" s="12"/>
    </row>
    <row r="2095" spans="1:12" x14ac:dyDescent="0.25">
      <c r="A2095" s="5" t="s">
        <v>295</v>
      </c>
      <c r="B2095" s="12"/>
      <c r="C2095" s="5"/>
      <c r="D2095" s="4"/>
      <c r="E2095" s="13"/>
      <c r="F2095" s="10"/>
      <c r="G2095" s="13"/>
      <c r="H2095" s="13"/>
      <c r="I2095" s="12"/>
      <c r="J2095" s="13"/>
      <c r="K2095" s="13"/>
      <c r="L2095" s="12"/>
    </row>
    <row r="2096" spans="1:12" x14ac:dyDescent="0.25">
      <c r="A2096" s="5" t="s">
        <v>295</v>
      </c>
      <c r="B2096" s="12"/>
      <c r="C2096" s="5"/>
      <c r="D2096" s="4"/>
      <c r="E2096" s="13"/>
      <c r="F2096" s="10"/>
      <c r="G2096" s="13"/>
      <c r="H2096" s="13"/>
      <c r="I2096" s="12"/>
      <c r="J2096" s="13"/>
      <c r="K2096" s="13"/>
      <c r="L2096" s="12"/>
    </row>
    <row r="2097" spans="1:12" x14ac:dyDescent="0.25">
      <c r="A2097" s="5" t="s">
        <v>295</v>
      </c>
      <c r="B2097" s="12"/>
      <c r="C2097" s="5"/>
      <c r="D2097" s="4"/>
      <c r="E2097" s="13"/>
      <c r="F2097" s="10"/>
      <c r="G2097" s="13"/>
      <c r="H2097" s="13"/>
      <c r="I2097" s="12"/>
      <c r="J2097" s="13"/>
      <c r="K2097" s="13"/>
      <c r="L2097" s="12"/>
    </row>
    <row r="2098" spans="1:12" x14ac:dyDescent="0.25">
      <c r="A2098" s="5" t="s">
        <v>711</v>
      </c>
      <c r="B2098" s="12"/>
      <c r="C2098" s="5"/>
      <c r="D2098" s="4"/>
      <c r="E2098" s="13"/>
      <c r="F2098" s="10"/>
      <c r="G2098" s="13"/>
      <c r="H2098" s="13"/>
      <c r="I2098" s="12"/>
      <c r="J2098" s="13"/>
      <c r="K2098" s="13"/>
      <c r="L2098" s="12"/>
    </row>
    <row r="2099" spans="1:12" x14ac:dyDescent="0.25">
      <c r="A2099" s="5" t="s">
        <v>711</v>
      </c>
      <c r="B2099" s="12"/>
      <c r="C2099" s="5"/>
      <c r="D2099" s="4"/>
      <c r="E2099" s="13"/>
      <c r="F2099" s="10"/>
      <c r="G2099" s="13"/>
      <c r="H2099" s="13"/>
      <c r="I2099" s="12"/>
      <c r="J2099" s="13"/>
      <c r="K2099" s="13"/>
      <c r="L2099" s="12"/>
    </row>
    <row r="2100" spans="1:12" x14ac:dyDescent="0.25">
      <c r="A2100" s="5" t="s">
        <v>711</v>
      </c>
      <c r="B2100" s="12"/>
      <c r="C2100" s="5"/>
      <c r="D2100" s="4"/>
      <c r="E2100" s="13"/>
      <c r="F2100" s="10"/>
      <c r="G2100" s="13"/>
      <c r="H2100" s="13"/>
      <c r="I2100" s="12"/>
      <c r="J2100" s="13"/>
      <c r="K2100" s="13"/>
      <c r="L2100" s="12"/>
    </row>
    <row r="2101" spans="1:12" x14ac:dyDescent="0.25">
      <c r="A2101" s="5" t="s">
        <v>293</v>
      </c>
      <c r="B2101" s="12"/>
      <c r="C2101" s="5"/>
      <c r="D2101" s="4"/>
      <c r="E2101" s="13"/>
      <c r="F2101" s="10"/>
      <c r="G2101" s="13"/>
      <c r="H2101" s="13"/>
      <c r="I2101" s="12"/>
      <c r="J2101" s="13"/>
      <c r="K2101" s="13"/>
      <c r="L2101" s="12"/>
    </row>
    <row r="2102" spans="1:12" x14ac:dyDescent="0.25">
      <c r="A2102" s="5" t="s">
        <v>293</v>
      </c>
      <c r="B2102" s="12"/>
      <c r="C2102" s="5"/>
      <c r="D2102" s="4"/>
      <c r="E2102" s="13"/>
      <c r="F2102" s="10"/>
      <c r="G2102" s="13"/>
      <c r="H2102" s="13"/>
      <c r="I2102" s="12"/>
      <c r="J2102" s="13"/>
      <c r="K2102" s="13"/>
      <c r="L2102" s="12"/>
    </row>
    <row r="2103" spans="1:12" x14ac:dyDescent="0.25">
      <c r="A2103" s="5" t="s">
        <v>293</v>
      </c>
      <c r="B2103" s="12"/>
      <c r="C2103" s="5"/>
      <c r="D2103" s="4"/>
      <c r="E2103" s="13"/>
      <c r="F2103" s="10"/>
      <c r="G2103" s="13"/>
      <c r="H2103" s="13"/>
      <c r="I2103" s="12"/>
      <c r="J2103" s="13"/>
      <c r="K2103" s="13"/>
      <c r="L2103" s="12"/>
    </row>
    <row r="2104" spans="1:12" x14ac:dyDescent="0.25">
      <c r="A2104" s="5" t="s">
        <v>61</v>
      </c>
      <c r="B2104" s="12"/>
      <c r="C2104" s="5"/>
      <c r="D2104" s="4"/>
      <c r="E2104" s="13"/>
      <c r="F2104" s="10"/>
      <c r="G2104" s="13"/>
      <c r="H2104" s="13"/>
      <c r="I2104" s="12"/>
      <c r="J2104" s="13"/>
      <c r="K2104" s="13"/>
      <c r="L2104" s="12"/>
    </row>
    <row r="2105" spans="1:12" x14ac:dyDescent="0.25">
      <c r="A2105" s="5" t="s">
        <v>61</v>
      </c>
      <c r="B2105" s="12"/>
      <c r="C2105" s="5"/>
      <c r="D2105" s="4"/>
      <c r="E2105" s="13"/>
      <c r="F2105" s="10"/>
      <c r="G2105" s="13"/>
      <c r="H2105" s="13"/>
      <c r="I2105" s="12"/>
      <c r="J2105" s="13"/>
      <c r="K2105" s="13"/>
      <c r="L2105" s="12"/>
    </row>
    <row r="2106" spans="1:12" x14ac:dyDescent="0.25">
      <c r="A2106" s="5" t="s">
        <v>61</v>
      </c>
      <c r="B2106" s="12"/>
      <c r="C2106" s="5"/>
      <c r="D2106" s="4"/>
      <c r="E2106" s="13"/>
      <c r="F2106" s="10"/>
      <c r="G2106" s="13"/>
      <c r="H2106" s="13"/>
      <c r="I2106" s="12"/>
      <c r="J2106" s="13"/>
      <c r="K2106" s="13"/>
      <c r="L2106" s="12"/>
    </row>
    <row r="2107" spans="1:12" x14ac:dyDescent="0.25">
      <c r="A2107" s="5" t="s">
        <v>342</v>
      </c>
      <c r="B2107" s="12"/>
      <c r="C2107" s="5"/>
      <c r="D2107" s="4"/>
      <c r="E2107" s="13"/>
      <c r="F2107" s="10"/>
      <c r="G2107" s="13"/>
      <c r="H2107" s="13"/>
      <c r="I2107" s="12"/>
      <c r="J2107" s="13"/>
      <c r="K2107" s="13"/>
      <c r="L2107" s="12"/>
    </row>
    <row r="2108" spans="1:12" x14ac:dyDescent="0.25">
      <c r="A2108" s="5" t="s">
        <v>342</v>
      </c>
      <c r="B2108" s="12"/>
      <c r="C2108" s="5"/>
      <c r="D2108" s="4"/>
      <c r="E2108" s="13"/>
      <c r="F2108" s="10"/>
      <c r="G2108" s="13"/>
      <c r="H2108" s="13"/>
      <c r="I2108" s="12"/>
      <c r="J2108" s="13"/>
      <c r="K2108" s="13"/>
      <c r="L2108" s="12"/>
    </row>
    <row r="2109" spans="1:12" x14ac:dyDescent="0.25">
      <c r="A2109" s="5" t="s">
        <v>342</v>
      </c>
      <c r="B2109" s="12"/>
      <c r="C2109" s="5"/>
      <c r="D2109" s="4"/>
      <c r="E2109" s="13"/>
      <c r="F2109" s="10"/>
      <c r="G2109" s="13"/>
      <c r="H2109" s="13"/>
      <c r="I2109" s="12"/>
      <c r="J2109" s="13"/>
      <c r="K2109" s="13"/>
      <c r="L2109" s="12"/>
    </row>
    <row r="2110" spans="1:12" x14ac:dyDescent="0.25">
      <c r="A2110" s="5" t="s">
        <v>842</v>
      </c>
      <c r="B2110" s="12"/>
      <c r="C2110" s="5"/>
      <c r="D2110" s="4"/>
      <c r="E2110" s="13"/>
      <c r="F2110" s="10"/>
      <c r="G2110" s="13"/>
      <c r="H2110" s="13"/>
      <c r="I2110" s="12"/>
      <c r="J2110" s="13"/>
      <c r="K2110" s="13"/>
      <c r="L2110" s="12"/>
    </row>
    <row r="2111" spans="1:12" x14ac:dyDescent="0.25">
      <c r="A2111" s="5" t="s">
        <v>492</v>
      </c>
      <c r="B2111" s="12"/>
      <c r="C2111" s="5"/>
      <c r="D2111" s="4"/>
      <c r="E2111" s="13"/>
      <c r="F2111" s="10"/>
      <c r="G2111" s="13"/>
      <c r="H2111" s="13"/>
      <c r="I2111" s="12"/>
      <c r="J2111" s="13"/>
      <c r="K2111" s="13"/>
      <c r="L2111" s="12"/>
    </row>
    <row r="2112" spans="1:12" x14ac:dyDescent="0.25">
      <c r="A2112" s="5" t="s">
        <v>492</v>
      </c>
      <c r="B2112" s="12"/>
      <c r="C2112" s="5"/>
      <c r="D2112" s="4"/>
      <c r="E2112" s="13"/>
      <c r="F2112" s="10"/>
      <c r="G2112" s="13"/>
      <c r="H2112" s="13"/>
      <c r="I2112" s="12"/>
      <c r="J2112" s="13"/>
      <c r="K2112" s="13"/>
      <c r="L2112" s="12"/>
    </row>
    <row r="2113" spans="1:12" x14ac:dyDescent="0.25">
      <c r="A2113" s="5" t="s">
        <v>581</v>
      </c>
      <c r="B2113" s="12"/>
      <c r="C2113" s="5"/>
      <c r="D2113" s="4"/>
      <c r="E2113" s="13"/>
      <c r="F2113" s="10"/>
      <c r="G2113" s="13"/>
      <c r="H2113" s="13"/>
      <c r="I2113" s="12"/>
      <c r="J2113" s="13"/>
      <c r="K2113" s="13"/>
      <c r="L2113" s="12"/>
    </row>
    <row r="2114" spans="1:12" x14ac:dyDescent="0.25">
      <c r="A2114" s="5" t="s">
        <v>581</v>
      </c>
      <c r="B2114" s="12"/>
      <c r="C2114" s="5"/>
      <c r="D2114" s="4"/>
      <c r="E2114" s="13"/>
      <c r="F2114" s="10"/>
      <c r="G2114" s="13"/>
      <c r="H2114" s="13"/>
      <c r="I2114" s="12"/>
      <c r="J2114" s="13"/>
      <c r="K2114" s="13"/>
      <c r="L2114" s="12"/>
    </row>
    <row r="2115" spans="1:12" x14ac:dyDescent="0.25">
      <c r="A2115" s="5" t="s">
        <v>504</v>
      </c>
      <c r="B2115" s="12"/>
      <c r="C2115" s="5"/>
      <c r="D2115" s="4"/>
      <c r="E2115" s="13"/>
      <c r="F2115" s="10"/>
      <c r="G2115" s="13"/>
      <c r="H2115" s="13"/>
      <c r="I2115" s="12"/>
      <c r="J2115" s="13"/>
      <c r="K2115" s="13"/>
      <c r="L2115" s="12"/>
    </row>
    <row r="2116" spans="1:12" x14ac:dyDescent="0.25">
      <c r="A2116" s="5" t="s">
        <v>504</v>
      </c>
      <c r="B2116" s="12"/>
      <c r="C2116" s="5"/>
      <c r="D2116" s="4"/>
      <c r="E2116" s="13"/>
      <c r="F2116" s="10"/>
      <c r="G2116" s="13"/>
      <c r="H2116" s="13"/>
      <c r="I2116" s="12"/>
      <c r="J2116" s="13"/>
      <c r="K2116" s="13"/>
      <c r="L2116" s="12"/>
    </row>
    <row r="2117" spans="1:12" x14ac:dyDescent="0.25">
      <c r="A2117" s="5" t="s">
        <v>504</v>
      </c>
      <c r="B2117" s="12"/>
      <c r="C2117" s="5"/>
      <c r="D2117" s="4"/>
      <c r="E2117" s="13"/>
      <c r="F2117" s="10"/>
      <c r="G2117" s="13"/>
      <c r="H2117" s="13"/>
      <c r="I2117" s="12"/>
      <c r="J2117" s="13"/>
      <c r="K2117" s="13"/>
      <c r="L2117" s="12"/>
    </row>
    <row r="2118" spans="1:12" x14ac:dyDescent="0.25">
      <c r="A2118" s="5" t="s">
        <v>520</v>
      </c>
      <c r="B2118" s="12"/>
      <c r="C2118" s="5"/>
      <c r="D2118" s="4"/>
      <c r="E2118" s="13"/>
      <c r="F2118" s="10"/>
      <c r="G2118" s="13"/>
      <c r="H2118" s="13"/>
      <c r="I2118" s="12"/>
      <c r="J2118" s="13"/>
      <c r="K2118" s="13"/>
      <c r="L2118" s="12"/>
    </row>
    <row r="2119" spans="1:12" x14ac:dyDescent="0.25">
      <c r="A2119" s="5" t="s">
        <v>536</v>
      </c>
      <c r="B2119" s="12"/>
      <c r="C2119" s="5"/>
      <c r="D2119" s="4"/>
      <c r="E2119" s="13"/>
      <c r="F2119" s="10"/>
      <c r="G2119" s="13"/>
      <c r="H2119" s="13"/>
      <c r="I2119" s="12"/>
      <c r="J2119" s="13"/>
      <c r="K2119" s="13"/>
      <c r="L2119" s="12"/>
    </row>
    <row r="2120" spans="1:12" x14ac:dyDescent="0.25">
      <c r="A2120" s="5" t="s">
        <v>536</v>
      </c>
      <c r="B2120" s="12"/>
      <c r="C2120" s="5"/>
      <c r="D2120" s="4"/>
      <c r="E2120" s="13"/>
      <c r="F2120" s="10"/>
      <c r="G2120" s="13"/>
      <c r="H2120" s="13"/>
      <c r="I2120" s="12"/>
      <c r="J2120" s="13"/>
      <c r="K2120" s="13"/>
      <c r="L2120" s="12"/>
    </row>
    <row r="2121" spans="1:12" x14ac:dyDescent="0.25">
      <c r="A2121" s="5" t="s">
        <v>677</v>
      </c>
      <c r="B2121" s="12"/>
      <c r="C2121" s="5"/>
      <c r="D2121" s="4"/>
      <c r="E2121" s="13"/>
      <c r="F2121" s="10"/>
      <c r="G2121" s="13"/>
      <c r="H2121" s="13"/>
      <c r="I2121" s="12"/>
      <c r="J2121" s="13"/>
      <c r="K2121" s="13"/>
      <c r="L2121" s="12"/>
    </row>
    <row r="2122" spans="1:12" x14ac:dyDescent="0.25">
      <c r="A2122" s="5" t="s">
        <v>677</v>
      </c>
      <c r="B2122" s="12"/>
      <c r="C2122" s="5"/>
      <c r="D2122" s="4"/>
      <c r="E2122" s="13"/>
      <c r="F2122" s="10"/>
      <c r="G2122" s="13"/>
      <c r="H2122" s="13"/>
      <c r="I2122" s="12"/>
      <c r="J2122" s="13"/>
      <c r="K2122" s="13"/>
      <c r="L2122" s="12"/>
    </row>
    <row r="2123" spans="1:12" x14ac:dyDescent="0.25">
      <c r="A2123" s="5" t="s">
        <v>644</v>
      </c>
      <c r="B2123" s="12"/>
      <c r="C2123" s="5"/>
      <c r="D2123" s="4"/>
      <c r="E2123" s="13"/>
      <c r="F2123" s="10"/>
      <c r="G2123" s="13"/>
      <c r="H2123" s="13"/>
      <c r="I2123" s="12"/>
      <c r="J2123" s="13"/>
      <c r="K2123" s="13"/>
      <c r="L2123" s="12"/>
    </row>
    <row r="2124" spans="1:12" x14ac:dyDescent="0.25">
      <c r="A2124" s="5" t="s">
        <v>728</v>
      </c>
      <c r="B2124" s="12"/>
      <c r="C2124" s="5"/>
      <c r="D2124" s="4"/>
      <c r="E2124" s="13"/>
      <c r="F2124" s="10"/>
      <c r="G2124" s="13"/>
      <c r="H2124" s="13"/>
      <c r="I2124" s="12"/>
      <c r="J2124" s="13"/>
      <c r="K2124" s="13"/>
      <c r="L2124" s="12"/>
    </row>
    <row r="2125" spans="1:12" x14ac:dyDescent="0.25">
      <c r="A2125" s="5" t="s">
        <v>843</v>
      </c>
      <c r="B2125" s="12"/>
      <c r="C2125" s="5"/>
      <c r="D2125" s="4"/>
      <c r="E2125" s="13"/>
      <c r="F2125" s="10"/>
      <c r="G2125" s="13"/>
      <c r="H2125" s="13"/>
      <c r="I2125" s="12"/>
      <c r="J2125" s="13"/>
      <c r="K2125" s="13"/>
      <c r="L2125" s="12"/>
    </row>
    <row r="2126" spans="1:12" x14ac:dyDescent="0.25">
      <c r="A2126" s="5" t="s">
        <v>334</v>
      </c>
      <c r="B2126" s="12"/>
      <c r="C2126" s="5"/>
      <c r="D2126" s="4"/>
      <c r="E2126" s="13"/>
      <c r="F2126" s="10"/>
      <c r="G2126" s="13"/>
      <c r="H2126" s="13"/>
      <c r="I2126" s="12"/>
      <c r="J2126" s="13"/>
      <c r="K2126" s="13"/>
      <c r="L2126" s="12"/>
    </row>
    <row r="2127" spans="1:12" x14ac:dyDescent="0.25">
      <c r="A2127" s="5" t="s">
        <v>334</v>
      </c>
      <c r="B2127" s="12"/>
      <c r="C2127" s="5"/>
      <c r="D2127" s="4"/>
      <c r="E2127" s="13"/>
      <c r="F2127" s="10"/>
      <c r="G2127" s="13"/>
      <c r="H2127" s="13"/>
      <c r="I2127" s="12"/>
      <c r="J2127" s="13"/>
      <c r="K2127" s="13"/>
      <c r="L2127" s="12"/>
    </row>
    <row r="2128" spans="1:12" x14ac:dyDescent="0.25">
      <c r="A2128" s="5" t="s">
        <v>844</v>
      </c>
      <c r="B2128" s="12"/>
      <c r="C2128" s="5"/>
      <c r="D2128" s="4"/>
      <c r="E2128" s="13"/>
      <c r="F2128" s="10"/>
      <c r="G2128" s="13"/>
      <c r="H2128" s="13"/>
      <c r="I2128" s="12"/>
      <c r="J2128" s="13"/>
      <c r="K2128" s="13"/>
      <c r="L2128" s="12"/>
    </row>
    <row r="2129" spans="1:12" x14ac:dyDescent="0.25">
      <c r="A2129" s="5" t="s">
        <v>845</v>
      </c>
      <c r="B2129" s="12"/>
      <c r="C2129" s="5"/>
      <c r="D2129" s="4"/>
      <c r="E2129" s="13"/>
      <c r="F2129" s="10"/>
      <c r="G2129" s="13"/>
      <c r="H2129" s="13"/>
      <c r="I2129" s="12"/>
      <c r="J2129" s="13"/>
      <c r="K2129" s="13"/>
      <c r="L2129" s="12"/>
    </row>
    <row r="2130" spans="1:12" x14ac:dyDescent="0.25">
      <c r="A2130" s="5" t="s">
        <v>688</v>
      </c>
      <c r="B2130" s="12"/>
      <c r="C2130" s="5"/>
      <c r="D2130" s="4"/>
      <c r="E2130" s="13"/>
      <c r="F2130" s="10"/>
      <c r="G2130" s="13"/>
      <c r="H2130" s="13"/>
      <c r="I2130" s="12"/>
      <c r="J2130" s="13"/>
      <c r="K2130" s="13"/>
      <c r="L2130" s="12"/>
    </row>
    <row r="2131" spans="1:12" x14ac:dyDescent="0.25">
      <c r="A2131" s="5" t="s">
        <v>688</v>
      </c>
      <c r="B2131" s="12"/>
      <c r="C2131" s="5"/>
      <c r="D2131" s="4"/>
      <c r="E2131" s="13"/>
      <c r="F2131" s="10"/>
      <c r="G2131" s="13"/>
      <c r="H2131" s="13"/>
      <c r="I2131" s="12"/>
      <c r="J2131" s="13"/>
      <c r="K2131" s="13"/>
      <c r="L2131" s="12"/>
    </row>
    <row r="2132" spans="1:12" x14ac:dyDescent="0.25">
      <c r="A2132" s="5" t="s">
        <v>633</v>
      </c>
      <c r="B2132" s="12"/>
      <c r="C2132" s="5"/>
      <c r="D2132" s="4"/>
      <c r="E2132" s="13"/>
      <c r="F2132" s="10"/>
      <c r="G2132" s="13"/>
      <c r="H2132" s="13"/>
      <c r="I2132" s="12"/>
      <c r="J2132" s="13"/>
      <c r="K2132" s="13"/>
      <c r="L2132" s="12"/>
    </row>
    <row r="2133" spans="1:12" x14ac:dyDescent="0.25">
      <c r="A2133" s="5" t="s">
        <v>633</v>
      </c>
      <c r="B2133" s="12"/>
      <c r="C2133" s="5"/>
      <c r="D2133" s="4"/>
      <c r="E2133" s="13"/>
      <c r="F2133" s="10"/>
      <c r="G2133" s="13"/>
      <c r="H2133" s="13"/>
      <c r="I2133" s="12"/>
      <c r="J2133" s="13"/>
      <c r="K2133" s="13"/>
      <c r="L2133" s="12"/>
    </row>
    <row r="2134" spans="1:12" x14ac:dyDescent="0.25">
      <c r="A2134" s="5" t="s">
        <v>633</v>
      </c>
      <c r="B2134" s="12"/>
      <c r="C2134" s="5"/>
      <c r="D2134" s="4"/>
      <c r="E2134" s="13"/>
      <c r="F2134" s="10"/>
      <c r="G2134" s="13"/>
      <c r="H2134" s="13"/>
      <c r="I2134" s="12"/>
      <c r="J2134" s="13"/>
      <c r="K2134" s="13"/>
      <c r="L2134" s="12"/>
    </row>
    <row r="2135" spans="1:12" x14ac:dyDescent="0.25">
      <c r="A2135" s="5" t="s">
        <v>846</v>
      </c>
      <c r="B2135" s="12"/>
      <c r="C2135" s="5"/>
      <c r="D2135" s="4"/>
      <c r="E2135" s="13"/>
      <c r="F2135" s="10"/>
      <c r="G2135" s="13"/>
      <c r="H2135" s="13"/>
      <c r="I2135" s="12"/>
      <c r="J2135" s="13"/>
      <c r="K2135" s="13"/>
      <c r="L2135" s="12"/>
    </row>
    <row r="2136" spans="1:12" x14ac:dyDescent="0.25">
      <c r="A2136" s="5" t="s">
        <v>245</v>
      </c>
      <c r="B2136" s="12"/>
      <c r="C2136" s="5"/>
      <c r="D2136" s="4"/>
      <c r="E2136" s="13"/>
      <c r="F2136" s="10"/>
      <c r="G2136" s="13"/>
      <c r="H2136" s="13"/>
      <c r="I2136" s="12"/>
      <c r="J2136" s="13"/>
      <c r="K2136" s="13"/>
      <c r="L2136" s="12"/>
    </row>
    <row r="2137" spans="1:12" x14ac:dyDescent="0.25">
      <c r="A2137" s="5" t="s">
        <v>245</v>
      </c>
      <c r="B2137" s="12"/>
      <c r="C2137" s="5"/>
      <c r="D2137" s="4"/>
      <c r="E2137" s="13"/>
      <c r="F2137" s="10"/>
      <c r="G2137" s="13"/>
      <c r="H2137" s="13"/>
      <c r="I2137" s="12"/>
      <c r="J2137" s="13"/>
      <c r="K2137" s="13"/>
      <c r="L2137" s="12"/>
    </row>
    <row r="2138" spans="1:12" x14ac:dyDescent="0.25">
      <c r="A2138" s="5" t="s">
        <v>245</v>
      </c>
      <c r="B2138" s="12"/>
      <c r="C2138" s="5"/>
      <c r="D2138" s="4"/>
      <c r="E2138" s="13"/>
      <c r="F2138" s="10"/>
      <c r="G2138" s="13"/>
      <c r="H2138" s="13"/>
      <c r="I2138" s="12"/>
      <c r="J2138" s="13"/>
      <c r="K2138" s="13"/>
      <c r="L2138" s="12"/>
    </row>
    <row r="2139" spans="1:12" x14ac:dyDescent="0.25">
      <c r="A2139" s="5" t="s">
        <v>156</v>
      </c>
      <c r="B2139" s="12"/>
      <c r="C2139" s="5"/>
      <c r="D2139" s="4"/>
      <c r="E2139" s="13"/>
      <c r="F2139" s="10"/>
      <c r="G2139" s="13"/>
      <c r="H2139" s="13"/>
      <c r="I2139" s="12"/>
      <c r="J2139" s="13"/>
      <c r="K2139" s="13"/>
      <c r="L2139" s="12"/>
    </row>
    <row r="2140" spans="1:12" x14ac:dyDescent="0.25">
      <c r="A2140" s="5" t="s">
        <v>847</v>
      </c>
      <c r="B2140" s="12"/>
      <c r="C2140" s="5"/>
      <c r="D2140" s="4"/>
      <c r="E2140" s="13"/>
      <c r="F2140" s="10"/>
      <c r="G2140" s="13"/>
      <c r="H2140" s="13"/>
      <c r="I2140" s="12"/>
      <c r="J2140" s="13"/>
      <c r="K2140" s="13"/>
      <c r="L2140" s="12"/>
    </row>
    <row r="2141" spans="1:12" x14ac:dyDescent="0.25">
      <c r="A2141" s="5" t="s">
        <v>591</v>
      </c>
      <c r="B2141" s="12"/>
      <c r="C2141" s="5"/>
      <c r="D2141" s="4"/>
      <c r="E2141" s="13"/>
      <c r="F2141" s="10"/>
      <c r="G2141" s="13"/>
      <c r="H2141" s="13"/>
      <c r="I2141" s="12"/>
      <c r="J2141" s="13"/>
      <c r="K2141" s="13"/>
      <c r="L2141" s="12"/>
    </row>
    <row r="2142" spans="1:12" x14ac:dyDescent="0.25">
      <c r="A2142" s="5" t="s">
        <v>591</v>
      </c>
      <c r="B2142" s="12"/>
      <c r="C2142" s="5"/>
      <c r="D2142" s="4"/>
      <c r="E2142" s="13"/>
      <c r="F2142" s="10"/>
      <c r="G2142" s="13"/>
      <c r="H2142" s="13"/>
      <c r="I2142" s="12"/>
      <c r="J2142" s="13"/>
      <c r="K2142" s="13"/>
      <c r="L2142" s="12"/>
    </row>
    <row r="2143" spans="1:12" x14ac:dyDescent="0.25">
      <c r="A2143" s="5" t="s">
        <v>438</v>
      </c>
      <c r="B2143" s="12"/>
      <c r="C2143" s="5"/>
      <c r="D2143" s="4"/>
      <c r="E2143" s="13"/>
      <c r="F2143" s="10"/>
      <c r="G2143" s="13"/>
      <c r="H2143" s="13"/>
      <c r="I2143" s="12"/>
      <c r="J2143" s="13"/>
      <c r="K2143" s="13"/>
      <c r="L2143" s="12"/>
    </row>
    <row r="2144" spans="1:12" x14ac:dyDescent="0.25">
      <c r="A2144" s="5" t="s">
        <v>848</v>
      </c>
      <c r="B2144" s="12"/>
      <c r="C2144" s="5"/>
      <c r="D2144" s="4"/>
      <c r="E2144" s="13"/>
      <c r="F2144" s="10"/>
      <c r="G2144" s="13"/>
      <c r="H2144" s="13"/>
      <c r="I2144" s="12"/>
      <c r="J2144" s="13"/>
      <c r="K2144" s="13"/>
      <c r="L2144" s="12"/>
    </row>
    <row r="2145" spans="1:12" x14ac:dyDescent="0.25">
      <c r="A2145" s="5" t="s">
        <v>849</v>
      </c>
      <c r="B2145" s="12"/>
      <c r="C2145" s="5"/>
      <c r="D2145" s="4"/>
      <c r="E2145" s="13"/>
      <c r="F2145" s="10"/>
      <c r="G2145" s="13"/>
      <c r="H2145" s="13"/>
      <c r="I2145" s="12"/>
      <c r="J2145" s="13"/>
      <c r="K2145" s="13"/>
      <c r="L2145" s="12"/>
    </row>
    <row r="2146" spans="1:12" x14ac:dyDescent="0.25">
      <c r="A2146" s="5" t="s">
        <v>753</v>
      </c>
      <c r="B2146" s="12"/>
      <c r="C2146" s="5"/>
      <c r="D2146" s="4"/>
      <c r="E2146" s="13"/>
      <c r="F2146" s="10"/>
      <c r="G2146" s="13"/>
      <c r="H2146" s="13"/>
      <c r="I2146" s="12"/>
      <c r="J2146" s="13"/>
      <c r="K2146" s="13"/>
      <c r="L2146" s="12"/>
    </row>
    <row r="2147" spans="1:12" x14ac:dyDescent="0.25">
      <c r="A2147" s="5" t="s">
        <v>753</v>
      </c>
      <c r="B2147" s="12"/>
      <c r="C2147" s="5"/>
      <c r="D2147" s="4"/>
      <c r="E2147" s="13"/>
      <c r="F2147" s="10"/>
      <c r="G2147" s="13"/>
      <c r="H2147" s="13"/>
      <c r="I2147" s="12"/>
      <c r="J2147" s="13"/>
      <c r="K2147" s="13"/>
      <c r="L2147" s="12"/>
    </row>
    <row r="2148" spans="1:12" x14ac:dyDescent="0.25">
      <c r="A2148" s="5" t="s">
        <v>850</v>
      </c>
      <c r="B2148" s="12"/>
      <c r="C2148" s="5"/>
      <c r="D2148" s="4"/>
      <c r="E2148" s="13"/>
      <c r="F2148" s="10"/>
      <c r="G2148" s="13"/>
      <c r="H2148" s="13"/>
      <c r="I2148" s="12"/>
      <c r="J2148" s="13"/>
      <c r="K2148" s="13"/>
      <c r="L2148" s="12"/>
    </row>
    <row r="2149" spans="1:12" x14ac:dyDescent="0.25">
      <c r="A2149" s="5" t="s">
        <v>193</v>
      </c>
      <c r="B2149" s="12"/>
      <c r="C2149" s="5"/>
      <c r="D2149" s="4"/>
      <c r="E2149" s="13"/>
      <c r="F2149" s="10"/>
      <c r="G2149" s="13"/>
      <c r="H2149" s="13"/>
      <c r="I2149" s="12"/>
      <c r="J2149" s="13"/>
      <c r="K2149" s="13"/>
      <c r="L2149" s="12"/>
    </row>
    <row r="2150" spans="1:12" x14ac:dyDescent="0.25">
      <c r="A2150" s="5" t="s">
        <v>193</v>
      </c>
      <c r="B2150" s="12"/>
      <c r="C2150" s="5"/>
      <c r="D2150" s="4"/>
      <c r="E2150" s="13"/>
      <c r="F2150" s="10"/>
      <c r="G2150" s="13"/>
      <c r="H2150" s="13"/>
      <c r="I2150" s="12"/>
      <c r="J2150" s="13"/>
      <c r="K2150" s="13"/>
      <c r="L2150" s="12"/>
    </row>
    <row r="2151" spans="1:12" x14ac:dyDescent="0.25">
      <c r="A2151" s="5" t="s">
        <v>734</v>
      </c>
      <c r="B2151" s="12"/>
      <c r="C2151" s="5"/>
      <c r="D2151" s="4"/>
      <c r="E2151" s="13"/>
      <c r="F2151" s="10"/>
      <c r="G2151" s="13"/>
      <c r="H2151" s="13"/>
      <c r="I2151" s="12"/>
      <c r="J2151" s="13"/>
      <c r="K2151" s="13"/>
      <c r="L2151" s="12"/>
    </row>
    <row r="2152" spans="1:12" x14ac:dyDescent="0.25">
      <c r="A2152" s="5" t="s">
        <v>696</v>
      </c>
      <c r="B2152" s="12"/>
      <c r="C2152" s="5"/>
      <c r="D2152" s="4"/>
      <c r="E2152" s="13"/>
      <c r="F2152" s="10"/>
      <c r="G2152" s="13"/>
      <c r="H2152" s="13"/>
      <c r="I2152" s="12"/>
      <c r="J2152" s="13"/>
      <c r="K2152" s="13"/>
      <c r="L2152" s="12"/>
    </row>
    <row r="2153" spans="1:12" x14ac:dyDescent="0.25">
      <c r="A2153" s="5" t="s">
        <v>696</v>
      </c>
      <c r="B2153" s="12"/>
      <c r="C2153" s="5"/>
      <c r="D2153" s="4"/>
      <c r="E2153" s="13"/>
      <c r="F2153" s="10"/>
      <c r="G2153" s="13"/>
      <c r="H2153" s="13"/>
      <c r="I2153" s="12"/>
      <c r="J2153" s="13"/>
      <c r="K2153" s="13"/>
      <c r="L2153" s="12"/>
    </row>
    <row r="2154" spans="1:12" x14ac:dyDescent="0.25">
      <c r="A2154" s="5" t="s">
        <v>732</v>
      </c>
      <c r="B2154" s="12"/>
      <c r="C2154" s="5"/>
      <c r="D2154" s="4"/>
      <c r="E2154" s="13"/>
      <c r="F2154" s="10"/>
      <c r="G2154" s="13"/>
      <c r="H2154" s="13"/>
      <c r="I2154" s="12"/>
      <c r="J2154" s="13"/>
      <c r="K2154" s="13"/>
      <c r="L2154" s="12"/>
    </row>
    <row r="2155" spans="1:12" x14ac:dyDescent="0.25">
      <c r="A2155" s="5" t="s">
        <v>665</v>
      </c>
      <c r="B2155" s="12"/>
      <c r="C2155" s="5"/>
      <c r="D2155" s="4"/>
      <c r="E2155" s="13"/>
      <c r="F2155" s="10"/>
      <c r="G2155" s="13"/>
      <c r="H2155" s="13"/>
      <c r="I2155" s="12"/>
      <c r="J2155" s="13"/>
      <c r="K2155" s="13"/>
      <c r="L2155" s="12"/>
    </row>
    <row r="2156" spans="1:12" x14ac:dyDescent="0.25">
      <c r="A2156" s="5" t="s">
        <v>851</v>
      </c>
      <c r="B2156" s="12"/>
      <c r="C2156" s="5"/>
      <c r="D2156" s="4"/>
      <c r="E2156" s="13"/>
      <c r="F2156" s="10"/>
      <c r="G2156" s="13"/>
      <c r="H2156" s="13"/>
      <c r="I2156" s="12"/>
      <c r="J2156" s="13"/>
      <c r="K2156" s="13"/>
      <c r="L2156" s="12"/>
    </row>
    <row r="2157" spans="1:12" x14ac:dyDescent="0.25">
      <c r="A2157" s="5" t="s">
        <v>745</v>
      </c>
      <c r="B2157" s="12"/>
      <c r="C2157" s="5"/>
      <c r="D2157" s="4"/>
      <c r="E2157" s="13"/>
      <c r="F2157" s="10"/>
      <c r="G2157" s="13"/>
      <c r="H2157" s="13"/>
      <c r="I2157" s="12"/>
      <c r="J2157" s="13"/>
      <c r="K2157" s="13"/>
      <c r="L2157" s="12"/>
    </row>
    <row r="2158" spans="1:12" x14ac:dyDescent="0.25">
      <c r="A2158" s="5" t="s">
        <v>852</v>
      </c>
      <c r="B2158" s="12"/>
      <c r="C2158" s="5"/>
      <c r="D2158" s="4"/>
      <c r="E2158" s="13"/>
      <c r="F2158" s="10"/>
      <c r="G2158" s="13"/>
      <c r="H2158" s="13"/>
      <c r="I2158" s="12"/>
      <c r="J2158" s="13"/>
      <c r="K2158" s="13"/>
      <c r="L2158" s="12"/>
    </row>
    <row r="2159" spans="1:12" x14ac:dyDescent="0.25">
      <c r="A2159" s="5" t="s">
        <v>853</v>
      </c>
      <c r="B2159" s="12"/>
      <c r="C2159" s="5"/>
      <c r="D2159" s="4"/>
      <c r="E2159" s="13"/>
      <c r="F2159" s="10"/>
      <c r="G2159" s="13"/>
      <c r="H2159" s="13"/>
      <c r="I2159" s="12"/>
      <c r="J2159" s="13"/>
      <c r="K2159" s="13"/>
      <c r="L2159" s="12"/>
    </row>
    <row r="2160" spans="1:12" x14ac:dyDescent="0.25">
      <c r="A2160" s="5" t="s">
        <v>854</v>
      </c>
      <c r="B2160" s="12"/>
      <c r="C2160" s="5"/>
      <c r="D2160" s="4"/>
      <c r="E2160" s="13"/>
      <c r="F2160" s="10"/>
      <c r="G2160" s="13"/>
      <c r="H2160" s="13"/>
      <c r="I2160" s="12"/>
      <c r="J2160" s="13"/>
      <c r="K2160" s="13"/>
      <c r="L2160" s="12"/>
    </row>
    <row r="2161" spans="1:12" x14ac:dyDescent="0.25">
      <c r="A2161" s="5" t="s">
        <v>855</v>
      </c>
      <c r="B2161" s="12"/>
      <c r="C2161" s="5"/>
      <c r="D2161" s="4"/>
      <c r="E2161" s="13"/>
      <c r="F2161" s="10"/>
      <c r="G2161" s="13"/>
      <c r="H2161" s="13"/>
      <c r="I2161" s="12"/>
      <c r="J2161" s="13"/>
      <c r="K2161" s="13"/>
      <c r="L2161" s="12"/>
    </row>
    <row r="2162" spans="1:12" x14ac:dyDescent="0.25">
      <c r="A2162" s="5" t="s">
        <v>855</v>
      </c>
      <c r="B2162" s="12"/>
      <c r="C2162" s="5"/>
      <c r="D2162" s="4"/>
      <c r="E2162" s="13"/>
      <c r="F2162" s="10"/>
      <c r="G2162" s="13"/>
      <c r="H2162" s="13"/>
      <c r="I2162" s="12"/>
      <c r="J2162" s="13"/>
      <c r="K2162" s="13"/>
      <c r="L2162" s="12"/>
    </row>
    <row r="2163" spans="1:12" x14ac:dyDescent="0.25">
      <c r="A2163" s="5" t="s">
        <v>327</v>
      </c>
      <c r="B2163" s="12"/>
      <c r="C2163" s="5"/>
      <c r="D2163" s="4"/>
      <c r="E2163" s="13"/>
      <c r="F2163" s="10"/>
      <c r="G2163" s="13"/>
      <c r="H2163" s="13"/>
      <c r="I2163" s="12"/>
      <c r="J2163" s="13"/>
      <c r="K2163" s="13"/>
      <c r="L2163" s="12"/>
    </row>
    <row r="2164" spans="1:12" x14ac:dyDescent="0.25">
      <c r="A2164" s="5" t="s">
        <v>856</v>
      </c>
      <c r="B2164" s="12"/>
      <c r="C2164" s="5"/>
      <c r="D2164" s="4"/>
      <c r="E2164" s="13"/>
      <c r="F2164" s="10"/>
      <c r="G2164" s="13"/>
      <c r="H2164" s="13"/>
      <c r="I2164" s="12"/>
      <c r="J2164" s="13"/>
      <c r="K2164" s="13"/>
      <c r="L2164" s="12"/>
    </row>
    <row r="2165" spans="1:12" x14ac:dyDescent="0.25">
      <c r="A2165" s="5" t="s">
        <v>857</v>
      </c>
      <c r="B2165" s="12"/>
      <c r="C2165" s="5"/>
      <c r="D2165" s="4"/>
      <c r="E2165" s="13"/>
      <c r="F2165" s="10"/>
      <c r="G2165" s="13"/>
      <c r="H2165" s="13"/>
      <c r="I2165" s="12"/>
      <c r="J2165" s="13"/>
      <c r="K2165" s="13"/>
      <c r="L2165" s="12"/>
    </row>
    <row r="2166" spans="1:12" x14ac:dyDescent="0.25">
      <c r="A2166" s="5" t="s">
        <v>858</v>
      </c>
      <c r="B2166" s="12"/>
      <c r="C2166" s="5"/>
      <c r="D2166" s="4"/>
      <c r="E2166" s="13"/>
      <c r="F2166" s="10"/>
      <c r="G2166" s="13"/>
      <c r="H2166" s="13"/>
      <c r="I2166" s="12"/>
      <c r="J2166" s="13"/>
      <c r="K2166" s="13"/>
      <c r="L2166" s="12"/>
    </row>
    <row r="2167" spans="1:12" x14ac:dyDescent="0.25">
      <c r="A2167" s="5" t="s">
        <v>430</v>
      </c>
      <c r="B2167" s="12"/>
      <c r="C2167" s="5"/>
      <c r="D2167" s="4"/>
      <c r="E2167" s="13"/>
      <c r="F2167" s="10"/>
      <c r="G2167" s="13"/>
      <c r="H2167" s="13"/>
      <c r="I2167" s="12"/>
      <c r="J2167" s="13"/>
      <c r="K2167" s="13"/>
      <c r="L2167" s="12"/>
    </row>
    <row r="2168" spans="1:12" x14ac:dyDescent="0.25">
      <c r="A2168" s="5" t="s">
        <v>430</v>
      </c>
      <c r="B2168" s="12"/>
      <c r="C2168" s="5"/>
      <c r="D2168" s="4"/>
      <c r="E2168" s="13"/>
      <c r="F2168" s="10"/>
      <c r="G2168" s="13"/>
      <c r="H2168" s="13"/>
      <c r="I2168" s="12"/>
      <c r="J2168" s="13"/>
      <c r="K2168" s="13"/>
      <c r="L2168" s="12"/>
    </row>
    <row r="2169" spans="1:12" x14ac:dyDescent="0.25">
      <c r="A2169" s="5" t="s">
        <v>758</v>
      </c>
      <c r="B2169" s="12"/>
      <c r="C2169" s="5"/>
      <c r="D2169" s="4"/>
      <c r="E2169" s="13"/>
      <c r="F2169" s="10"/>
      <c r="G2169" s="13"/>
      <c r="H2169" s="13"/>
      <c r="I2169" s="12"/>
      <c r="J2169" s="13"/>
      <c r="K2169" s="13"/>
      <c r="L2169" s="12"/>
    </row>
    <row r="2170" spans="1:12" x14ac:dyDescent="0.25">
      <c r="A2170" s="5" t="s">
        <v>859</v>
      </c>
      <c r="B2170" s="12"/>
      <c r="C2170" s="5"/>
      <c r="D2170" s="4"/>
      <c r="E2170" s="13"/>
      <c r="F2170" s="10"/>
      <c r="G2170" s="13"/>
      <c r="H2170" s="13"/>
      <c r="I2170" s="12"/>
      <c r="J2170" s="13"/>
      <c r="K2170" s="13"/>
      <c r="L2170" s="12"/>
    </row>
    <row r="2171" spans="1:12" x14ac:dyDescent="0.25">
      <c r="A2171" s="5" t="s">
        <v>860</v>
      </c>
      <c r="B2171" s="12"/>
      <c r="C2171" s="5"/>
      <c r="D2171" s="4"/>
      <c r="E2171" s="13"/>
      <c r="F2171" s="10"/>
      <c r="G2171" s="13"/>
      <c r="H2171" s="13"/>
      <c r="I2171" s="12"/>
      <c r="J2171" s="13"/>
      <c r="K2171" s="13"/>
      <c r="L2171" s="12"/>
    </row>
    <row r="2172" spans="1:12" x14ac:dyDescent="0.25">
      <c r="A2172" s="5" t="s">
        <v>489</v>
      </c>
      <c r="B2172" s="12"/>
      <c r="C2172" s="5"/>
      <c r="D2172" s="4"/>
      <c r="E2172" s="13"/>
      <c r="F2172" s="10"/>
      <c r="G2172" s="13"/>
      <c r="H2172" s="13"/>
      <c r="I2172" s="12"/>
      <c r="J2172" s="13"/>
      <c r="K2172" s="13"/>
      <c r="L2172" s="12"/>
    </row>
    <row r="2173" spans="1:12" x14ac:dyDescent="0.25">
      <c r="A2173" s="5" t="s">
        <v>489</v>
      </c>
      <c r="B2173" s="12"/>
      <c r="C2173" s="5"/>
      <c r="D2173" s="4"/>
      <c r="E2173" s="13"/>
      <c r="F2173" s="10"/>
      <c r="G2173" s="13"/>
      <c r="H2173" s="13"/>
      <c r="I2173" s="12"/>
      <c r="J2173" s="13"/>
      <c r="K2173" s="13"/>
      <c r="L2173" s="12"/>
    </row>
    <row r="2174" spans="1:12" x14ac:dyDescent="0.25">
      <c r="A2174" s="5" t="s">
        <v>489</v>
      </c>
      <c r="B2174" s="12"/>
      <c r="C2174" s="5"/>
      <c r="D2174" s="4"/>
      <c r="E2174" s="13"/>
      <c r="F2174" s="10"/>
      <c r="G2174" s="13"/>
      <c r="H2174" s="13"/>
      <c r="I2174" s="12"/>
      <c r="J2174" s="13"/>
      <c r="K2174" s="13"/>
      <c r="L2174" s="12"/>
    </row>
    <row r="2175" spans="1:12" x14ac:dyDescent="0.25">
      <c r="A2175" s="5" t="s">
        <v>489</v>
      </c>
      <c r="B2175" s="12"/>
      <c r="C2175" s="5"/>
      <c r="D2175" s="4"/>
      <c r="E2175" s="13"/>
      <c r="F2175" s="10"/>
      <c r="G2175" s="13"/>
      <c r="H2175" s="13"/>
      <c r="I2175" s="12"/>
      <c r="J2175" s="13"/>
      <c r="K2175" s="13"/>
      <c r="L2175" s="12"/>
    </row>
    <row r="2176" spans="1:12" x14ac:dyDescent="0.25">
      <c r="A2176" s="5" t="s">
        <v>489</v>
      </c>
      <c r="B2176" s="12"/>
      <c r="C2176" s="5"/>
      <c r="D2176" s="4"/>
      <c r="E2176" s="13"/>
      <c r="F2176" s="10"/>
      <c r="G2176" s="13"/>
      <c r="H2176" s="13"/>
      <c r="I2176" s="12"/>
      <c r="J2176" s="13"/>
      <c r="K2176" s="13"/>
      <c r="L2176" s="12"/>
    </row>
    <row r="2177" spans="1:12" x14ac:dyDescent="0.25">
      <c r="A2177" s="5" t="s">
        <v>489</v>
      </c>
      <c r="B2177" s="12"/>
      <c r="C2177" s="5"/>
      <c r="D2177" s="4"/>
      <c r="E2177" s="13"/>
      <c r="F2177" s="10"/>
      <c r="G2177" s="13"/>
      <c r="H2177" s="13"/>
      <c r="I2177" s="12"/>
      <c r="J2177" s="13"/>
      <c r="K2177" s="13"/>
      <c r="L2177" s="12"/>
    </row>
    <row r="2178" spans="1:12" x14ac:dyDescent="0.25">
      <c r="A2178" s="5" t="s">
        <v>98</v>
      </c>
      <c r="B2178" s="12"/>
      <c r="C2178" s="5"/>
      <c r="D2178" s="4"/>
      <c r="E2178" s="13"/>
      <c r="F2178" s="10"/>
      <c r="G2178" s="13"/>
      <c r="H2178" s="13"/>
      <c r="I2178" s="12"/>
      <c r="J2178" s="13"/>
      <c r="K2178" s="13"/>
      <c r="L2178" s="12"/>
    </row>
    <row r="2179" spans="1:12" x14ac:dyDescent="0.25">
      <c r="A2179" s="5" t="s">
        <v>98</v>
      </c>
      <c r="B2179" s="12"/>
      <c r="C2179" s="5"/>
      <c r="D2179" s="4"/>
      <c r="E2179" s="13"/>
      <c r="F2179" s="10"/>
      <c r="G2179" s="13"/>
      <c r="H2179" s="13"/>
      <c r="I2179" s="12"/>
      <c r="J2179" s="13"/>
      <c r="K2179" s="13"/>
      <c r="L2179" s="12"/>
    </row>
    <row r="2180" spans="1:12" x14ac:dyDescent="0.25">
      <c r="A2180" s="5" t="s">
        <v>98</v>
      </c>
      <c r="B2180" s="12"/>
      <c r="C2180" s="5"/>
      <c r="D2180" s="4"/>
      <c r="E2180" s="13"/>
      <c r="F2180" s="10"/>
      <c r="G2180" s="13"/>
      <c r="H2180" s="13"/>
      <c r="I2180" s="12"/>
      <c r="J2180" s="13"/>
      <c r="K2180" s="13"/>
      <c r="L2180" s="12"/>
    </row>
    <row r="2181" spans="1:12" x14ac:dyDescent="0.25">
      <c r="A2181" s="5" t="s">
        <v>98</v>
      </c>
      <c r="B2181" s="12"/>
      <c r="C2181" s="5"/>
      <c r="D2181" s="4"/>
      <c r="E2181" s="13"/>
      <c r="F2181" s="10"/>
      <c r="G2181" s="13"/>
      <c r="H2181" s="13"/>
      <c r="I2181" s="12"/>
      <c r="J2181" s="13"/>
      <c r="K2181" s="13"/>
      <c r="L2181" s="12"/>
    </row>
    <row r="2182" spans="1:12" x14ac:dyDescent="0.25">
      <c r="A2182" s="5" t="s">
        <v>98</v>
      </c>
      <c r="B2182" s="12"/>
      <c r="C2182" s="5"/>
      <c r="D2182" s="4"/>
      <c r="E2182" s="13"/>
      <c r="F2182" s="10"/>
      <c r="G2182" s="13"/>
      <c r="H2182" s="13"/>
      <c r="I2182" s="12"/>
      <c r="J2182" s="13"/>
      <c r="K2182" s="13"/>
      <c r="L2182" s="12"/>
    </row>
    <row r="2183" spans="1:12" x14ac:dyDescent="0.25">
      <c r="A2183" s="5" t="s">
        <v>98</v>
      </c>
      <c r="B2183" s="12"/>
      <c r="C2183" s="5"/>
      <c r="D2183" s="4"/>
      <c r="E2183" s="13"/>
      <c r="F2183" s="10"/>
      <c r="G2183" s="13"/>
      <c r="H2183" s="13"/>
      <c r="I2183" s="12"/>
      <c r="J2183" s="13"/>
      <c r="K2183" s="13"/>
      <c r="L2183" s="12"/>
    </row>
    <row r="2184" spans="1:12" x14ac:dyDescent="0.25">
      <c r="A2184" s="5" t="s">
        <v>285</v>
      </c>
      <c r="B2184" s="12"/>
      <c r="C2184" s="5"/>
      <c r="D2184" s="4"/>
      <c r="E2184" s="13"/>
      <c r="F2184" s="10"/>
      <c r="G2184" s="13"/>
      <c r="H2184" s="13"/>
      <c r="I2184" s="12"/>
      <c r="J2184" s="13"/>
      <c r="K2184" s="13"/>
      <c r="L2184" s="12"/>
    </row>
    <row r="2185" spans="1:12" x14ac:dyDescent="0.25">
      <c r="A2185" s="5" t="s">
        <v>285</v>
      </c>
      <c r="B2185" s="12"/>
      <c r="C2185" s="5"/>
      <c r="D2185" s="4"/>
      <c r="E2185" s="13"/>
      <c r="F2185" s="10"/>
      <c r="G2185" s="13"/>
      <c r="H2185" s="13"/>
      <c r="I2185" s="12"/>
      <c r="J2185" s="13"/>
      <c r="K2185" s="13"/>
      <c r="L2185" s="12"/>
    </row>
    <row r="2186" spans="1:12" x14ac:dyDescent="0.25">
      <c r="A2186" s="5" t="s">
        <v>285</v>
      </c>
      <c r="B2186" s="12"/>
      <c r="C2186" s="5"/>
      <c r="D2186" s="4"/>
      <c r="E2186" s="13"/>
      <c r="F2186" s="10"/>
      <c r="G2186" s="13"/>
      <c r="H2186" s="13"/>
      <c r="I2186" s="12"/>
      <c r="J2186" s="13"/>
      <c r="K2186" s="13"/>
      <c r="L2186" s="12"/>
    </row>
    <row r="2187" spans="1:12" x14ac:dyDescent="0.25">
      <c r="A2187" s="5" t="s">
        <v>299</v>
      </c>
      <c r="B2187" s="12"/>
      <c r="C2187" s="5"/>
      <c r="D2187" s="4"/>
      <c r="E2187" s="13"/>
      <c r="F2187" s="10"/>
      <c r="G2187" s="13"/>
      <c r="H2187" s="13"/>
      <c r="I2187" s="12"/>
      <c r="J2187" s="13"/>
      <c r="K2187" s="13"/>
      <c r="L2187" s="12"/>
    </row>
    <row r="2188" spans="1:12" x14ac:dyDescent="0.25">
      <c r="A2188" s="5" t="s">
        <v>299</v>
      </c>
      <c r="B2188" s="12"/>
      <c r="C2188" s="5"/>
      <c r="D2188" s="4"/>
      <c r="E2188" s="13"/>
      <c r="F2188" s="10"/>
      <c r="G2188" s="13"/>
      <c r="H2188" s="13"/>
      <c r="I2188" s="12"/>
      <c r="J2188" s="13"/>
      <c r="K2188" s="13"/>
      <c r="L2188" s="12"/>
    </row>
    <row r="2189" spans="1:12" x14ac:dyDescent="0.25">
      <c r="A2189" s="5" t="s">
        <v>299</v>
      </c>
      <c r="B2189" s="12"/>
      <c r="C2189" s="5"/>
      <c r="D2189" s="4"/>
      <c r="E2189" s="13"/>
      <c r="F2189" s="10"/>
      <c r="G2189" s="13"/>
      <c r="H2189" s="13"/>
      <c r="I2189" s="12"/>
      <c r="J2189" s="13"/>
      <c r="K2189" s="13"/>
      <c r="L2189" s="12"/>
    </row>
    <row r="2190" spans="1:12" x14ac:dyDescent="0.25">
      <c r="A2190" s="5" t="s">
        <v>465</v>
      </c>
      <c r="B2190" s="12"/>
      <c r="C2190" s="5"/>
      <c r="D2190" s="4"/>
      <c r="E2190" s="13"/>
      <c r="F2190" s="10"/>
      <c r="G2190" s="13"/>
      <c r="H2190" s="13"/>
      <c r="I2190" s="12"/>
      <c r="J2190" s="13"/>
      <c r="K2190" s="13"/>
      <c r="L2190" s="12"/>
    </row>
    <row r="2191" spans="1:12" x14ac:dyDescent="0.25">
      <c r="A2191" s="5" t="s">
        <v>465</v>
      </c>
      <c r="B2191" s="12"/>
      <c r="C2191" s="5"/>
      <c r="D2191" s="4"/>
      <c r="E2191" s="13"/>
      <c r="F2191" s="10"/>
      <c r="G2191" s="13"/>
      <c r="H2191" s="13"/>
      <c r="I2191" s="12"/>
      <c r="J2191" s="13"/>
      <c r="K2191" s="13"/>
      <c r="L2191" s="12"/>
    </row>
    <row r="2192" spans="1:12" x14ac:dyDescent="0.25">
      <c r="A2192" s="5" t="s">
        <v>465</v>
      </c>
      <c r="B2192" s="12"/>
      <c r="C2192" s="5"/>
      <c r="D2192" s="4"/>
      <c r="E2192" s="13"/>
      <c r="F2192" s="10"/>
      <c r="G2192" s="13"/>
      <c r="H2192" s="13"/>
      <c r="I2192" s="12"/>
      <c r="J2192" s="13"/>
      <c r="K2192" s="13"/>
      <c r="L2192" s="12"/>
    </row>
    <row r="2193" spans="1:12" x14ac:dyDescent="0.25">
      <c r="A2193" s="5" t="s">
        <v>607</v>
      </c>
      <c r="B2193" s="12"/>
      <c r="C2193" s="5"/>
      <c r="D2193" s="4"/>
      <c r="E2193" s="13"/>
      <c r="F2193" s="10"/>
      <c r="G2193" s="13"/>
      <c r="H2193" s="13"/>
      <c r="I2193" s="12"/>
      <c r="J2193" s="13"/>
      <c r="K2193" s="13"/>
      <c r="L2193" s="12"/>
    </row>
    <row r="2194" spans="1:12" x14ac:dyDescent="0.25">
      <c r="A2194" s="5" t="s">
        <v>607</v>
      </c>
      <c r="B2194" s="12"/>
      <c r="C2194" s="5"/>
      <c r="D2194" s="4"/>
      <c r="E2194" s="13"/>
      <c r="F2194" s="10"/>
      <c r="G2194" s="13"/>
      <c r="H2194" s="13"/>
      <c r="I2194" s="12"/>
      <c r="J2194" s="13"/>
      <c r="K2194" s="13"/>
      <c r="L2194" s="12"/>
    </row>
    <row r="2195" spans="1:12" x14ac:dyDescent="0.25">
      <c r="A2195" s="5" t="s">
        <v>607</v>
      </c>
      <c r="B2195" s="12"/>
      <c r="C2195" s="5"/>
      <c r="D2195" s="4"/>
      <c r="E2195" s="13"/>
      <c r="F2195" s="10"/>
      <c r="G2195" s="13"/>
      <c r="H2195" s="13"/>
      <c r="I2195" s="12"/>
      <c r="J2195" s="13"/>
      <c r="K2195" s="13"/>
      <c r="L2195" s="12"/>
    </row>
    <row r="2196" spans="1:12" x14ac:dyDescent="0.25">
      <c r="A2196" s="5" t="s">
        <v>442</v>
      </c>
      <c r="B2196" s="12"/>
      <c r="C2196" s="5"/>
      <c r="D2196" s="4"/>
      <c r="E2196" s="13"/>
      <c r="F2196" s="10"/>
      <c r="G2196" s="13"/>
      <c r="H2196" s="13"/>
      <c r="I2196" s="12"/>
      <c r="J2196" s="13"/>
      <c r="K2196" s="13"/>
      <c r="L2196" s="12"/>
    </row>
    <row r="2197" spans="1:12" x14ac:dyDescent="0.25">
      <c r="A2197" s="5" t="s">
        <v>442</v>
      </c>
      <c r="B2197" s="12"/>
      <c r="C2197" s="5"/>
      <c r="D2197" s="4"/>
      <c r="E2197" s="13"/>
      <c r="F2197" s="10"/>
      <c r="G2197" s="13"/>
      <c r="H2197" s="13"/>
      <c r="I2197" s="12"/>
      <c r="J2197" s="13"/>
      <c r="K2197" s="13"/>
      <c r="L2197" s="12"/>
    </row>
    <row r="2198" spans="1:12" x14ac:dyDescent="0.25">
      <c r="A2198" s="5" t="s">
        <v>454</v>
      </c>
      <c r="B2198" s="12"/>
      <c r="C2198" s="5"/>
      <c r="D2198" s="4"/>
      <c r="E2198" s="13"/>
      <c r="F2198" s="10"/>
      <c r="G2198" s="13"/>
      <c r="H2198" s="13"/>
      <c r="I2198" s="12"/>
      <c r="J2198" s="13"/>
      <c r="K2198" s="13"/>
      <c r="L2198" s="12"/>
    </row>
    <row r="2199" spans="1:12" x14ac:dyDescent="0.25">
      <c r="A2199" s="5" t="s">
        <v>454</v>
      </c>
      <c r="B2199" s="12"/>
      <c r="C2199" s="5"/>
      <c r="D2199" s="4"/>
      <c r="E2199" s="13"/>
      <c r="F2199" s="10"/>
      <c r="G2199" s="13"/>
      <c r="H2199" s="13"/>
      <c r="I2199" s="12"/>
      <c r="J2199" s="13"/>
      <c r="K2199" s="13"/>
      <c r="L2199" s="12"/>
    </row>
    <row r="2200" spans="1:12" x14ac:dyDescent="0.25">
      <c r="A2200" s="5" t="s">
        <v>190</v>
      </c>
      <c r="B2200" s="12"/>
      <c r="C2200" s="5"/>
      <c r="D2200" s="4"/>
      <c r="E2200" s="13"/>
      <c r="F2200" s="10"/>
      <c r="G2200" s="13"/>
      <c r="H2200" s="13"/>
      <c r="I2200" s="12"/>
      <c r="J2200" s="13"/>
      <c r="K2200" s="13"/>
      <c r="L2200" s="12"/>
    </row>
    <row r="2201" spans="1:12" x14ac:dyDescent="0.25">
      <c r="A2201" s="5" t="s">
        <v>190</v>
      </c>
      <c r="B2201" s="12"/>
      <c r="C2201" s="5"/>
      <c r="D2201" s="4"/>
      <c r="E2201" s="13"/>
      <c r="F2201" s="10"/>
      <c r="G2201" s="13"/>
      <c r="H2201" s="13"/>
      <c r="I2201" s="12"/>
      <c r="J2201" s="13"/>
      <c r="K2201" s="13"/>
      <c r="L2201" s="12"/>
    </row>
    <row r="2202" spans="1:12" x14ac:dyDescent="0.25">
      <c r="A2202" s="5" t="s">
        <v>190</v>
      </c>
      <c r="B2202" s="12"/>
      <c r="C2202" s="5"/>
      <c r="D2202" s="4"/>
      <c r="E2202" s="13"/>
      <c r="F2202" s="10"/>
      <c r="G2202" s="13"/>
      <c r="H2202" s="13"/>
      <c r="I2202" s="12"/>
      <c r="J2202" s="13"/>
      <c r="K2202" s="13"/>
      <c r="L2202" s="12"/>
    </row>
    <row r="2203" spans="1:12" x14ac:dyDescent="0.25">
      <c r="A2203" s="5" t="s">
        <v>521</v>
      </c>
      <c r="B2203" s="12"/>
      <c r="C2203" s="5"/>
      <c r="D2203" s="4"/>
      <c r="E2203" s="13"/>
      <c r="F2203" s="10"/>
      <c r="G2203" s="13"/>
      <c r="H2203" s="13"/>
      <c r="I2203" s="12"/>
      <c r="J2203" s="13"/>
      <c r="K2203" s="13"/>
      <c r="L2203" s="12"/>
    </row>
    <row r="2204" spans="1:12" x14ac:dyDescent="0.25">
      <c r="A2204" s="5" t="s">
        <v>521</v>
      </c>
      <c r="B2204" s="12"/>
      <c r="C2204" s="5"/>
      <c r="D2204" s="4"/>
      <c r="E2204" s="13"/>
      <c r="F2204" s="10"/>
      <c r="G2204" s="13"/>
      <c r="H2204" s="13"/>
      <c r="I2204" s="12"/>
      <c r="J2204" s="13"/>
      <c r="K2204" s="13"/>
      <c r="L2204" s="12"/>
    </row>
    <row r="2205" spans="1:12" x14ac:dyDescent="0.25">
      <c r="A2205" s="5" t="s">
        <v>521</v>
      </c>
      <c r="B2205" s="12"/>
      <c r="C2205" s="5"/>
      <c r="D2205" s="4"/>
      <c r="E2205" s="13"/>
      <c r="F2205" s="10"/>
      <c r="G2205" s="13"/>
      <c r="H2205" s="13"/>
      <c r="I2205" s="12"/>
      <c r="J2205" s="13"/>
      <c r="K2205" s="13"/>
      <c r="L2205" s="12"/>
    </row>
    <row r="2206" spans="1:12" x14ac:dyDescent="0.25">
      <c r="A2206" s="5" t="s">
        <v>510</v>
      </c>
      <c r="B2206" s="12"/>
      <c r="C2206" s="5"/>
      <c r="D2206" s="4"/>
      <c r="E2206" s="13"/>
      <c r="F2206" s="10"/>
      <c r="G2206" s="13"/>
      <c r="H2206" s="13"/>
      <c r="I2206" s="12"/>
      <c r="J2206" s="13"/>
      <c r="K2206" s="13"/>
      <c r="L2206" s="12"/>
    </row>
    <row r="2207" spans="1:12" x14ac:dyDescent="0.25">
      <c r="A2207" s="5" t="s">
        <v>510</v>
      </c>
      <c r="B2207" s="12"/>
      <c r="C2207" s="5"/>
      <c r="D2207" s="4"/>
      <c r="E2207" s="13"/>
      <c r="F2207" s="10"/>
      <c r="G2207" s="13"/>
      <c r="H2207" s="13"/>
      <c r="I2207" s="12"/>
      <c r="J2207" s="13"/>
      <c r="K2207" s="13"/>
      <c r="L2207" s="12"/>
    </row>
    <row r="2208" spans="1:12" x14ac:dyDescent="0.25">
      <c r="A2208" s="5" t="s">
        <v>510</v>
      </c>
      <c r="B2208" s="12"/>
      <c r="C2208" s="5"/>
      <c r="D2208" s="4"/>
      <c r="E2208" s="13"/>
      <c r="F2208" s="10"/>
      <c r="G2208" s="13"/>
      <c r="H2208" s="13"/>
      <c r="I2208" s="12"/>
      <c r="J2208" s="13"/>
      <c r="K2208" s="13"/>
      <c r="L2208" s="12"/>
    </row>
    <row r="2209" spans="1:12" x14ac:dyDescent="0.25">
      <c r="A2209" s="5" t="s">
        <v>583</v>
      </c>
      <c r="B2209" s="12"/>
      <c r="C2209" s="5"/>
      <c r="D2209" s="4"/>
      <c r="E2209" s="13"/>
      <c r="F2209" s="10"/>
      <c r="G2209" s="13"/>
      <c r="H2209" s="13"/>
      <c r="I2209" s="12"/>
      <c r="J2209" s="13"/>
      <c r="K2209" s="13"/>
      <c r="L2209" s="12"/>
    </row>
    <row r="2210" spans="1:12" x14ac:dyDescent="0.25">
      <c r="A2210" s="5" t="s">
        <v>583</v>
      </c>
      <c r="B2210" s="12"/>
      <c r="C2210" s="5"/>
      <c r="D2210" s="4"/>
      <c r="E2210" s="13"/>
      <c r="F2210" s="10"/>
      <c r="G2210" s="13"/>
      <c r="H2210" s="13"/>
      <c r="I2210" s="12"/>
      <c r="J2210" s="13"/>
      <c r="K2210" s="13"/>
      <c r="L2210" s="12"/>
    </row>
    <row r="2211" spans="1:12" x14ac:dyDescent="0.25">
      <c r="A2211" s="5" t="s">
        <v>583</v>
      </c>
      <c r="B2211" s="12"/>
      <c r="C2211" s="5"/>
      <c r="D2211" s="4"/>
      <c r="E2211" s="13"/>
      <c r="F2211" s="10"/>
      <c r="G2211" s="13"/>
      <c r="H2211" s="13"/>
      <c r="I2211" s="12"/>
      <c r="J2211" s="13"/>
      <c r="K2211" s="13"/>
      <c r="L2211" s="12"/>
    </row>
    <row r="2212" spans="1:12" x14ac:dyDescent="0.25">
      <c r="A2212" s="5" t="s">
        <v>161</v>
      </c>
      <c r="B2212" s="12"/>
      <c r="C2212" s="5"/>
      <c r="D2212" s="4"/>
      <c r="E2212" s="13"/>
      <c r="F2212" s="10"/>
      <c r="G2212" s="13"/>
      <c r="H2212" s="13"/>
      <c r="I2212" s="12"/>
      <c r="J2212" s="13"/>
      <c r="K2212" s="13"/>
      <c r="L2212" s="12"/>
    </row>
    <row r="2213" spans="1:12" x14ac:dyDescent="0.25">
      <c r="A2213" s="5" t="s">
        <v>161</v>
      </c>
      <c r="B2213" s="12"/>
      <c r="C2213" s="5"/>
      <c r="D2213" s="4"/>
      <c r="E2213" s="13"/>
      <c r="F2213" s="10"/>
      <c r="G2213" s="13"/>
      <c r="H2213" s="13"/>
      <c r="I2213" s="12"/>
      <c r="J2213" s="13"/>
      <c r="K2213" s="13"/>
      <c r="L2213" s="12"/>
    </row>
    <row r="2214" spans="1:12" x14ac:dyDescent="0.25">
      <c r="A2214" s="5" t="s">
        <v>161</v>
      </c>
      <c r="B2214" s="12"/>
      <c r="C2214" s="5"/>
      <c r="D2214" s="4"/>
      <c r="E2214" s="13"/>
      <c r="F2214" s="10"/>
      <c r="G2214" s="13"/>
      <c r="H2214" s="13"/>
      <c r="I2214" s="12"/>
      <c r="J2214" s="13"/>
      <c r="K2214" s="13"/>
      <c r="L2214" s="12"/>
    </row>
    <row r="2215" spans="1:12" x14ac:dyDescent="0.25">
      <c r="A2215" s="5" t="s">
        <v>548</v>
      </c>
      <c r="B2215" s="12"/>
      <c r="C2215" s="5"/>
      <c r="D2215" s="4"/>
      <c r="E2215" s="13"/>
      <c r="F2215" s="10"/>
      <c r="G2215" s="13"/>
      <c r="H2215" s="13"/>
      <c r="I2215" s="12"/>
      <c r="J2215" s="13"/>
      <c r="K2215" s="13"/>
      <c r="L2215" s="12"/>
    </row>
    <row r="2216" spans="1:12" x14ac:dyDescent="0.25">
      <c r="A2216" s="5" t="s">
        <v>548</v>
      </c>
      <c r="B2216" s="12"/>
      <c r="C2216" s="5"/>
      <c r="D2216" s="4"/>
      <c r="E2216" s="13"/>
      <c r="F2216" s="10"/>
      <c r="G2216" s="13"/>
      <c r="H2216" s="13"/>
      <c r="I2216" s="12"/>
      <c r="J2216" s="13"/>
      <c r="K2216" s="13"/>
      <c r="L2216" s="12"/>
    </row>
    <row r="2217" spans="1:12" x14ac:dyDescent="0.25">
      <c r="A2217" s="5" t="s">
        <v>548</v>
      </c>
      <c r="B2217" s="12"/>
      <c r="C2217" s="5"/>
      <c r="D2217" s="4"/>
      <c r="E2217" s="13"/>
      <c r="F2217" s="10"/>
      <c r="G2217" s="13"/>
      <c r="H2217" s="13"/>
      <c r="I2217" s="12"/>
      <c r="J2217" s="13"/>
      <c r="K2217" s="13"/>
      <c r="L2217" s="12"/>
    </row>
    <row r="2218" spans="1:12" x14ac:dyDescent="0.25">
      <c r="A2218" s="5" t="s">
        <v>308</v>
      </c>
      <c r="B2218" s="12"/>
      <c r="C2218" s="5"/>
      <c r="D2218" s="4"/>
      <c r="E2218" s="13"/>
      <c r="F2218" s="10"/>
      <c r="G2218" s="13"/>
      <c r="H2218" s="13"/>
      <c r="I2218" s="12"/>
      <c r="J2218" s="13"/>
      <c r="K2218" s="13"/>
      <c r="L2218" s="12"/>
    </row>
    <row r="2219" spans="1:12" x14ac:dyDescent="0.25">
      <c r="A2219" s="5" t="s">
        <v>308</v>
      </c>
      <c r="B2219" s="12"/>
      <c r="C2219" s="5"/>
      <c r="D2219" s="4"/>
      <c r="E2219" s="13"/>
      <c r="F2219" s="10"/>
      <c r="G2219" s="13"/>
      <c r="H2219" s="13"/>
      <c r="I2219" s="12"/>
      <c r="J2219" s="13"/>
      <c r="K2219" s="13"/>
      <c r="L2219" s="12"/>
    </row>
    <row r="2220" spans="1:12" x14ac:dyDescent="0.25">
      <c r="A2220" s="5" t="s">
        <v>308</v>
      </c>
      <c r="B2220" s="12"/>
      <c r="C2220" s="5"/>
      <c r="D2220" s="4"/>
      <c r="E2220" s="13"/>
      <c r="F2220" s="10"/>
      <c r="G2220" s="13"/>
      <c r="H2220" s="13"/>
      <c r="I2220" s="12"/>
      <c r="J2220" s="13"/>
      <c r="K2220" s="13"/>
      <c r="L2220" s="12"/>
    </row>
    <row r="2221" spans="1:12" x14ac:dyDescent="0.25">
      <c r="A2221" s="5" t="s">
        <v>260</v>
      </c>
      <c r="B2221" s="12"/>
      <c r="C2221" s="5"/>
      <c r="D2221" s="4"/>
      <c r="E2221" s="13"/>
      <c r="F2221" s="10"/>
      <c r="G2221" s="13"/>
      <c r="H2221" s="13"/>
      <c r="I2221" s="12"/>
      <c r="J2221" s="13"/>
      <c r="K2221" s="13"/>
      <c r="L2221" s="12"/>
    </row>
    <row r="2222" spans="1:12" x14ac:dyDescent="0.25">
      <c r="A2222" s="5" t="s">
        <v>260</v>
      </c>
      <c r="B2222" s="12"/>
      <c r="C2222" s="5"/>
      <c r="D2222" s="4"/>
      <c r="E2222" s="13"/>
      <c r="F2222" s="10"/>
      <c r="G2222" s="13"/>
      <c r="H2222" s="13"/>
      <c r="I2222" s="12"/>
      <c r="J2222" s="13"/>
      <c r="K2222" s="13"/>
      <c r="L2222" s="12"/>
    </row>
    <row r="2223" spans="1:12" x14ac:dyDescent="0.25">
      <c r="A2223" s="5" t="s">
        <v>260</v>
      </c>
      <c r="B2223" s="12"/>
      <c r="C2223" s="5"/>
      <c r="D2223" s="4"/>
      <c r="E2223" s="13"/>
      <c r="F2223" s="10"/>
      <c r="G2223" s="13"/>
      <c r="H2223" s="13"/>
      <c r="I2223" s="12"/>
      <c r="J2223" s="13"/>
      <c r="K2223" s="13"/>
      <c r="L2223" s="12"/>
    </row>
    <row r="2224" spans="1:12" x14ac:dyDescent="0.25">
      <c r="A2224" s="5" t="s">
        <v>590</v>
      </c>
      <c r="B2224" s="12"/>
      <c r="C2224" s="5"/>
      <c r="D2224" s="4"/>
      <c r="E2224" s="13"/>
      <c r="F2224" s="10"/>
      <c r="G2224" s="13"/>
      <c r="H2224" s="13"/>
      <c r="I2224" s="12"/>
      <c r="J2224" s="13"/>
      <c r="K2224" s="13"/>
      <c r="L2224" s="12"/>
    </row>
    <row r="2225" spans="1:12" x14ac:dyDescent="0.25">
      <c r="A2225" s="5" t="s">
        <v>590</v>
      </c>
      <c r="B2225" s="12"/>
      <c r="C2225" s="5"/>
      <c r="D2225" s="4"/>
      <c r="E2225" s="13"/>
      <c r="F2225" s="10"/>
      <c r="G2225" s="13"/>
      <c r="H2225" s="13"/>
      <c r="I2225" s="12"/>
      <c r="J2225" s="13"/>
      <c r="K2225" s="13"/>
      <c r="L2225" s="12"/>
    </row>
    <row r="2226" spans="1:12" x14ac:dyDescent="0.25">
      <c r="A2226" s="5" t="s">
        <v>590</v>
      </c>
      <c r="B2226" s="12"/>
      <c r="C2226" s="5"/>
      <c r="D2226" s="4"/>
      <c r="E2226" s="13"/>
      <c r="F2226" s="10"/>
      <c r="G2226" s="13"/>
      <c r="H2226" s="13"/>
      <c r="I2226" s="12"/>
      <c r="J2226" s="13"/>
      <c r="K2226" s="13"/>
      <c r="L2226" s="12"/>
    </row>
    <row r="2227" spans="1:12" x14ac:dyDescent="0.25">
      <c r="A2227" s="5" t="s">
        <v>205</v>
      </c>
      <c r="B2227" s="12"/>
      <c r="C2227" s="5"/>
      <c r="D2227" s="4"/>
      <c r="E2227" s="13"/>
      <c r="F2227" s="10"/>
      <c r="G2227" s="13"/>
      <c r="H2227" s="13"/>
      <c r="I2227" s="12"/>
      <c r="J2227" s="13"/>
      <c r="K2227" s="13"/>
      <c r="L2227" s="12"/>
    </row>
    <row r="2228" spans="1:12" x14ac:dyDescent="0.25">
      <c r="A2228" s="5" t="s">
        <v>205</v>
      </c>
      <c r="B2228" s="12"/>
      <c r="C2228" s="5"/>
      <c r="D2228" s="4"/>
      <c r="E2228" s="13"/>
      <c r="F2228" s="10"/>
      <c r="G2228" s="13"/>
      <c r="H2228" s="13"/>
      <c r="I2228" s="12"/>
      <c r="J2228" s="13"/>
      <c r="K2228" s="13"/>
      <c r="L2228" s="12"/>
    </row>
    <row r="2229" spans="1:12" x14ac:dyDescent="0.25">
      <c r="A2229" s="5" t="s">
        <v>205</v>
      </c>
      <c r="B2229" s="12"/>
      <c r="C2229" s="5"/>
      <c r="D2229" s="4"/>
      <c r="E2229" s="13"/>
      <c r="F2229" s="10"/>
      <c r="G2229" s="13"/>
      <c r="H2229" s="13"/>
      <c r="I2229" s="12"/>
      <c r="J2229" s="13"/>
      <c r="K2229" s="13"/>
      <c r="L2229" s="12"/>
    </row>
    <row r="2230" spans="1:12" x14ac:dyDescent="0.25">
      <c r="A2230" s="5" t="s">
        <v>349</v>
      </c>
      <c r="B2230" s="12"/>
      <c r="C2230" s="5"/>
      <c r="D2230" s="4"/>
      <c r="E2230" s="13"/>
      <c r="F2230" s="10"/>
      <c r="G2230" s="13"/>
      <c r="H2230" s="13"/>
      <c r="I2230" s="12"/>
      <c r="J2230" s="13"/>
      <c r="K2230" s="13"/>
      <c r="L2230" s="12"/>
    </row>
    <row r="2231" spans="1:12" x14ac:dyDescent="0.25">
      <c r="A2231" s="5" t="s">
        <v>349</v>
      </c>
      <c r="B2231" s="12"/>
      <c r="C2231" s="5"/>
      <c r="D2231" s="4"/>
      <c r="E2231" s="13"/>
      <c r="F2231" s="10"/>
      <c r="G2231" s="13"/>
      <c r="H2231" s="13"/>
      <c r="I2231" s="12"/>
      <c r="J2231" s="13"/>
      <c r="K2231" s="13"/>
      <c r="L2231" s="12"/>
    </row>
    <row r="2232" spans="1:12" x14ac:dyDescent="0.25">
      <c r="A2232" s="5" t="s">
        <v>349</v>
      </c>
      <c r="B2232" s="12"/>
      <c r="C2232" s="5"/>
      <c r="D2232" s="4"/>
      <c r="E2232" s="13"/>
      <c r="F2232" s="10"/>
      <c r="G2232" s="13"/>
      <c r="H2232" s="13"/>
      <c r="I2232" s="12"/>
      <c r="J2232" s="13"/>
      <c r="K2232" s="13"/>
      <c r="L2232" s="12"/>
    </row>
    <row r="2233" spans="1:12" x14ac:dyDescent="0.25">
      <c r="A2233" s="5" t="s">
        <v>468</v>
      </c>
      <c r="B2233" s="12"/>
      <c r="C2233" s="5"/>
      <c r="D2233" s="4"/>
      <c r="E2233" s="13"/>
      <c r="F2233" s="10"/>
      <c r="G2233" s="13"/>
      <c r="H2233" s="13"/>
      <c r="I2233" s="12"/>
      <c r="J2233" s="13"/>
      <c r="K2233" s="13"/>
      <c r="L2233" s="12"/>
    </row>
    <row r="2234" spans="1:12" x14ac:dyDescent="0.25">
      <c r="A2234" s="5" t="s">
        <v>468</v>
      </c>
      <c r="B2234" s="12"/>
      <c r="C2234" s="5"/>
      <c r="D2234" s="4"/>
      <c r="E2234" s="13"/>
      <c r="F2234" s="10"/>
      <c r="G2234" s="13"/>
      <c r="H2234" s="13"/>
      <c r="I2234" s="12"/>
      <c r="J2234" s="13"/>
      <c r="K2234" s="13"/>
      <c r="L2234" s="12"/>
    </row>
    <row r="2235" spans="1:12" x14ac:dyDescent="0.25">
      <c r="A2235" s="5" t="s">
        <v>468</v>
      </c>
      <c r="B2235" s="12"/>
      <c r="C2235" s="5"/>
      <c r="D2235" s="4"/>
      <c r="E2235" s="13"/>
      <c r="F2235" s="10"/>
      <c r="G2235" s="13"/>
      <c r="H2235" s="13"/>
      <c r="I2235" s="12"/>
      <c r="J2235" s="13"/>
      <c r="K2235" s="13"/>
      <c r="L2235" s="12"/>
    </row>
    <row r="2236" spans="1:12" x14ac:dyDescent="0.25">
      <c r="A2236" s="5" t="s">
        <v>615</v>
      </c>
      <c r="B2236" s="12"/>
      <c r="C2236" s="5"/>
      <c r="D2236" s="4"/>
      <c r="E2236" s="13"/>
      <c r="F2236" s="10"/>
      <c r="G2236" s="13"/>
      <c r="H2236" s="13"/>
      <c r="I2236" s="12"/>
      <c r="J2236" s="13"/>
      <c r="K2236" s="13"/>
      <c r="L2236" s="12"/>
    </row>
    <row r="2237" spans="1:12" x14ac:dyDescent="0.25">
      <c r="A2237" s="5" t="s">
        <v>615</v>
      </c>
      <c r="B2237" s="12"/>
      <c r="C2237" s="5"/>
      <c r="D2237" s="4"/>
      <c r="E2237" s="13"/>
      <c r="F2237" s="10"/>
      <c r="G2237" s="13"/>
      <c r="H2237" s="13"/>
      <c r="I2237" s="12"/>
      <c r="J2237" s="13"/>
      <c r="K2237" s="13"/>
      <c r="L2237" s="12"/>
    </row>
    <row r="2238" spans="1:12" x14ac:dyDescent="0.25">
      <c r="A2238" s="5" t="s">
        <v>615</v>
      </c>
      <c r="B2238" s="12"/>
      <c r="C2238" s="5"/>
      <c r="D2238" s="4"/>
      <c r="E2238" s="13"/>
      <c r="F2238" s="10"/>
      <c r="G2238" s="13"/>
      <c r="H2238" s="13"/>
      <c r="I2238" s="12"/>
      <c r="J2238" s="13"/>
      <c r="K2238" s="13"/>
      <c r="L2238" s="12"/>
    </row>
    <row r="2239" spans="1:12" x14ac:dyDescent="0.25">
      <c r="A2239" s="5" t="s">
        <v>63</v>
      </c>
      <c r="B2239" s="12"/>
      <c r="C2239" s="5"/>
      <c r="D2239" s="4"/>
      <c r="E2239" s="13"/>
      <c r="F2239" s="10"/>
      <c r="G2239" s="13"/>
      <c r="H2239" s="13"/>
      <c r="I2239" s="12"/>
      <c r="J2239" s="13"/>
      <c r="K2239" s="13"/>
      <c r="L2239" s="12"/>
    </row>
    <row r="2240" spans="1:12" x14ac:dyDescent="0.25">
      <c r="A2240" s="5" t="s">
        <v>63</v>
      </c>
      <c r="B2240" s="12"/>
      <c r="C2240" s="5"/>
      <c r="D2240" s="4"/>
      <c r="E2240" s="13"/>
      <c r="F2240" s="10"/>
      <c r="G2240" s="13"/>
      <c r="H2240" s="13"/>
      <c r="I2240" s="12"/>
      <c r="J2240" s="13"/>
      <c r="K2240" s="13"/>
      <c r="L2240" s="12"/>
    </row>
    <row r="2241" spans="1:12" x14ac:dyDescent="0.25">
      <c r="A2241" s="5" t="s">
        <v>63</v>
      </c>
      <c r="B2241" s="12"/>
      <c r="C2241" s="5"/>
      <c r="D2241" s="4"/>
      <c r="E2241" s="13"/>
      <c r="F2241" s="10"/>
      <c r="G2241" s="13"/>
      <c r="H2241" s="13"/>
      <c r="I2241" s="12"/>
      <c r="J2241" s="13"/>
      <c r="K2241" s="13"/>
      <c r="L2241" s="12"/>
    </row>
    <row r="2242" spans="1:12" x14ac:dyDescent="0.25">
      <c r="A2242" s="5" t="s">
        <v>470</v>
      </c>
      <c r="B2242" s="12"/>
      <c r="C2242" s="5"/>
      <c r="D2242" s="4"/>
      <c r="E2242" s="13"/>
      <c r="F2242" s="10"/>
      <c r="G2242" s="13"/>
      <c r="H2242" s="13"/>
      <c r="I2242" s="12"/>
      <c r="J2242" s="13"/>
      <c r="K2242" s="13"/>
      <c r="L2242" s="12"/>
    </row>
    <row r="2243" spans="1:12" x14ac:dyDescent="0.25">
      <c r="A2243" s="5" t="s">
        <v>470</v>
      </c>
      <c r="B2243" s="12"/>
      <c r="C2243" s="5"/>
      <c r="D2243" s="4"/>
      <c r="E2243" s="13"/>
      <c r="F2243" s="10"/>
      <c r="G2243" s="13"/>
      <c r="H2243" s="13"/>
      <c r="I2243" s="12"/>
      <c r="J2243" s="13"/>
      <c r="K2243" s="13"/>
      <c r="L2243" s="12"/>
    </row>
    <row r="2244" spans="1:12" x14ac:dyDescent="0.25">
      <c r="A2244" s="5" t="s">
        <v>470</v>
      </c>
      <c r="B2244" s="12"/>
      <c r="C2244" s="5"/>
      <c r="D2244" s="4"/>
      <c r="E2244" s="13"/>
      <c r="F2244" s="10"/>
      <c r="G2244" s="13"/>
      <c r="H2244" s="13"/>
      <c r="I2244" s="12"/>
      <c r="J2244" s="13"/>
      <c r="K2244" s="13"/>
      <c r="L2244" s="12"/>
    </row>
    <row r="2245" spans="1:12" x14ac:dyDescent="0.25">
      <c r="A2245" s="5" t="s">
        <v>471</v>
      </c>
      <c r="B2245" s="12"/>
      <c r="C2245" s="5"/>
      <c r="D2245" s="4"/>
      <c r="E2245" s="13"/>
      <c r="F2245" s="10"/>
      <c r="G2245" s="13"/>
      <c r="H2245" s="13"/>
      <c r="I2245" s="12"/>
      <c r="J2245" s="13"/>
      <c r="K2245" s="13"/>
      <c r="L2245" s="12"/>
    </row>
    <row r="2246" spans="1:12" x14ac:dyDescent="0.25">
      <c r="A2246" s="5" t="s">
        <v>471</v>
      </c>
      <c r="B2246" s="12"/>
      <c r="C2246" s="5"/>
      <c r="D2246" s="4"/>
      <c r="E2246" s="13"/>
      <c r="F2246" s="10"/>
      <c r="G2246" s="13"/>
      <c r="H2246" s="13"/>
      <c r="I2246" s="12"/>
      <c r="J2246" s="13"/>
      <c r="K2246" s="13"/>
      <c r="L2246" s="12"/>
    </row>
    <row r="2247" spans="1:12" x14ac:dyDescent="0.25">
      <c r="A2247" s="5" t="s">
        <v>471</v>
      </c>
      <c r="B2247" s="12"/>
      <c r="C2247" s="5"/>
      <c r="D2247" s="4"/>
      <c r="E2247" s="13"/>
      <c r="F2247" s="10"/>
      <c r="G2247" s="13"/>
      <c r="H2247" s="13"/>
      <c r="I2247" s="12"/>
      <c r="J2247" s="13"/>
      <c r="K2247" s="13"/>
      <c r="L2247" s="12"/>
    </row>
    <row r="2248" spans="1:12" x14ac:dyDescent="0.25">
      <c r="A2248" s="5" t="s">
        <v>399</v>
      </c>
      <c r="B2248" s="12"/>
      <c r="C2248" s="5"/>
      <c r="D2248" s="4"/>
      <c r="E2248" s="13"/>
      <c r="F2248" s="10"/>
      <c r="G2248" s="13"/>
      <c r="H2248" s="13"/>
      <c r="I2248" s="12"/>
      <c r="J2248" s="13"/>
      <c r="K2248" s="13"/>
      <c r="L2248" s="12"/>
    </row>
    <row r="2249" spans="1:12" x14ac:dyDescent="0.25">
      <c r="A2249" s="5" t="s">
        <v>399</v>
      </c>
      <c r="B2249" s="12"/>
      <c r="C2249" s="5"/>
      <c r="D2249" s="4"/>
      <c r="E2249" s="13"/>
      <c r="F2249" s="10"/>
      <c r="G2249" s="13"/>
      <c r="H2249" s="13"/>
      <c r="I2249" s="12"/>
      <c r="J2249" s="13"/>
      <c r="K2249" s="13"/>
      <c r="L2249" s="12"/>
    </row>
    <row r="2250" spans="1:12" x14ac:dyDescent="0.25">
      <c r="A2250" s="5" t="s">
        <v>399</v>
      </c>
      <c r="B2250" s="12"/>
      <c r="C2250" s="5"/>
      <c r="D2250" s="4"/>
      <c r="E2250" s="13"/>
      <c r="F2250" s="10"/>
      <c r="G2250" s="13"/>
      <c r="H2250" s="13"/>
      <c r="I2250" s="12"/>
      <c r="J2250" s="13"/>
      <c r="K2250" s="13"/>
      <c r="L2250" s="12"/>
    </row>
    <row r="2251" spans="1:12" x14ac:dyDescent="0.25">
      <c r="A2251" s="5" t="s">
        <v>417</v>
      </c>
      <c r="B2251" s="12"/>
      <c r="C2251" s="5"/>
      <c r="D2251" s="4"/>
      <c r="E2251" s="13"/>
      <c r="F2251" s="10"/>
      <c r="G2251" s="13"/>
      <c r="H2251" s="13"/>
      <c r="I2251" s="12"/>
      <c r="J2251" s="13"/>
      <c r="K2251" s="13"/>
      <c r="L2251" s="12"/>
    </row>
    <row r="2252" spans="1:12" x14ac:dyDescent="0.25">
      <c r="A2252" s="5" t="s">
        <v>417</v>
      </c>
      <c r="B2252" s="12"/>
      <c r="C2252" s="5"/>
      <c r="D2252" s="4"/>
      <c r="E2252" s="13"/>
      <c r="F2252" s="10"/>
      <c r="G2252" s="13"/>
      <c r="H2252" s="13"/>
      <c r="I2252" s="12"/>
      <c r="J2252" s="13"/>
      <c r="K2252" s="13"/>
      <c r="L2252" s="12"/>
    </row>
    <row r="2253" spans="1:12" x14ac:dyDescent="0.25">
      <c r="A2253" s="5" t="s">
        <v>417</v>
      </c>
      <c r="B2253" s="12"/>
      <c r="C2253" s="5"/>
      <c r="D2253" s="4"/>
      <c r="E2253" s="13"/>
      <c r="F2253" s="10"/>
      <c r="G2253" s="13"/>
      <c r="H2253" s="13"/>
      <c r="I2253" s="12"/>
      <c r="J2253" s="13"/>
      <c r="K2253" s="13"/>
      <c r="L2253" s="12"/>
    </row>
    <row r="2254" spans="1:12" x14ac:dyDescent="0.25">
      <c r="A2254" s="5" t="s">
        <v>138</v>
      </c>
      <c r="B2254" s="12"/>
      <c r="C2254" s="5"/>
      <c r="D2254" s="4"/>
      <c r="E2254" s="13"/>
      <c r="F2254" s="10"/>
      <c r="G2254" s="13"/>
      <c r="H2254" s="13"/>
      <c r="I2254" s="12"/>
      <c r="J2254" s="13"/>
      <c r="K2254" s="13"/>
      <c r="L2254" s="12"/>
    </row>
    <row r="2255" spans="1:12" x14ac:dyDescent="0.25">
      <c r="A2255" s="5" t="s">
        <v>138</v>
      </c>
      <c r="B2255" s="12"/>
      <c r="C2255" s="5"/>
      <c r="D2255" s="4"/>
      <c r="E2255" s="13"/>
      <c r="F2255" s="10"/>
      <c r="G2255" s="13"/>
      <c r="H2255" s="13"/>
      <c r="I2255" s="12"/>
      <c r="J2255" s="13"/>
      <c r="K2255" s="13"/>
      <c r="L2255" s="12"/>
    </row>
    <row r="2256" spans="1:12" x14ac:dyDescent="0.25">
      <c r="A2256" s="5" t="s">
        <v>138</v>
      </c>
      <c r="B2256" s="12"/>
      <c r="C2256" s="5"/>
      <c r="D2256" s="4"/>
      <c r="E2256" s="13"/>
      <c r="F2256" s="10"/>
      <c r="G2256" s="13"/>
      <c r="H2256" s="13"/>
      <c r="I2256" s="12"/>
      <c r="J2256" s="13"/>
      <c r="K2256" s="13"/>
      <c r="L2256" s="12"/>
    </row>
    <row r="2257" spans="1:12" x14ac:dyDescent="0.25">
      <c r="A2257" s="5" t="s">
        <v>522</v>
      </c>
      <c r="B2257" s="12"/>
      <c r="C2257" s="5"/>
      <c r="D2257" s="4"/>
      <c r="E2257" s="13"/>
      <c r="F2257" s="10"/>
      <c r="G2257" s="13"/>
      <c r="H2257" s="13"/>
      <c r="I2257" s="12"/>
      <c r="J2257" s="13"/>
      <c r="K2257" s="13"/>
      <c r="L2257" s="12"/>
    </row>
    <row r="2258" spans="1:12" x14ac:dyDescent="0.25">
      <c r="A2258" s="5" t="s">
        <v>522</v>
      </c>
      <c r="B2258" s="12"/>
      <c r="C2258" s="5"/>
      <c r="D2258" s="4"/>
      <c r="E2258" s="13"/>
      <c r="F2258" s="10"/>
      <c r="G2258" s="13"/>
      <c r="H2258" s="13"/>
      <c r="I2258" s="12"/>
      <c r="J2258" s="13"/>
      <c r="K2258" s="13"/>
      <c r="L2258" s="12"/>
    </row>
    <row r="2259" spans="1:12" x14ac:dyDescent="0.25">
      <c r="A2259" s="5" t="s">
        <v>522</v>
      </c>
      <c r="B2259" s="12"/>
      <c r="C2259" s="5"/>
      <c r="D2259" s="4"/>
      <c r="E2259" s="13"/>
      <c r="F2259" s="10"/>
      <c r="G2259" s="13"/>
      <c r="H2259" s="13"/>
      <c r="I2259" s="12"/>
      <c r="J2259" s="13"/>
      <c r="K2259" s="13"/>
      <c r="L2259" s="12"/>
    </row>
    <row r="2260" spans="1:12" x14ac:dyDescent="0.25">
      <c r="A2260" s="5" t="s">
        <v>163</v>
      </c>
      <c r="B2260" s="12"/>
      <c r="C2260" s="5"/>
      <c r="D2260" s="4"/>
      <c r="E2260" s="13"/>
      <c r="F2260" s="10"/>
      <c r="G2260" s="13"/>
      <c r="H2260" s="13"/>
      <c r="I2260" s="12"/>
      <c r="J2260" s="13"/>
      <c r="K2260" s="13"/>
      <c r="L2260" s="12"/>
    </row>
    <row r="2261" spans="1:12" x14ac:dyDescent="0.25">
      <c r="A2261" s="5" t="s">
        <v>163</v>
      </c>
      <c r="B2261" s="12"/>
      <c r="C2261" s="5"/>
      <c r="D2261" s="4"/>
      <c r="E2261" s="13"/>
      <c r="F2261" s="10"/>
      <c r="G2261" s="13"/>
      <c r="H2261" s="13"/>
      <c r="I2261" s="12"/>
      <c r="J2261" s="13"/>
      <c r="K2261" s="13"/>
      <c r="L2261" s="12"/>
    </row>
    <row r="2262" spans="1:12" x14ac:dyDescent="0.25">
      <c r="A2262" s="5" t="s">
        <v>163</v>
      </c>
      <c r="B2262" s="12"/>
      <c r="C2262" s="5"/>
      <c r="D2262" s="4"/>
      <c r="E2262" s="13"/>
      <c r="F2262" s="10"/>
      <c r="G2262" s="13"/>
      <c r="H2262" s="13"/>
      <c r="I2262" s="12"/>
      <c r="J2262" s="13"/>
      <c r="K2262" s="13"/>
      <c r="L2262" s="12"/>
    </row>
    <row r="2263" spans="1:12" x14ac:dyDescent="0.25">
      <c r="A2263" s="5" t="s">
        <v>698</v>
      </c>
      <c r="B2263" s="12"/>
      <c r="C2263" s="5"/>
      <c r="D2263" s="4"/>
      <c r="E2263" s="13"/>
      <c r="F2263" s="10"/>
      <c r="G2263" s="13"/>
      <c r="H2263" s="13"/>
      <c r="I2263" s="12"/>
      <c r="J2263" s="13"/>
      <c r="K2263" s="13"/>
      <c r="L2263" s="12"/>
    </row>
    <row r="2264" spans="1:12" x14ac:dyDescent="0.25">
      <c r="A2264" s="5" t="s">
        <v>698</v>
      </c>
      <c r="B2264" s="12"/>
      <c r="C2264" s="5"/>
      <c r="D2264" s="4"/>
      <c r="E2264" s="13"/>
      <c r="F2264" s="10"/>
      <c r="G2264" s="13"/>
      <c r="H2264" s="13"/>
      <c r="I2264" s="12"/>
      <c r="J2264" s="13"/>
      <c r="K2264" s="13"/>
      <c r="L2264" s="12"/>
    </row>
    <row r="2265" spans="1:12" x14ac:dyDescent="0.25">
      <c r="A2265" s="5" t="s">
        <v>698</v>
      </c>
      <c r="B2265" s="12"/>
      <c r="C2265" s="5"/>
      <c r="D2265" s="4"/>
      <c r="E2265" s="13"/>
      <c r="F2265" s="10"/>
      <c r="G2265" s="13"/>
      <c r="H2265" s="13"/>
      <c r="I2265" s="12"/>
      <c r="J2265" s="13"/>
      <c r="K2265" s="13"/>
      <c r="L2265" s="12"/>
    </row>
    <row r="2266" spans="1:12" x14ac:dyDescent="0.25">
      <c r="A2266" s="5" t="s">
        <v>727</v>
      </c>
      <c r="B2266" s="12"/>
      <c r="C2266" s="5"/>
      <c r="D2266" s="4"/>
      <c r="E2266" s="13"/>
      <c r="F2266" s="10"/>
      <c r="G2266" s="13"/>
      <c r="H2266" s="13"/>
      <c r="I2266" s="12"/>
      <c r="J2266" s="13"/>
      <c r="K2266" s="13"/>
      <c r="L2266" s="12"/>
    </row>
    <row r="2267" spans="1:12" x14ac:dyDescent="0.25">
      <c r="A2267" s="5" t="s">
        <v>727</v>
      </c>
      <c r="B2267" s="12"/>
      <c r="C2267" s="5"/>
      <c r="D2267" s="4"/>
      <c r="E2267" s="13"/>
      <c r="F2267" s="10"/>
      <c r="G2267" s="13"/>
      <c r="H2267" s="13"/>
      <c r="I2267" s="12"/>
      <c r="J2267" s="13"/>
      <c r="K2267" s="13"/>
      <c r="L2267" s="12"/>
    </row>
    <row r="2268" spans="1:12" x14ac:dyDescent="0.25">
      <c r="A2268" s="5" t="s">
        <v>727</v>
      </c>
      <c r="B2268" s="12"/>
      <c r="C2268" s="5"/>
      <c r="D2268" s="4"/>
      <c r="E2268" s="13"/>
      <c r="F2268" s="10"/>
      <c r="G2268" s="13"/>
      <c r="H2268" s="13"/>
      <c r="I2268" s="12"/>
      <c r="J2268" s="13"/>
      <c r="K2268" s="13"/>
      <c r="L2268" s="12"/>
    </row>
    <row r="2269" spans="1:12" x14ac:dyDescent="0.25">
      <c r="A2269" s="5" t="s">
        <v>553</v>
      </c>
      <c r="B2269" s="12"/>
      <c r="C2269" s="5"/>
      <c r="D2269" s="4"/>
      <c r="E2269" s="13"/>
      <c r="F2269" s="10"/>
      <c r="G2269" s="13"/>
      <c r="H2269" s="13"/>
      <c r="I2269" s="12"/>
      <c r="J2269" s="13"/>
      <c r="K2269" s="13"/>
      <c r="L2269" s="12"/>
    </row>
    <row r="2270" spans="1:12" x14ac:dyDescent="0.25">
      <c r="A2270" s="5" t="s">
        <v>553</v>
      </c>
      <c r="B2270" s="12"/>
      <c r="C2270" s="5"/>
      <c r="D2270" s="4"/>
      <c r="E2270" s="13"/>
      <c r="F2270" s="10"/>
      <c r="G2270" s="13"/>
      <c r="H2270" s="13"/>
      <c r="I2270" s="12"/>
      <c r="J2270" s="13"/>
      <c r="K2270" s="13"/>
      <c r="L2270" s="12"/>
    </row>
    <row r="2271" spans="1:12" x14ac:dyDescent="0.25">
      <c r="A2271" s="5" t="s">
        <v>553</v>
      </c>
      <c r="B2271" s="12"/>
      <c r="C2271" s="5"/>
      <c r="D2271" s="4"/>
      <c r="E2271" s="13"/>
      <c r="F2271" s="10"/>
      <c r="G2271" s="13"/>
      <c r="H2271" s="13"/>
      <c r="I2271" s="12"/>
      <c r="J2271" s="13"/>
      <c r="K2271" s="13"/>
      <c r="L2271" s="12"/>
    </row>
    <row r="2272" spans="1:12" x14ac:dyDescent="0.25">
      <c r="A2272" s="5" t="s">
        <v>618</v>
      </c>
      <c r="B2272" s="12"/>
      <c r="C2272" s="5"/>
      <c r="D2272" s="4"/>
      <c r="E2272" s="13"/>
      <c r="F2272" s="10"/>
      <c r="G2272" s="13"/>
      <c r="H2272" s="13"/>
      <c r="I2272" s="12"/>
      <c r="J2272" s="13"/>
      <c r="K2272" s="13"/>
      <c r="L2272" s="12"/>
    </row>
    <row r="2273" spans="1:12" x14ac:dyDescent="0.25">
      <c r="A2273" s="5" t="s">
        <v>618</v>
      </c>
      <c r="B2273" s="12"/>
      <c r="C2273" s="5"/>
      <c r="D2273" s="4"/>
      <c r="E2273" s="13"/>
      <c r="F2273" s="10"/>
      <c r="G2273" s="13"/>
      <c r="H2273" s="13"/>
      <c r="I2273" s="12"/>
      <c r="J2273" s="13"/>
      <c r="K2273" s="13"/>
      <c r="L2273" s="12"/>
    </row>
    <row r="2274" spans="1:12" x14ac:dyDescent="0.25">
      <c r="A2274" s="5" t="s">
        <v>618</v>
      </c>
      <c r="B2274" s="12"/>
      <c r="C2274" s="5"/>
      <c r="D2274" s="4"/>
      <c r="E2274" s="13"/>
      <c r="F2274" s="10"/>
      <c r="G2274" s="13"/>
      <c r="H2274" s="13"/>
      <c r="I2274" s="12"/>
      <c r="J2274" s="13"/>
      <c r="K2274" s="13"/>
      <c r="L2274" s="12"/>
    </row>
    <row r="2275" spans="1:12" x14ac:dyDescent="0.25">
      <c r="A2275" s="5" t="s">
        <v>647</v>
      </c>
      <c r="B2275" s="12"/>
      <c r="C2275" s="5"/>
      <c r="D2275" s="4"/>
      <c r="E2275" s="13"/>
      <c r="F2275" s="10"/>
      <c r="G2275" s="13"/>
      <c r="H2275" s="13"/>
      <c r="I2275" s="12"/>
      <c r="J2275" s="13"/>
      <c r="K2275" s="13"/>
      <c r="L2275" s="12"/>
    </row>
    <row r="2276" spans="1:12" x14ac:dyDescent="0.25">
      <c r="A2276" s="5" t="s">
        <v>647</v>
      </c>
      <c r="B2276" s="12"/>
      <c r="C2276" s="5"/>
      <c r="D2276" s="4"/>
      <c r="E2276" s="13"/>
      <c r="F2276" s="10"/>
      <c r="G2276" s="13"/>
      <c r="H2276" s="13"/>
      <c r="I2276" s="12"/>
      <c r="J2276" s="13"/>
      <c r="K2276" s="13"/>
      <c r="L2276" s="12"/>
    </row>
    <row r="2277" spans="1:12" x14ac:dyDescent="0.25">
      <c r="A2277" s="5" t="s">
        <v>647</v>
      </c>
      <c r="B2277" s="12"/>
      <c r="C2277" s="5"/>
      <c r="D2277" s="4"/>
      <c r="E2277" s="13"/>
      <c r="F2277" s="10"/>
      <c r="G2277" s="13"/>
      <c r="H2277" s="13"/>
      <c r="I2277" s="12"/>
      <c r="J2277" s="13"/>
      <c r="K2277" s="13"/>
      <c r="L2277" s="12"/>
    </row>
    <row r="2278" spans="1:12" x14ac:dyDescent="0.25">
      <c r="A2278" s="5" t="s">
        <v>575</v>
      </c>
      <c r="B2278" s="12"/>
      <c r="C2278" s="5"/>
      <c r="D2278" s="4"/>
      <c r="E2278" s="13"/>
      <c r="F2278" s="10"/>
      <c r="G2278" s="13"/>
      <c r="H2278" s="13"/>
      <c r="I2278" s="12"/>
      <c r="J2278" s="13"/>
      <c r="K2278" s="13"/>
      <c r="L2278" s="12"/>
    </row>
    <row r="2279" spans="1:12" x14ac:dyDescent="0.25">
      <c r="A2279" s="5" t="s">
        <v>575</v>
      </c>
      <c r="B2279" s="12"/>
      <c r="C2279" s="5"/>
      <c r="D2279" s="4"/>
      <c r="E2279" s="13"/>
      <c r="F2279" s="10"/>
      <c r="G2279" s="13"/>
      <c r="H2279" s="13"/>
      <c r="I2279" s="12"/>
      <c r="J2279" s="13"/>
      <c r="K2279" s="13"/>
      <c r="L2279" s="12"/>
    </row>
    <row r="2280" spans="1:12" x14ac:dyDescent="0.25">
      <c r="A2280" s="5" t="s">
        <v>575</v>
      </c>
      <c r="B2280" s="12"/>
      <c r="C2280" s="5"/>
      <c r="D2280" s="4"/>
      <c r="E2280" s="13"/>
      <c r="F2280" s="10"/>
      <c r="G2280" s="13"/>
      <c r="H2280" s="13"/>
      <c r="I2280" s="12"/>
      <c r="J2280" s="13"/>
      <c r="K2280" s="13"/>
      <c r="L2280" s="12"/>
    </row>
    <row r="2281" spans="1:12" x14ac:dyDescent="0.25">
      <c r="A2281" s="5" t="s">
        <v>69</v>
      </c>
      <c r="B2281" s="12"/>
      <c r="C2281" s="5"/>
      <c r="D2281" s="4"/>
      <c r="E2281" s="13"/>
      <c r="F2281" s="10"/>
      <c r="G2281" s="13"/>
      <c r="H2281" s="13"/>
      <c r="I2281" s="12"/>
      <c r="J2281" s="13"/>
      <c r="K2281" s="13"/>
      <c r="L2281" s="12"/>
    </row>
    <row r="2282" spans="1:12" x14ac:dyDescent="0.25">
      <c r="A2282" s="5" t="s">
        <v>69</v>
      </c>
      <c r="B2282" s="12"/>
      <c r="C2282" s="5"/>
      <c r="D2282" s="4"/>
      <c r="E2282" s="13"/>
      <c r="F2282" s="10"/>
      <c r="G2282" s="13"/>
      <c r="H2282" s="13"/>
      <c r="I2282" s="12"/>
      <c r="J2282" s="13"/>
      <c r="K2282" s="13"/>
      <c r="L2282" s="12"/>
    </row>
    <row r="2283" spans="1:12" x14ac:dyDescent="0.25">
      <c r="A2283" s="5" t="s">
        <v>69</v>
      </c>
      <c r="B2283" s="12"/>
      <c r="C2283" s="5"/>
      <c r="D2283" s="4"/>
      <c r="E2283" s="13"/>
      <c r="F2283" s="10"/>
      <c r="G2283" s="13"/>
      <c r="H2283" s="13"/>
      <c r="I2283" s="12"/>
      <c r="J2283" s="13"/>
      <c r="K2283" s="13"/>
      <c r="L2283" s="12"/>
    </row>
    <row r="2284" spans="1:12" x14ac:dyDescent="0.25">
      <c r="A2284" s="5" t="s">
        <v>440</v>
      </c>
      <c r="B2284" s="12"/>
      <c r="C2284" s="5"/>
      <c r="D2284" s="4"/>
      <c r="E2284" s="13"/>
      <c r="F2284" s="10"/>
      <c r="G2284" s="13"/>
      <c r="H2284" s="13"/>
      <c r="I2284" s="12"/>
      <c r="J2284" s="13"/>
      <c r="K2284" s="13"/>
      <c r="L2284" s="12"/>
    </row>
    <row r="2285" spans="1:12" x14ac:dyDescent="0.25">
      <c r="A2285" s="5" t="s">
        <v>440</v>
      </c>
      <c r="B2285" s="12"/>
      <c r="C2285" s="5"/>
      <c r="D2285" s="4"/>
      <c r="E2285" s="13"/>
      <c r="F2285" s="10"/>
      <c r="G2285" s="13"/>
      <c r="H2285" s="13"/>
      <c r="I2285" s="12"/>
      <c r="J2285" s="13"/>
      <c r="K2285" s="13"/>
      <c r="L2285" s="12"/>
    </row>
    <row r="2286" spans="1:12" x14ac:dyDescent="0.25">
      <c r="A2286" s="5" t="s">
        <v>440</v>
      </c>
      <c r="B2286" s="12"/>
      <c r="C2286" s="5"/>
      <c r="D2286" s="4"/>
      <c r="E2286" s="13"/>
      <c r="F2286" s="10"/>
      <c r="G2286" s="13"/>
      <c r="H2286" s="13"/>
      <c r="I2286" s="12"/>
      <c r="J2286" s="13"/>
      <c r="K2286" s="13"/>
      <c r="L2286" s="12"/>
    </row>
    <row r="2287" spans="1:12" x14ac:dyDescent="0.25">
      <c r="A2287" s="5" t="s">
        <v>537</v>
      </c>
      <c r="B2287" s="12"/>
      <c r="C2287" s="5"/>
      <c r="D2287" s="4"/>
      <c r="E2287" s="13"/>
      <c r="F2287" s="10"/>
      <c r="G2287" s="13"/>
      <c r="H2287" s="13"/>
      <c r="I2287" s="12"/>
      <c r="J2287" s="13"/>
      <c r="K2287" s="13"/>
      <c r="L2287" s="12"/>
    </row>
    <row r="2288" spans="1:12" x14ac:dyDescent="0.25">
      <c r="A2288" s="5" t="s">
        <v>537</v>
      </c>
      <c r="B2288" s="12"/>
      <c r="C2288" s="5"/>
      <c r="D2288" s="4"/>
      <c r="E2288" s="13"/>
      <c r="F2288" s="10"/>
      <c r="G2288" s="13"/>
      <c r="H2288" s="13"/>
      <c r="I2288" s="12"/>
      <c r="J2288" s="13"/>
      <c r="K2288" s="13"/>
      <c r="L2288" s="12"/>
    </row>
    <row r="2289" spans="1:12" x14ac:dyDescent="0.25">
      <c r="A2289" s="5" t="s">
        <v>537</v>
      </c>
      <c r="B2289" s="12"/>
      <c r="C2289" s="5"/>
      <c r="D2289" s="4"/>
      <c r="E2289" s="13"/>
      <c r="F2289" s="10"/>
      <c r="G2289" s="13"/>
      <c r="H2289" s="13"/>
      <c r="I2289" s="12"/>
      <c r="J2289" s="13"/>
      <c r="K2289" s="13"/>
      <c r="L2289" s="12"/>
    </row>
    <row r="2290" spans="1:12" x14ac:dyDescent="0.25">
      <c r="A2290" s="5" t="s">
        <v>19</v>
      </c>
      <c r="B2290" s="12"/>
      <c r="C2290" s="5"/>
      <c r="D2290" s="4"/>
      <c r="E2290" s="13"/>
      <c r="F2290" s="10"/>
      <c r="G2290" s="13"/>
      <c r="H2290" s="13"/>
      <c r="I2290" s="12"/>
      <c r="J2290" s="13"/>
      <c r="K2290" s="13"/>
      <c r="L2290" s="12"/>
    </row>
    <row r="2291" spans="1:12" x14ac:dyDescent="0.25">
      <c r="A2291" s="5" t="s">
        <v>19</v>
      </c>
      <c r="B2291" s="12"/>
      <c r="C2291" s="5"/>
      <c r="D2291" s="4"/>
      <c r="E2291" s="13"/>
      <c r="F2291" s="10"/>
      <c r="G2291" s="13"/>
      <c r="H2291" s="13"/>
      <c r="I2291" s="12"/>
      <c r="J2291" s="13"/>
      <c r="K2291" s="13"/>
      <c r="L2291" s="12"/>
    </row>
    <row r="2292" spans="1:12" x14ac:dyDescent="0.25">
      <c r="A2292" s="5" t="s">
        <v>19</v>
      </c>
      <c r="B2292" s="12"/>
      <c r="C2292" s="5"/>
      <c r="D2292" s="4"/>
      <c r="E2292" s="13"/>
      <c r="F2292" s="10"/>
      <c r="G2292" s="13"/>
      <c r="H2292" s="13"/>
      <c r="I2292" s="12"/>
      <c r="J2292" s="13"/>
      <c r="K2292" s="13"/>
      <c r="L2292" s="12"/>
    </row>
    <row r="2293" spans="1:12" x14ac:dyDescent="0.25">
      <c r="A2293" s="5" t="s">
        <v>513</v>
      </c>
      <c r="B2293" s="12"/>
      <c r="C2293" s="5"/>
      <c r="D2293" s="4"/>
      <c r="E2293" s="13"/>
      <c r="F2293" s="10"/>
      <c r="G2293" s="13"/>
      <c r="H2293" s="13"/>
      <c r="I2293" s="12"/>
      <c r="J2293" s="13"/>
      <c r="K2293" s="13"/>
      <c r="L2293" s="12"/>
    </row>
    <row r="2294" spans="1:12" x14ac:dyDescent="0.25">
      <c r="A2294" s="5" t="s">
        <v>513</v>
      </c>
      <c r="B2294" s="12"/>
      <c r="C2294" s="5"/>
      <c r="D2294" s="4"/>
      <c r="E2294" s="13"/>
      <c r="F2294" s="10"/>
      <c r="G2294" s="13"/>
      <c r="H2294" s="13"/>
      <c r="I2294" s="12"/>
      <c r="J2294" s="13"/>
      <c r="K2294" s="13"/>
      <c r="L2294" s="12"/>
    </row>
    <row r="2295" spans="1:12" x14ac:dyDescent="0.25">
      <c r="A2295" s="5" t="s">
        <v>513</v>
      </c>
      <c r="B2295" s="12"/>
      <c r="C2295" s="5"/>
      <c r="D2295" s="4"/>
      <c r="E2295" s="13"/>
      <c r="F2295" s="10"/>
      <c r="G2295" s="13"/>
      <c r="H2295" s="13"/>
      <c r="I2295" s="12"/>
      <c r="J2295" s="13"/>
      <c r="K2295" s="13"/>
      <c r="L2295" s="12"/>
    </row>
    <row r="2296" spans="1:12" x14ac:dyDescent="0.25">
      <c r="A2296" s="5" t="s">
        <v>405</v>
      </c>
      <c r="B2296" s="12"/>
      <c r="C2296" s="5"/>
      <c r="D2296" s="4"/>
      <c r="E2296" s="13"/>
      <c r="F2296" s="10"/>
      <c r="G2296" s="13"/>
      <c r="H2296" s="13"/>
      <c r="I2296" s="12"/>
      <c r="J2296" s="13"/>
      <c r="K2296" s="13"/>
      <c r="L2296" s="12"/>
    </row>
    <row r="2297" spans="1:12" x14ac:dyDescent="0.25">
      <c r="A2297" s="5" t="s">
        <v>405</v>
      </c>
      <c r="B2297" s="12"/>
      <c r="C2297" s="5"/>
      <c r="D2297" s="4"/>
      <c r="E2297" s="13"/>
      <c r="F2297" s="10"/>
      <c r="G2297" s="13"/>
      <c r="H2297" s="13"/>
      <c r="I2297" s="12"/>
      <c r="J2297" s="13"/>
      <c r="K2297" s="13"/>
      <c r="L2297" s="12"/>
    </row>
    <row r="2298" spans="1:12" x14ac:dyDescent="0.25">
      <c r="A2298" s="5" t="s">
        <v>405</v>
      </c>
      <c r="B2298" s="12"/>
      <c r="C2298" s="5"/>
      <c r="D2298" s="4"/>
      <c r="E2298" s="13"/>
      <c r="F2298" s="10"/>
      <c r="G2298" s="13"/>
      <c r="H2298" s="13"/>
      <c r="I2298" s="12"/>
      <c r="J2298" s="13"/>
      <c r="K2298" s="13"/>
      <c r="L2298" s="12"/>
    </row>
    <row r="2299" spans="1:12" x14ac:dyDescent="0.25">
      <c r="A2299" s="5" t="s">
        <v>433</v>
      </c>
      <c r="B2299" s="12"/>
      <c r="C2299" s="5"/>
      <c r="D2299" s="4"/>
      <c r="E2299" s="13"/>
      <c r="F2299" s="10"/>
      <c r="G2299" s="13"/>
      <c r="H2299" s="13"/>
      <c r="I2299" s="12"/>
      <c r="J2299" s="13"/>
      <c r="K2299" s="13"/>
      <c r="L2299" s="12"/>
    </row>
    <row r="2300" spans="1:12" x14ac:dyDescent="0.25">
      <c r="A2300" s="5" t="s">
        <v>433</v>
      </c>
      <c r="B2300" s="12"/>
      <c r="C2300" s="5"/>
      <c r="D2300" s="4"/>
      <c r="E2300" s="13"/>
      <c r="F2300" s="10"/>
      <c r="G2300" s="13"/>
      <c r="H2300" s="13"/>
      <c r="I2300" s="12"/>
      <c r="J2300" s="13"/>
      <c r="K2300" s="13"/>
      <c r="L2300" s="12"/>
    </row>
    <row r="2301" spans="1:12" x14ac:dyDescent="0.25">
      <c r="A2301" s="5" t="s">
        <v>433</v>
      </c>
      <c r="B2301" s="12"/>
      <c r="C2301" s="5"/>
      <c r="D2301" s="4"/>
      <c r="E2301" s="13"/>
      <c r="F2301" s="10"/>
      <c r="G2301" s="13"/>
      <c r="H2301" s="13"/>
      <c r="I2301" s="12"/>
      <c r="J2301" s="13"/>
      <c r="K2301" s="13"/>
      <c r="L2301" s="12"/>
    </row>
    <row r="2302" spans="1:12" x14ac:dyDescent="0.25">
      <c r="A2302" s="5" t="s">
        <v>139</v>
      </c>
      <c r="B2302" s="12"/>
      <c r="C2302" s="5"/>
      <c r="D2302" s="4"/>
      <c r="E2302" s="13"/>
      <c r="F2302" s="10"/>
      <c r="G2302" s="13"/>
      <c r="H2302" s="13"/>
      <c r="I2302" s="12"/>
      <c r="J2302" s="13"/>
      <c r="K2302" s="13"/>
      <c r="L2302" s="12"/>
    </row>
    <row r="2303" spans="1:12" x14ac:dyDescent="0.25">
      <c r="A2303" s="5" t="s">
        <v>139</v>
      </c>
      <c r="B2303" s="12"/>
      <c r="C2303" s="5"/>
      <c r="D2303" s="4"/>
      <c r="E2303" s="13"/>
      <c r="F2303" s="10"/>
      <c r="G2303" s="13"/>
      <c r="H2303" s="13"/>
      <c r="I2303" s="12"/>
      <c r="J2303" s="13"/>
      <c r="K2303" s="13"/>
      <c r="L2303" s="12"/>
    </row>
    <row r="2304" spans="1:12" x14ac:dyDescent="0.25">
      <c r="A2304" s="5" t="s">
        <v>139</v>
      </c>
      <c r="B2304" s="12"/>
      <c r="C2304" s="5"/>
      <c r="D2304" s="4"/>
      <c r="E2304" s="13"/>
      <c r="F2304" s="10"/>
      <c r="G2304" s="13"/>
      <c r="H2304" s="13"/>
      <c r="I2304" s="12"/>
      <c r="J2304" s="13"/>
      <c r="K2304" s="13"/>
      <c r="L2304" s="12"/>
    </row>
    <row r="2305" spans="1:12" x14ac:dyDescent="0.25">
      <c r="A2305" s="5" t="s">
        <v>614</v>
      </c>
      <c r="B2305" s="12"/>
      <c r="C2305" s="5"/>
      <c r="D2305" s="4"/>
      <c r="E2305" s="13"/>
      <c r="F2305" s="10"/>
      <c r="G2305" s="13"/>
      <c r="H2305" s="13"/>
      <c r="I2305" s="12"/>
      <c r="J2305" s="13"/>
      <c r="K2305" s="13"/>
      <c r="L2305" s="12"/>
    </row>
    <row r="2306" spans="1:12" x14ac:dyDescent="0.25">
      <c r="A2306" s="5" t="s">
        <v>614</v>
      </c>
      <c r="B2306" s="12"/>
      <c r="C2306" s="5"/>
      <c r="D2306" s="4"/>
      <c r="E2306" s="13"/>
      <c r="F2306" s="10"/>
      <c r="G2306" s="13"/>
      <c r="H2306" s="13"/>
      <c r="I2306" s="12"/>
      <c r="J2306" s="13"/>
      <c r="K2306" s="13"/>
      <c r="L2306" s="12"/>
    </row>
    <row r="2307" spans="1:12" x14ac:dyDescent="0.25">
      <c r="A2307" s="5" t="s">
        <v>614</v>
      </c>
      <c r="B2307" s="12"/>
      <c r="C2307" s="5"/>
      <c r="D2307" s="4"/>
      <c r="E2307" s="13"/>
      <c r="F2307" s="10"/>
      <c r="G2307" s="13"/>
      <c r="H2307" s="13"/>
      <c r="I2307" s="12"/>
      <c r="J2307" s="13"/>
      <c r="K2307" s="13"/>
      <c r="L2307" s="12"/>
    </row>
    <row r="2308" spans="1:12" x14ac:dyDescent="0.25">
      <c r="A2308" s="5" t="s">
        <v>204</v>
      </c>
      <c r="B2308" s="12"/>
      <c r="C2308" s="5"/>
      <c r="D2308" s="4"/>
      <c r="E2308" s="13"/>
      <c r="F2308" s="10"/>
      <c r="G2308" s="13"/>
      <c r="H2308" s="13"/>
      <c r="I2308" s="12"/>
      <c r="J2308" s="13"/>
      <c r="K2308" s="13"/>
      <c r="L2308" s="12"/>
    </row>
    <row r="2309" spans="1:12" x14ac:dyDescent="0.25">
      <c r="A2309" s="5" t="s">
        <v>204</v>
      </c>
      <c r="B2309" s="12"/>
      <c r="C2309" s="5"/>
      <c r="D2309" s="4"/>
      <c r="E2309" s="13"/>
      <c r="F2309" s="10"/>
      <c r="G2309" s="13"/>
      <c r="H2309" s="13"/>
      <c r="I2309" s="12"/>
      <c r="J2309" s="13"/>
      <c r="K2309" s="13"/>
      <c r="L2309" s="12"/>
    </row>
    <row r="2310" spans="1:12" x14ac:dyDescent="0.25">
      <c r="A2310" s="5" t="s">
        <v>204</v>
      </c>
      <c r="B2310" s="12"/>
      <c r="C2310" s="5"/>
      <c r="D2310" s="4"/>
      <c r="E2310" s="13"/>
      <c r="F2310" s="10"/>
      <c r="G2310" s="13"/>
      <c r="H2310" s="13"/>
      <c r="I2310" s="12"/>
      <c r="J2310" s="13"/>
      <c r="K2310" s="13"/>
      <c r="L2310" s="12"/>
    </row>
    <row r="2311" spans="1:12" x14ac:dyDescent="0.25">
      <c r="A2311" s="5" t="s">
        <v>371</v>
      </c>
      <c r="B2311" s="12"/>
      <c r="C2311" s="5"/>
      <c r="D2311" s="4"/>
      <c r="E2311" s="13"/>
      <c r="F2311" s="10"/>
      <c r="G2311" s="13"/>
      <c r="H2311" s="13"/>
      <c r="I2311" s="12"/>
      <c r="J2311" s="13"/>
      <c r="K2311" s="13"/>
      <c r="L2311" s="12"/>
    </row>
    <row r="2312" spans="1:12" x14ac:dyDescent="0.25">
      <c r="A2312" s="5" t="s">
        <v>371</v>
      </c>
      <c r="B2312" s="12"/>
      <c r="C2312" s="5"/>
      <c r="D2312" s="4"/>
      <c r="E2312" s="13"/>
      <c r="F2312" s="10"/>
      <c r="G2312" s="13"/>
      <c r="H2312" s="13"/>
      <c r="I2312" s="12"/>
      <c r="J2312" s="13"/>
      <c r="K2312" s="13"/>
      <c r="L2312" s="12"/>
    </row>
    <row r="2313" spans="1:12" x14ac:dyDescent="0.25">
      <c r="A2313" s="5" t="s">
        <v>371</v>
      </c>
      <c r="B2313" s="12"/>
      <c r="C2313" s="5"/>
      <c r="D2313" s="4"/>
      <c r="E2313" s="13"/>
      <c r="F2313" s="10"/>
      <c r="G2313" s="13"/>
      <c r="H2313" s="13"/>
      <c r="I2313" s="12"/>
      <c r="J2313" s="13"/>
      <c r="K2313" s="13"/>
      <c r="L2313" s="12"/>
    </row>
    <row r="2314" spans="1:12" x14ac:dyDescent="0.25">
      <c r="A2314" s="5" t="s">
        <v>16</v>
      </c>
      <c r="B2314" s="12"/>
      <c r="C2314" s="5"/>
      <c r="D2314" s="4"/>
      <c r="E2314" s="13"/>
      <c r="F2314" s="10"/>
      <c r="G2314" s="13"/>
      <c r="H2314" s="13"/>
      <c r="I2314" s="12"/>
      <c r="J2314" s="13"/>
      <c r="K2314" s="13"/>
      <c r="L2314" s="12"/>
    </row>
    <row r="2315" spans="1:12" x14ac:dyDescent="0.25">
      <c r="A2315" s="5" t="s">
        <v>16</v>
      </c>
      <c r="B2315" s="12"/>
      <c r="C2315" s="5"/>
      <c r="D2315" s="4"/>
      <c r="E2315" s="13"/>
      <c r="F2315" s="10"/>
      <c r="G2315" s="13"/>
      <c r="H2315" s="13"/>
      <c r="I2315" s="12"/>
      <c r="J2315" s="13"/>
      <c r="K2315" s="13"/>
      <c r="L2315" s="12"/>
    </row>
    <row r="2316" spans="1:12" x14ac:dyDescent="0.25">
      <c r="A2316" s="5" t="s">
        <v>16</v>
      </c>
      <c r="B2316" s="12"/>
      <c r="C2316" s="5"/>
      <c r="D2316" s="4"/>
      <c r="E2316" s="13"/>
      <c r="F2316" s="10"/>
      <c r="G2316" s="13"/>
      <c r="H2316" s="13"/>
      <c r="I2316" s="12"/>
      <c r="J2316" s="13"/>
      <c r="K2316" s="13"/>
      <c r="L2316" s="12"/>
    </row>
    <row r="2317" spans="1:12" x14ac:dyDescent="0.25">
      <c r="A2317" s="5" t="s">
        <v>131</v>
      </c>
      <c r="B2317" s="12"/>
      <c r="C2317" s="5"/>
      <c r="D2317" s="4"/>
      <c r="E2317" s="13"/>
      <c r="F2317" s="10"/>
      <c r="G2317" s="13"/>
      <c r="H2317" s="13"/>
      <c r="I2317" s="12"/>
      <c r="J2317" s="13"/>
      <c r="K2317" s="13"/>
      <c r="L2317" s="12"/>
    </row>
    <row r="2318" spans="1:12" x14ac:dyDescent="0.25">
      <c r="A2318" s="5" t="s">
        <v>131</v>
      </c>
      <c r="B2318" s="12"/>
      <c r="C2318" s="5"/>
      <c r="D2318" s="4"/>
      <c r="E2318" s="13"/>
      <c r="F2318" s="10"/>
      <c r="G2318" s="13"/>
      <c r="H2318" s="13"/>
      <c r="I2318" s="12"/>
      <c r="J2318" s="13"/>
      <c r="K2318" s="13"/>
      <c r="L2318" s="12"/>
    </row>
    <row r="2319" spans="1:12" x14ac:dyDescent="0.25">
      <c r="A2319" s="5" t="s">
        <v>131</v>
      </c>
      <c r="B2319" s="12"/>
      <c r="C2319" s="5"/>
      <c r="D2319" s="4"/>
      <c r="E2319" s="13"/>
      <c r="F2319" s="10"/>
      <c r="G2319" s="13"/>
      <c r="H2319" s="13"/>
      <c r="I2319" s="12"/>
      <c r="J2319" s="13"/>
      <c r="K2319" s="13"/>
      <c r="L2319" s="12"/>
    </row>
    <row r="2320" spans="1:12" x14ac:dyDescent="0.25">
      <c r="A2320" s="5" t="s">
        <v>403</v>
      </c>
      <c r="B2320" s="12"/>
      <c r="C2320" s="5"/>
      <c r="D2320" s="4"/>
      <c r="E2320" s="13"/>
      <c r="F2320" s="10"/>
      <c r="G2320" s="13"/>
      <c r="H2320" s="13"/>
      <c r="I2320" s="12"/>
      <c r="J2320" s="13"/>
      <c r="K2320" s="13"/>
      <c r="L2320" s="12"/>
    </row>
    <row r="2321" spans="1:12" x14ac:dyDescent="0.25">
      <c r="A2321" s="5" t="s">
        <v>403</v>
      </c>
      <c r="B2321" s="12"/>
      <c r="C2321" s="5"/>
      <c r="D2321" s="4"/>
      <c r="E2321" s="13"/>
      <c r="F2321" s="10"/>
      <c r="G2321" s="13"/>
      <c r="H2321" s="13"/>
      <c r="I2321" s="12"/>
      <c r="J2321" s="13"/>
      <c r="K2321" s="13"/>
      <c r="L2321" s="12"/>
    </row>
    <row r="2322" spans="1:12" x14ac:dyDescent="0.25">
      <c r="A2322" s="5" t="s">
        <v>403</v>
      </c>
      <c r="B2322" s="12"/>
      <c r="C2322" s="5"/>
      <c r="D2322" s="4"/>
      <c r="E2322" s="13"/>
      <c r="F2322" s="10"/>
      <c r="G2322" s="13"/>
      <c r="H2322" s="13"/>
      <c r="I2322" s="12"/>
      <c r="J2322" s="13"/>
      <c r="K2322" s="13"/>
      <c r="L2322" s="12"/>
    </row>
    <row r="2323" spans="1:12" x14ac:dyDescent="0.25">
      <c r="A2323" s="5" t="s">
        <v>281</v>
      </c>
      <c r="B2323" s="12"/>
      <c r="C2323" s="5"/>
      <c r="D2323" s="4"/>
      <c r="E2323" s="13"/>
      <c r="F2323" s="10"/>
      <c r="G2323" s="13"/>
      <c r="H2323" s="13"/>
      <c r="I2323" s="12"/>
      <c r="J2323" s="13"/>
      <c r="K2323" s="13"/>
      <c r="L2323" s="12"/>
    </row>
    <row r="2324" spans="1:12" x14ac:dyDescent="0.25">
      <c r="A2324" s="5" t="s">
        <v>281</v>
      </c>
      <c r="B2324" s="12"/>
      <c r="C2324" s="5"/>
      <c r="D2324" s="4"/>
      <c r="E2324" s="13"/>
      <c r="F2324" s="10"/>
      <c r="G2324" s="13"/>
      <c r="H2324" s="13"/>
      <c r="I2324" s="12"/>
      <c r="J2324" s="13"/>
      <c r="K2324" s="13"/>
      <c r="L2324" s="12"/>
    </row>
    <row r="2325" spans="1:12" x14ac:dyDescent="0.25">
      <c r="A2325" s="5" t="s">
        <v>281</v>
      </c>
      <c r="B2325" s="12"/>
      <c r="C2325" s="5"/>
      <c r="D2325" s="4"/>
      <c r="E2325" s="13"/>
      <c r="F2325" s="10"/>
      <c r="G2325" s="13"/>
      <c r="H2325" s="13"/>
      <c r="I2325" s="12"/>
      <c r="J2325" s="13"/>
      <c r="K2325" s="13"/>
      <c r="L2325" s="12"/>
    </row>
    <row r="2326" spans="1:12" x14ac:dyDescent="0.25">
      <c r="A2326" s="5" t="s">
        <v>99</v>
      </c>
      <c r="B2326" s="12"/>
      <c r="C2326" s="5"/>
      <c r="D2326" s="4"/>
      <c r="E2326" s="13"/>
      <c r="F2326" s="10"/>
      <c r="G2326" s="13"/>
      <c r="H2326" s="13"/>
      <c r="I2326" s="12"/>
      <c r="J2326" s="13"/>
      <c r="K2326" s="13"/>
      <c r="L2326" s="12"/>
    </row>
    <row r="2327" spans="1:12" x14ac:dyDescent="0.25">
      <c r="A2327" s="5" t="s">
        <v>99</v>
      </c>
      <c r="B2327" s="12"/>
      <c r="C2327" s="5"/>
      <c r="D2327" s="4"/>
      <c r="E2327" s="13"/>
      <c r="F2327" s="10"/>
      <c r="G2327" s="13"/>
      <c r="H2327" s="13"/>
      <c r="I2327" s="12"/>
      <c r="J2327" s="13"/>
      <c r="K2327" s="13"/>
      <c r="L2327" s="12"/>
    </row>
    <row r="2328" spans="1:12" x14ac:dyDescent="0.25">
      <c r="A2328" s="5" t="s">
        <v>99</v>
      </c>
      <c r="B2328" s="12"/>
      <c r="C2328" s="5"/>
      <c r="D2328" s="4"/>
      <c r="E2328" s="13"/>
      <c r="F2328" s="10"/>
      <c r="G2328" s="13"/>
      <c r="H2328" s="13"/>
      <c r="I2328" s="12"/>
      <c r="J2328" s="13"/>
      <c r="K2328" s="13"/>
      <c r="L2328" s="12"/>
    </row>
    <row r="2329" spans="1:12" x14ac:dyDescent="0.25">
      <c r="A2329" s="5" t="s">
        <v>483</v>
      </c>
      <c r="B2329" s="12"/>
      <c r="C2329" s="5"/>
      <c r="D2329" s="4"/>
      <c r="E2329" s="13"/>
      <c r="F2329" s="10"/>
      <c r="G2329" s="13"/>
      <c r="H2329" s="13"/>
      <c r="I2329" s="12"/>
      <c r="J2329" s="13"/>
      <c r="K2329" s="13"/>
      <c r="L2329" s="12"/>
    </row>
    <row r="2330" spans="1:12" x14ac:dyDescent="0.25">
      <c r="A2330" s="5" t="s">
        <v>483</v>
      </c>
      <c r="B2330" s="12"/>
      <c r="C2330" s="5"/>
      <c r="D2330" s="4"/>
      <c r="E2330" s="13"/>
      <c r="F2330" s="10"/>
      <c r="G2330" s="13"/>
      <c r="H2330" s="13"/>
      <c r="I2330" s="12"/>
      <c r="J2330" s="13"/>
      <c r="K2330" s="13"/>
      <c r="L2330" s="12"/>
    </row>
    <row r="2331" spans="1:12" x14ac:dyDescent="0.25">
      <c r="A2331" s="5" t="s">
        <v>483</v>
      </c>
      <c r="B2331" s="12"/>
      <c r="C2331" s="5"/>
      <c r="D2331" s="4"/>
      <c r="E2331" s="13"/>
      <c r="F2331" s="10"/>
      <c r="G2331" s="13"/>
      <c r="H2331" s="13"/>
      <c r="I2331" s="12"/>
      <c r="J2331" s="13"/>
      <c r="K2331" s="13"/>
      <c r="L2331" s="12"/>
    </row>
    <row r="2332" spans="1:12" x14ac:dyDescent="0.25">
      <c r="A2332" s="5" t="s">
        <v>807</v>
      </c>
      <c r="B2332" s="12"/>
      <c r="C2332" s="5"/>
      <c r="D2332" s="4"/>
      <c r="E2332" s="13"/>
      <c r="F2332" s="10"/>
      <c r="G2332" s="13"/>
      <c r="H2332" s="13"/>
      <c r="I2332" s="12"/>
      <c r="J2332" s="13"/>
      <c r="K2332" s="13"/>
      <c r="L2332" s="12"/>
    </row>
    <row r="2333" spans="1:12" x14ac:dyDescent="0.25">
      <c r="A2333" s="5" t="s">
        <v>808</v>
      </c>
      <c r="B2333" s="12"/>
      <c r="C2333" s="5"/>
      <c r="D2333" s="4"/>
      <c r="E2333" s="13"/>
      <c r="F2333" s="10"/>
      <c r="G2333" s="13"/>
      <c r="H2333" s="13"/>
      <c r="I2333" s="12"/>
      <c r="J2333" s="13"/>
      <c r="K2333" s="13"/>
      <c r="L2333" s="12"/>
    </row>
    <row r="2334" spans="1:12" x14ac:dyDescent="0.25">
      <c r="A2334" s="5" t="s">
        <v>636</v>
      </c>
      <c r="B2334" s="12"/>
      <c r="C2334" s="5"/>
      <c r="D2334" s="4"/>
      <c r="E2334" s="13"/>
      <c r="F2334" s="10"/>
      <c r="G2334" s="13"/>
      <c r="H2334" s="13"/>
      <c r="I2334" s="12"/>
      <c r="J2334" s="13"/>
      <c r="K2334" s="13"/>
      <c r="L2334" s="12"/>
    </row>
    <row r="2335" spans="1:12" x14ac:dyDescent="0.25">
      <c r="A2335" s="5" t="s">
        <v>636</v>
      </c>
      <c r="B2335" s="12"/>
      <c r="C2335" s="5"/>
      <c r="D2335" s="4"/>
      <c r="E2335" s="13"/>
      <c r="F2335" s="10"/>
      <c r="G2335" s="13"/>
      <c r="H2335" s="13"/>
      <c r="I2335" s="12"/>
      <c r="J2335" s="13"/>
      <c r="K2335" s="13"/>
      <c r="L2335" s="12"/>
    </row>
    <row r="2336" spans="1:12" x14ac:dyDescent="0.25">
      <c r="A2336" s="5" t="s">
        <v>636</v>
      </c>
      <c r="B2336" s="12"/>
      <c r="C2336" s="5"/>
      <c r="D2336" s="4"/>
      <c r="E2336" s="13"/>
      <c r="F2336" s="10"/>
      <c r="G2336" s="13"/>
      <c r="H2336" s="13"/>
      <c r="I2336" s="12"/>
      <c r="J2336" s="13"/>
      <c r="K2336" s="13"/>
      <c r="L2336" s="12"/>
    </row>
    <row r="2337" spans="1:12" x14ac:dyDescent="0.25">
      <c r="A2337" s="5" t="s">
        <v>211</v>
      </c>
      <c r="B2337" s="12"/>
      <c r="C2337" s="5"/>
      <c r="D2337" s="4"/>
      <c r="E2337" s="13"/>
      <c r="F2337" s="10"/>
      <c r="G2337" s="13"/>
      <c r="H2337" s="13"/>
      <c r="I2337" s="12"/>
      <c r="J2337" s="13"/>
      <c r="K2337" s="13"/>
      <c r="L2337" s="12"/>
    </row>
    <row r="2338" spans="1:12" x14ac:dyDescent="0.25">
      <c r="A2338" s="5" t="s">
        <v>211</v>
      </c>
      <c r="B2338" s="12"/>
      <c r="C2338" s="5"/>
      <c r="D2338" s="4"/>
      <c r="E2338" s="13"/>
      <c r="F2338" s="10"/>
      <c r="G2338" s="13"/>
      <c r="H2338" s="13"/>
      <c r="I2338" s="12"/>
      <c r="J2338" s="13"/>
      <c r="K2338" s="13"/>
      <c r="L2338" s="12"/>
    </row>
    <row r="2339" spans="1:12" x14ac:dyDescent="0.25">
      <c r="A2339" s="5" t="s">
        <v>211</v>
      </c>
      <c r="B2339" s="12"/>
      <c r="C2339" s="5"/>
      <c r="D2339" s="4"/>
      <c r="E2339" s="13"/>
      <c r="F2339" s="10"/>
      <c r="G2339" s="13"/>
      <c r="H2339" s="13"/>
      <c r="I2339" s="12"/>
      <c r="J2339" s="13"/>
      <c r="K2339" s="13"/>
      <c r="L2339" s="12"/>
    </row>
    <row r="2340" spans="1:12" x14ac:dyDescent="0.25">
      <c r="A2340" s="5" t="s">
        <v>128</v>
      </c>
      <c r="B2340" s="12"/>
      <c r="C2340" s="5"/>
      <c r="D2340" s="4"/>
      <c r="E2340" s="13"/>
      <c r="F2340" s="10"/>
      <c r="G2340" s="13"/>
      <c r="H2340" s="13"/>
      <c r="I2340" s="12"/>
      <c r="J2340" s="13"/>
      <c r="K2340" s="13"/>
      <c r="L2340" s="12"/>
    </row>
    <row r="2341" spans="1:12" x14ac:dyDescent="0.25">
      <c r="A2341" s="5" t="s">
        <v>128</v>
      </c>
      <c r="B2341" s="12"/>
      <c r="C2341" s="5"/>
      <c r="D2341" s="4"/>
      <c r="E2341" s="13"/>
      <c r="F2341" s="10"/>
      <c r="G2341" s="13"/>
      <c r="H2341" s="13"/>
      <c r="I2341" s="12"/>
      <c r="J2341" s="13"/>
      <c r="K2341" s="13"/>
      <c r="L2341" s="12"/>
    </row>
    <row r="2342" spans="1:12" x14ac:dyDescent="0.25">
      <c r="A2342" s="5" t="s">
        <v>128</v>
      </c>
      <c r="B2342" s="12"/>
      <c r="C2342" s="5"/>
      <c r="D2342" s="4"/>
      <c r="E2342" s="13"/>
      <c r="F2342" s="10"/>
      <c r="G2342" s="13"/>
      <c r="H2342" s="13"/>
      <c r="I2342" s="12"/>
      <c r="J2342" s="13"/>
      <c r="K2342" s="13"/>
      <c r="L2342" s="12"/>
    </row>
    <row r="2343" spans="1:12" x14ac:dyDescent="0.25">
      <c r="A2343" s="5" t="s">
        <v>388</v>
      </c>
      <c r="B2343" s="12"/>
      <c r="C2343" s="5"/>
      <c r="D2343" s="4"/>
      <c r="E2343" s="13"/>
      <c r="F2343" s="10"/>
      <c r="G2343" s="13"/>
      <c r="H2343" s="13"/>
      <c r="I2343" s="12"/>
      <c r="J2343" s="13"/>
      <c r="K2343" s="13"/>
      <c r="L2343" s="12"/>
    </row>
    <row r="2344" spans="1:12" x14ac:dyDescent="0.25">
      <c r="A2344" s="5" t="s">
        <v>388</v>
      </c>
      <c r="B2344" s="12"/>
      <c r="C2344" s="5"/>
      <c r="D2344" s="4"/>
      <c r="E2344" s="13"/>
      <c r="F2344" s="10"/>
      <c r="G2344" s="13"/>
      <c r="H2344" s="13"/>
      <c r="I2344" s="12"/>
      <c r="J2344" s="13"/>
      <c r="K2344" s="13"/>
      <c r="L2344" s="12"/>
    </row>
    <row r="2345" spans="1:12" x14ac:dyDescent="0.25">
      <c r="A2345" s="5" t="s">
        <v>388</v>
      </c>
      <c r="B2345" s="12"/>
      <c r="C2345" s="5"/>
      <c r="D2345" s="4"/>
      <c r="E2345" s="13"/>
      <c r="F2345" s="10"/>
      <c r="G2345" s="13"/>
      <c r="H2345" s="13"/>
      <c r="I2345" s="12"/>
      <c r="J2345" s="13"/>
      <c r="K2345" s="13"/>
      <c r="L2345" s="12"/>
    </row>
    <row r="2346" spans="1:12" x14ac:dyDescent="0.25">
      <c r="A2346" s="5" t="s">
        <v>330</v>
      </c>
      <c r="B2346" s="12"/>
      <c r="C2346" s="5"/>
      <c r="D2346" s="4"/>
      <c r="E2346" s="13"/>
      <c r="F2346" s="10"/>
      <c r="G2346" s="13"/>
      <c r="H2346" s="13"/>
      <c r="I2346" s="12"/>
      <c r="J2346" s="13"/>
      <c r="K2346" s="13"/>
      <c r="L2346" s="12"/>
    </row>
    <row r="2347" spans="1:12" x14ac:dyDescent="0.25">
      <c r="A2347" s="5" t="s">
        <v>330</v>
      </c>
      <c r="B2347" s="12"/>
      <c r="C2347" s="5"/>
      <c r="D2347" s="4"/>
      <c r="E2347" s="13"/>
      <c r="F2347" s="10"/>
      <c r="G2347" s="13"/>
      <c r="H2347" s="13"/>
      <c r="I2347" s="12"/>
      <c r="J2347" s="13"/>
      <c r="K2347" s="13"/>
      <c r="L2347" s="12"/>
    </row>
    <row r="2348" spans="1:12" x14ac:dyDescent="0.25">
      <c r="A2348" s="5" t="s">
        <v>330</v>
      </c>
      <c r="B2348" s="12"/>
      <c r="C2348" s="5"/>
      <c r="D2348" s="4"/>
      <c r="E2348" s="13"/>
      <c r="F2348" s="10"/>
      <c r="G2348" s="13"/>
      <c r="H2348" s="13"/>
      <c r="I2348" s="12"/>
      <c r="J2348" s="13"/>
      <c r="K2348" s="13"/>
      <c r="L2348" s="12"/>
    </row>
    <row r="2349" spans="1:12" x14ac:dyDescent="0.25">
      <c r="A2349" s="5" t="s">
        <v>258</v>
      </c>
      <c r="B2349" s="12"/>
      <c r="C2349" s="5"/>
      <c r="D2349" s="4"/>
      <c r="E2349" s="13"/>
      <c r="F2349" s="10"/>
      <c r="G2349" s="13"/>
      <c r="H2349" s="13"/>
      <c r="I2349" s="12"/>
      <c r="J2349" s="13"/>
      <c r="K2349" s="13"/>
      <c r="L2349" s="12"/>
    </row>
    <row r="2350" spans="1:12" x14ac:dyDescent="0.25">
      <c r="A2350" s="5" t="s">
        <v>258</v>
      </c>
      <c r="B2350" s="12"/>
      <c r="C2350" s="5"/>
      <c r="D2350" s="4"/>
      <c r="E2350" s="13"/>
      <c r="F2350" s="10"/>
      <c r="G2350" s="13"/>
      <c r="H2350" s="13"/>
      <c r="I2350" s="12"/>
      <c r="J2350" s="13"/>
      <c r="K2350" s="13"/>
      <c r="L2350" s="12"/>
    </row>
    <row r="2351" spans="1:12" x14ac:dyDescent="0.25">
      <c r="A2351" s="5" t="s">
        <v>258</v>
      </c>
      <c r="B2351" s="12"/>
      <c r="C2351" s="5"/>
      <c r="D2351" s="4"/>
      <c r="E2351" s="13"/>
      <c r="F2351" s="10"/>
      <c r="G2351" s="13"/>
      <c r="H2351" s="13"/>
      <c r="I2351" s="12"/>
      <c r="J2351" s="13"/>
      <c r="K2351" s="13"/>
      <c r="L2351" s="12"/>
    </row>
    <row r="2352" spans="1:12" x14ac:dyDescent="0.25">
      <c r="A2352" s="5" t="s">
        <v>425</v>
      </c>
      <c r="B2352" s="12"/>
      <c r="C2352" s="5"/>
      <c r="D2352" s="4"/>
      <c r="E2352" s="13"/>
      <c r="F2352" s="10"/>
      <c r="G2352" s="13"/>
      <c r="H2352" s="13"/>
      <c r="I2352" s="12"/>
      <c r="J2352" s="13"/>
      <c r="K2352" s="13"/>
      <c r="L2352" s="12"/>
    </row>
    <row r="2353" spans="1:12" x14ac:dyDescent="0.25">
      <c r="A2353" s="5" t="s">
        <v>425</v>
      </c>
      <c r="B2353" s="12"/>
      <c r="C2353" s="5"/>
      <c r="D2353" s="4"/>
      <c r="E2353" s="13"/>
      <c r="F2353" s="10"/>
      <c r="G2353" s="13"/>
      <c r="H2353" s="13"/>
      <c r="I2353" s="12"/>
      <c r="J2353" s="13"/>
      <c r="K2353" s="13"/>
      <c r="L2353" s="12"/>
    </row>
    <row r="2354" spans="1:12" x14ac:dyDescent="0.25">
      <c r="A2354" s="5" t="s">
        <v>425</v>
      </c>
      <c r="B2354" s="12"/>
      <c r="C2354" s="5"/>
      <c r="D2354" s="4"/>
      <c r="E2354" s="13"/>
      <c r="F2354" s="10"/>
      <c r="G2354" s="13"/>
      <c r="H2354" s="13"/>
      <c r="I2354" s="12"/>
      <c r="J2354" s="13"/>
      <c r="K2354" s="13"/>
      <c r="L2354" s="12"/>
    </row>
    <row r="2355" spans="1:12" x14ac:dyDescent="0.25">
      <c r="A2355" s="5" t="s">
        <v>681</v>
      </c>
      <c r="B2355" s="12"/>
      <c r="C2355" s="5"/>
      <c r="D2355" s="4"/>
      <c r="E2355" s="13"/>
      <c r="F2355" s="10"/>
      <c r="G2355" s="13"/>
      <c r="H2355" s="13"/>
      <c r="I2355" s="12"/>
      <c r="J2355" s="13"/>
      <c r="K2355" s="13"/>
      <c r="L2355" s="12"/>
    </row>
    <row r="2356" spans="1:12" x14ac:dyDescent="0.25">
      <c r="A2356" s="5" t="s">
        <v>681</v>
      </c>
      <c r="B2356" s="12"/>
      <c r="C2356" s="5"/>
      <c r="D2356" s="4"/>
      <c r="E2356" s="13"/>
      <c r="F2356" s="10"/>
      <c r="G2356" s="13"/>
      <c r="H2356" s="13"/>
      <c r="I2356" s="12"/>
      <c r="J2356" s="13"/>
      <c r="K2356" s="13"/>
      <c r="L2356" s="12"/>
    </row>
    <row r="2357" spans="1:12" x14ac:dyDescent="0.25">
      <c r="A2357" s="5" t="s">
        <v>681</v>
      </c>
      <c r="B2357" s="12"/>
      <c r="C2357" s="5"/>
      <c r="D2357" s="4"/>
      <c r="E2357" s="13"/>
      <c r="F2357" s="10"/>
      <c r="G2357" s="13"/>
      <c r="H2357" s="13"/>
      <c r="I2357" s="12"/>
      <c r="J2357" s="13"/>
      <c r="K2357" s="13"/>
      <c r="L2357" s="12"/>
    </row>
    <row r="2358" spans="1:12" x14ac:dyDescent="0.25">
      <c r="A2358"/>
      <c r="C2358"/>
    </row>
    <row r="2359" spans="1:12" x14ac:dyDescent="0.25">
      <c r="A2359"/>
      <c r="C2359"/>
    </row>
    <row r="2360" spans="1:12" x14ac:dyDescent="0.25">
      <c r="A2360"/>
      <c r="C2360"/>
    </row>
    <row r="2361" spans="1:12" x14ac:dyDescent="0.25">
      <c r="A2361"/>
      <c r="C2361"/>
    </row>
    <row r="2362" spans="1:12" x14ac:dyDescent="0.25">
      <c r="A2362"/>
      <c r="C2362"/>
    </row>
    <row r="2363" spans="1:12" x14ac:dyDescent="0.25">
      <c r="A2363"/>
      <c r="C2363"/>
    </row>
    <row r="2364" spans="1:12" x14ac:dyDescent="0.25">
      <c r="A2364"/>
      <c r="C2364"/>
    </row>
    <row r="2365" spans="1:12" x14ac:dyDescent="0.25">
      <c r="A2365"/>
      <c r="C2365"/>
    </row>
    <row r="2366" spans="1:12" x14ac:dyDescent="0.25">
      <c r="A2366"/>
      <c r="C2366"/>
    </row>
    <row r="2367" spans="1:12" x14ac:dyDescent="0.25">
      <c r="A2367"/>
      <c r="C2367"/>
    </row>
    <row r="2368" spans="1:12" x14ac:dyDescent="0.25">
      <c r="A2368"/>
      <c r="C2368"/>
    </row>
    <row r="2369" spans="1:3" x14ac:dyDescent="0.25">
      <c r="A2369"/>
      <c r="C2369"/>
    </row>
    <row r="2370" spans="1:3" x14ac:dyDescent="0.25">
      <c r="A2370"/>
      <c r="C2370"/>
    </row>
    <row r="2371" spans="1:3" x14ac:dyDescent="0.25">
      <c r="A2371"/>
      <c r="C2371"/>
    </row>
    <row r="2372" spans="1:3" x14ac:dyDescent="0.25">
      <c r="A2372"/>
      <c r="C2372"/>
    </row>
    <row r="2373" spans="1:3" x14ac:dyDescent="0.25">
      <c r="A2373"/>
      <c r="C2373"/>
    </row>
    <row r="2374" spans="1:3" x14ac:dyDescent="0.25">
      <c r="A2374"/>
      <c r="C2374"/>
    </row>
    <row r="2375" spans="1:3" x14ac:dyDescent="0.25">
      <c r="A2375"/>
      <c r="C2375"/>
    </row>
    <row r="2376" spans="1:3" x14ac:dyDescent="0.25">
      <c r="A2376"/>
      <c r="C2376"/>
    </row>
    <row r="2377" spans="1:3" x14ac:dyDescent="0.25">
      <c r="A2377"/>
      <c r="C2377"/>
    </row>
    <row r="2378" spans="1:3" x14ac:dyDescent="0.25">
      <c r="A2378"/>
      <c r="C2378"/>
    </row>
    <row r="2379" spans="1:3" x14ac:dyDescent="0.25">
      <c r="A2379"/>
      <c r="C2379"/>
    </row>
    <row r="2380" spans="1:3" x14ac:dyDescent="0.25">
      <c r="A2380"/>
      <c r="C2380"/>
    </row>
    <row r="2381" spans="1:3" x14ac:dyDescent="0.25">
      <c r="A2381"/>
      <c r="C2381"/>
    </row>
    <row r="2382" spans="1:3" x14ac:dyDescent="0.25">
      <c r="A2382"/>
      <c r="C2382"/>
    </row>
    <row r="2383" spans="1:3" x14ac:dyDescent="0.25">
      <c r="A2383"/>
      <c r="C2383"/>
    </row>
    <row r="2384" spans="1:3" x14ac:dyDescent="0.25">
      <c r="A2384"/>
      <c r="C2384"/>
    </row>
    <row r="2385" spans="1:3" x14ac:dyDescent="0.25">
      <c r="A2385"/>
      <c r="C2385"/>
    </row>
    <row r="2386" spans="1:3" x14ac:dyDescent="0.25">
      <c r="A2386"/>
      <c r="C2386"/>
    </row>
    <row r="2387" spans="1:3" x14ac:dyDescent="0.25">
      <c r="A2387"/>
      <c r="C2387"/>
    </row>
    <row r="2388" spans="1:3" x14ac:dyDescent="0.25">
      <c r="A2388"/>
      <c r="C2388"/>
    </row>
    <row r="2389" spans="1:3" x14ac:dyDescent="0.25">
      <c r="A2389"/>
      <c r="C2389"/>
    </row>
    <row r="2390" spans="1:3" x14ac:dyDescent="0.25">
      <c r="A2390"/>
      <c r="C2390"/>
    </row>
    <row r="2391" spans="1:3" x14ac:dyDescent="0.25">
      <c r="A2391"/>
      <c r="C2391"/>
    </row>
    <row r="2392" spans="1:3" x14ac:dyDescent="0.25">
      <c r="A2392"/>
      <c r="C2392"/>
    </row>
    <row r="2393" spans="1:3" x14ac:dyDescent="0.25">
      <c r="A2393"/>
      <c r="C2393"/>
    </row>
    <row r="2394" spans="1:3" x14ac:dyDescent="0.25">
      <c r="A2394"/>
      <c r="C2394"/>
    </row>
    <row r="2395" spans="1:3" x14ac:dyDescent="0.25">
      <c r="A2395"/>
      <c r="C2395"/>
    </row>
    <row r="2396" spans="1:3" x14ac:dyDescent="0.25">
      <c r="A2396"/>
      <c r="C2396"/>
    </row>
    <row r="2397" spans="1:3" x14ac:dyDescent="0.25">
      <c r="A2397"/>
      <c r="C2397"/>
    </row>
    <row r="2398" spans="1:3" x14ac:dyDescent="0.25">
      <c r="A2398"/>
      <c r="C2398"/>
    </row>
    <row r="2399" spans="1:3" x14ac:dyDescent="0.25">
      <c r="A2399"/>
      <c r="C2399"/>
    </row>
    <row r="2400" spans="1:3" x14ac:dyDescent="0.25">
      <c r="A2400"/>
      <c r="C2400"/>
    </row>
    <row r="2401" spans="1:3" x14ac:dyDescent="0.25">
      <c r="A2401"/>
      <c r="C2401"/>
    </row>
    <row r="2402" spans="1:3" x14ac:dyDescent="0.25">
      <c r="A2402"/>
      <c r="C2402"/>
    </row>
    <row r="2403" spans="1:3" x14ac:dyDescent="0.25">
      <c r="A2403"/>
      <c r="C2403"/>
    </row>
    <row r="2404" spans="1:3" x14ac:dyDescent="0.25">
      <c r="A2404"/>
      <c r="C2404"/>
    </row>
    <row r="2405" spans="1:3" x14ac:dyDescent="0.25">
      <c r="A2405"/>
      <c r="C2405"/>
    </row>
    <row r="2406" spans="1:3" x14ac:dyDescent="0.25">
      <c r="A2406"/>
      <c r="C2406"/>
    </row>
    <row r="2407" spans="1:3" x14ac:dyDescent="0.25">
      <c r="A2407"/>
      <c r="C2407"/>
    </row>
    <row r="2408" spans="1:3" x14ac:dyDescent="0.25">
      <c r="A2408"/>
      <c r="C2408"/>
    </row>
    <row r="2409" spans="1:3" x14ac:dyDescent="0.25">
      <c r="A2409"/>
      <c r="C2409"/>
    </row>
    <row r="2410" spans="1:3" x14ac:dyDescent="0.25">
      <c r="A2410"/>
      <c r="C2410"/>
    </row>
    <row r="2411" spans="1:3" x14ac:dyDescent="0.25">
      <c r="A2411"/>
      <c r="C2411"/>
    </row>
    <row r="2412" spans="1:3" x14ac:dyDescent="0.25">
      <c r="A2412"/>
      <c r="C2412"/>
    </row>
    <row r="2413" spans="1:3" x14ac:dyDescent="0.25">
      <c r="A2413"/>
      <c r="C2413"/>
    </row>
    <row r="2414" spans="1:3" x14ac:dyDescent="0.25">
      <c r="A2414"/>
      <c r="C2414"/>
    </row>
    <row r="2415" spans="1:3" x14ac:dyDescent="0.25">
      <c r="A2415"/>
      <c r="C2415"/>
    </row>
    <row r="2416" spans="1:3" x14ac:dyDescent="0.25">
      <c r="A2416"/>
      <c r="C2416"/>
    </row>
    <row r="2417" spans="1:3" x14ac:dyDescent="0.25">
      <c r="A2417"/>
      <c r="C2417"/>
    </row>
    <row r="2418" spans="1:3" x14ac:dyDescent="0.25">
      <c r="A2418"/>
      <c r="C2418"/>
    </row>
    <row r="2419" spans="1:3" x14ac:dyDescent="0.25">
      <c r="A2419"/>
      <c r="C2419"/>
    </row>
    <row r="2420" spans="1:3" x14ac:dyDescent="0.25">
      <c r="A2420"/>
      <c r="C2420"/>
    </row>
    <row r="2421" spans="1:3" x14ac:dyDescent="0.25">
      <c r="A2421"/>
      <c r="C2421"/>
    </row>
    <row r="2422" spans="1:3" x14ac:dyDescent="0.25">
      <c r="A2422"/>
      <c r="C2422"/>
    </row>
    <row r="2423" spans="1:3" x14ac:dyDescent="0.25">
      <c r="A2423"/>
      <c r="C2423"/>
    </row>
    <row r="2424" spans="1:3" x14ac:dyDescent="0.25">
      <c r="A2424"/>
      <c r="C2424"/>
    </row>
    <row r="2425" spans="1:3" x14ac:dyDescent="0.25">
      <c r="A2425"/>
      <c r="C2425"/>
    </row>
    <row r="2426" spans="1:3" x14ac:dyDescent="0.25">
      <c r="A2426"/>
      <c r="C2426"/>
    </row>
    <row r="2427" spans="1:3" x14ac:dyDescent="0.25">
      <c r="A2427"/>
      <c r="C2427"/>
    </row>
    <row r="2428" spans="1:3" x14ac:dyDescent="0.25">
      <c r="A2428"/>
      <c r="C2428"/>
    </row>
    <row r="2429" spans="1:3" x14ac:dyDescent="0.25">
      <c r="A2429"/>
      <c r="C2429"/>
    </row>
    <row r="2430" spans="1:3" x14ac:dyDescent="0.25">
      <c r="A2430"/>
      <c r="C2430"/>
    </row>
    <row r="2431" spans="1:3" x14ac:dyDescent="0.25">
      <c r="A2431"/>
      <c r="C2431"/>
    </row>
    <row r="2432" spans="1:3" x14ac:dyDescent="0.25">
      <c r="A2432"/>
      <c r="C2432"/>
    </row>
    <row r="2433" spans="1:3" x14ac:dyDescent="0.25">
      <c r="A2433"/>
      <c r="C2433"/>
    </row>
    <row r="2434" spans="1:3" x14ac:dyDescent="0.25">
      <c r="A2434"/>
      <c r="C2434"/>
    </row>
    <row r="2435" spans="1:3" x14ac:dyDescent="0.25">
      <c r="A2435"/>
      <c r="C2435"/>
    </row>
    <row r="2436" spans="1:3" x14ac:dyDescent="0.25">
      <c r="A2436"/>
      <c r="C2436"/>
    </row>
    <row r="2437" spans="1:3" x14ac:dyDescent="0.25">
      <c r="A2437"/>
      <c r="C2437"/>
    </row>
    <row r="2438" spans="1:3" x14ac:dyDescent="0.25">
      <c r="A2438"/>
      <c r="C2438"/>
    </row>
    <row r="2439" spans="1:3" x14ac:dyDescent="0.25">
      <c r="A2439"/>
      <c r="C2439"/>
    </row>
    <row r="2440" spans="1:3" x14ac:dyDescent="0.25">
      <c r="A2440"/>
      <c r="C2440"/>
    </row>
    <row r="2441" spans="1:3" x14ac:dyDescent="0.25">
      <c r="A2441"/>
      <c r="C2441"/>
    </row>
    <row r="2442" spans="1:3" x14ac:dyDescent="0.25">
      <c r="A2442"/>
      <c r="C2442"/>
    </row>
    <row r="2443" spans="1:3" x14ac:dyDescent="0.25">
      <c r="A2443"/>
      <c r="C2443"/>
    </row>
    <row r="2444" spans="1:3" x14ac:dyDescent="0.25">
      <c r="A2444"/>
      <c r="C2444"/>
    </row>
    <row r="2445" spans="1:3" x14ac:dyDescent="0.25">
      <c r="A2445"/>
      <c r="C2445"/>
    </row>
    <row r="2446" spans="1:3" x14ac:dyDescent="0.25">
      <c r="A2446"/>
      <c r="C2446"/>
    </row>
    <row r="2447" spans="1:3" x14ac:dyDescent="0.25">
      <c r="A2447"/>
      <c r="C2447"/>
    </row>
    <row r="2448" spans="1:3" x14ac:dyDescent="0.25">
      <c r="A2448"/>
      <c r="C2448"/>
    </row>
    <row r="2449" spans="1:3" x14ac:dyDescent="0.25">
      <c r="A2449"/>
      <c r="C2449"/>
    </row>
    <row r="2450" spans="1:3" x14ac:dyDescent="0.25">
      <c r="A2450"/>
      <c r="C2450"/>
    </row>
    <row r="2451" spans="1:3" x14ac:dyDescent="0.25">
      <c r="A2451"/>
      <c r="C2451"/>
    </row>
    <row r="2452" spans="1:3" x14ac:dyDescent="0.25">
      <c r="A2452"/>
      <c r="C2452"/>
    </row>
    <row r="2453" spans="1:3" x14ac:dyDescent="0.25">
      <c r="A2453"/>
      <c r="C2453"/>
    </row>
    <row r="2454" spans="1:3" x14ac:dyDescent="0.25">
      <c r="A2454"/>
      <c r="C2454"/>
    </row>
  </sheetData>
  <sortState xmlns:xlrd2="http://schemas.microsoft.com/office/spreadsheetml/2017/richdata2" ref="A1:A2455">
    <sortCondition ref="A2:A2455"/>
  </sortState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f8cef7-2d08-4001-9544-19c1ae354325" xsi:nil="true"/>
    <lcf76f155ced4ddcb4097134ff3c332f xmlns="4cc1e541-5c18-4a18-ba73-02054fb7756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81A3323A635044AD2C84688ECFB557" ma:contentTypeVersion="21" ma:contentTypeDescription="Create a new document." ma:contentTypeScope="" ma:versionID="4f8dab0b94eddb1c25cfe353166c3c4a">
  <xsd:schema xmlns:xsd="http://www.w3.org/2001/XMLSchema" xmlns:xs="http://www.w3.org/2001/XMLSchema" xmlns:p="http://schemas.microsoft.com/office/2006/metadata/properties" xmlns:ns2="4cc1e541-5c18-4a18-ba73-02054fb7756a" xmlns:ns3="07f8cef7-2d08-4001-9544-19c1ae354325" targetNamespace="http://schemas.microsoft.com/office/2006/metadata/properties" ma:root="true" ma:fieldsID="ea915bb8a2fa192612c83f47b980b0d9" ns2:_="" ns3:_="">
    <xsd:import namespace="4cc1e541-5c18-4a18-ba73-02054fb7756a"/>
    <xsd:import namespace="07f8cef7-2d08-4001-9544-19c1ae354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1e541-5c18-4a18-ba73-02054fb775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543a41-8d99-4241-8456-4ef53fc29b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8cef7-2d08-4001-9544-19c1ae3543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542c20-171f-447a-aa1c-3a473b75e694}" ma:internalName="TaxCatchAll" ma:showField="CatchAllData" ma:web="07f8cef7-2d08-4001-9544-19c1ae354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8D8625-CFD6-467A-9DE1-65A52FFA0AD6}">
  <ds:schemaRefs>
    <ds:schemaRef ds:uri="http://schemas.microsoft.com/office/2006/documentManagement/types"/>
    <ds:schemaRef ds:uri="07f8cef7-2d08-4001-9544-19c1ae354325"/>
    <ds:schemaRef ds:uri="http://purl.org/dc/elements/1.1/"/>
    <ds:schemaRef ds:uri="4cc1e541-5c18-4a18-ba73-02054fb7756a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7C2C07-F89C-4384-AF5C-F804AEC4A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1e541-5c18-4a18-ba73-02054fb7756a"/>
    <ds:schemaRef ds:uri="07f8cef7-2d08-4001-9544-19c1ae3543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E00AC-5719-466F-B860-0C1E4C75E6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</vt:lpstr>
      <vt:lpstr>2024</vt:lpstr>
      <vt:lpstr>2025</vt:lpstr>
      <vt:lpstr>Sq. Ft &amp; Room Type</vt:lpstr>
      <vt:lpstr>Room Capacity</vt:lpstr>
      <vt:lpstr>Master</vt:lpstr>
    </vt:vector>
  </TitlesOfParts>
  <Manager/>
  <Company>Pomona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Scacco</dc:creator>
  <cp:keywords/>
  <dc:description/>
  <cp:lastModifiedBy>Phu Vo</cp:lastModifiedBy>
  <cp:revision/>
  <dcterms:created xsi:type="dcterms:W3CDTF">2026-04-17T17:32:44Z</dcterms:created>
  <dcterms:modified xsi:type="dcterms:W3CDTF">2026-04-29T05:37:15Z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0x0101009A81A3323A635044AD2C84688ECFB557</vt:lpwstr>
  </property>
</Properties>
</file>